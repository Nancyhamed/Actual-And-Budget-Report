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D:\Digilians nancy\complete projects\"/>
    </mc:Choice>
  </mc:AlternateContent>
  <bookViews>
    <workbookView xWindow="0" yWindow="0" windowWidth="19368" windowHeight="9252"/>
  </bookViews>
  <sheets>
    <sheet name="Actual" sheetId="1" r:id="rId1"/>
    <sheet name="Budget" sheetId="2" r:id="rId2"/>
    <sheet name="Calculation" sheetId="4" r:id="rId3"/>
    <sheet name="Dashboard" sheetId="6" r:id="rId4"/>
    <sheet name="📊 Pivot_Tables" sheetId="7" r:id="rId5"/>
    <sheet name="📄 Analysis_Report" sheetId="11" r:id="rId6"/>
  </sheets>
  <definedNames>
    <definedName name="Slicer_Department">#N/A</definedName>
    <definedName name="Slicer_Month_Name">#N/A</definedName>
    <definedName name="Slicer_Type">#N/A</definedName>
  </definedNames>
  <calcPr calcId="152511"/>
  <pivotCaches>
    <pivotCache cacheId="0" r:id="rId7"/>
    <pivotCache cacheId="1" r:id="rId8"/>
    <pivotCache cacheId="2" r:id="rId9"/>
    <pivotCache cacheId="3" r:id="rId10"/>
    <pivotCache cacheId="4" r:id="rId11"/>
    <pivotCache cacheId="5" r:id="rId12"/>
  </pivotCaches>
  <extLst>
    <ext xmlns:x14="http://schemas.microsoft.com/office/spreadsheetml/2009/9/main" uri="{876F7934-8845-4945-9796-88D515C7AA90}">
      <x14:pivotCaches>
        <pivotCache cacheId="6" r:id="rId13"/>
        <pivotCache cacheId="7"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ctual_8d4d6e3e-2487-4dff-aada-69d1f93ac711" name="Actual" connection="Query - Actual"/>
          <x15:modelTable id="Budget_78e7251e-606d-4601-b4f4-9b641a4c2806" name="Budget" connection="Query - Budget"/>
          <x15:modelTable id="D_Account_b7fd552e-9337-488d-82a9-87a370e7c967" name="D_Account" connection="Query - D_Account"/>
          <x15:modelTable id="D_Department_7d2452e3-3e51-45ba-b311-f717b5c5461f" name="D_Department" connection="Query - D_Department"/>
          <x15:modelTable id="D_Type_b2ce8107-826a-4e94-b7f1-41e787b256db" name="D_Type" connection="Query - D_Type"/>
          <x15:modelTable id="Calender_14230da6-eece-43be-b4c1-61c4bef4f2ff" name="Calender" connection="Query - Calender"/>
        </x15:modelTables>
        <x15:modelRelationships>
          <x15:modelRelationship fromTable="Actual" fromColumn="Department" toTable="D_Department" toColumn="Department"/>
          <x15:modelRelationship fromTable="Actual" fromColumn="Date" toTable="Calender" toColumn="Date"/>
          <x15:modelRelationship fromTable="Actual" fromColumn="AccountCode" toTable="D_Account" toColumn="AccountCode"/>
          <x15:modelRelationship fromTable="Actual" fromColumn="Type" toTable="D_Type" toColumn="Type"/>
          <x15:modelRelationship fromTable="Budget" fromColumn="Date" toTable="Calender" toColumn="Date"/>
          <x15:modelRelationship fromTable="Budget" fromColumn="Department" toTable="D_Department" toColumn="Department"/>
          <x15:modelRelationship fromTable="Budget" fromColumn="AccountCode" toTable="D_Account" toColumn="AccountCode"/>
          <x15:modelRelationship fromTable="Budget" fromColumn="Type" toTable="D_Type" toColumn="Type"/>
        </x15:modelRelationships>
      </x15:dataModel>
    </ext>
  </extLst>
</workbook>
</file>

<file path=xl/calcChain.xml><?xml version="1.0" encoding="utf-8"?>
<calcChain xmlns="http://schemas.openxmlformats.org/spreadsheetml/2006/main">
  <c r="B12" i="6" l="1"/>
  <c r="D12" i="6"/>
  <c r="K10" i="7"/>
  <c r="K11" i="7"/>
  <c r="K12" i="7"/>
  <c r="K13" i="7"/>
  <c r="K14" i="7"/>
  <c r="K15" i="7"/>
  <c r="K16" i="7"/>
  <c r="K17" i="7"/>
  <c r="K18" i="7"/>
  <c r="K19" i="7"/>
  <c r="K20" i="7"/>
  <c r="K21" i="7"/>
  <c r="K22" i="7"/>
  <c r="E10" i="7"/>
  <c r="E17" i="7"/>
  <c r="E16" i="7"/>
  <c r="E15" i="7"/>
  <c r="E14" i="7"/>
  <c r="E13" i="7"/>
  <c r="E12" i="7"/>
  <c r="E11" i="7"/>
  <c r="E54" i="7"/>
  <c r="F54" i="7" s="1"/>
  <c r="E53" i="7"/>
  <c r="F53" i="7" s="1"/>
  <c r="E52" i="7"/>
  <c r="F52" i="7" s="1"/>
  <c r="E51" i="7"/>
  <c r="F51" i="7" s="1"/>
  <c r="E50" i="7"/>
  <c r="F50" i="7" s="1"/>
  <c r="E49" i="7"/>
  <c r="F49" i="7" s="1"/>
  <c r="E48" i="7"/>
  <c r="F48" i="7" s="1"/>
  <c r="E47" i="7"/>
  <c r="F47" i="7" s="1"/>
  <c r="E46" i="7"/>
  <c r="F46" i="7" s="1"/>
  <c r="E45" i="7"/>
  <c r="F45" i="7" s="1"/>
  <c r="E44" i="7"/>
  <c r="F44" i="7" s="1"/>
  <c r="E43" i="7"/>
  <c r="F43" i="7" s="1"/>
  <c r="E42" i="7"/>
  <c r="F42" i="7" s="1"/>
  <c r="E41" i="7"/>
  <c r="F41" i="7" s="1"/>
  <c r="E40" i="7"/>
  <c r="F40" i="7" s="1"/>
  <c r="E39" i="7"/>
  <c r="F39" i="7" s="1"/>
  <c r="E38" i="7"/>
  <c r="F38" i="7" s="1"/>
  <c r="G38" i="7" l="1"/>
  <c r="G39" i="7"/>
  <c r="G40" i="7"/>
  <c r="G41" i="7"/>
  <c r="G42" i="7"/>
  <c r="G43" i="7"/>
  <c r="G44" i="7"/>
  <c r="G45" i="7"/>
  <c r="G46" i="7"/>
  <c r="G47" i="7"/>
  <c r="G48" i="7"/>
  <c r="G49" i="7"/>
  <c r="G50" i="7"/>
  <c r="G51" i="7"/>
  <c r="G52" i="7"/>
  <c r="G53" i="7"/>
  <c r="G54" i="7"/>
  <c r="L22" i="7" l="1"/>
  <c r="L21" i="7"/>
  <c r="L20" i="7"/>
  <c r="L19" i="7"/>
  <c r="L18" i="7"/>
  <c r="L17" i="7"/>
  <c r="L16" i="7"/>
  <c r="L15" i="7"/>
  <c r="L14" i="7"/>
  <c r="L13" i="7"/>
  <c r="L12" i="7"/>
  <c r="L11" i="7"/>
  <c r="L10" i="7"/>
  <c r="B11" i="4" l="1"/>
  <c r="D11" i="4"/>
  <c r="D12" i="4"/>
  <c r="E12" i="4"/>
  <c r="E11" i="4" l="1"/>
  <c r="F11" i="4"/>
  <c r="A24" i="4"/>
  <c r="Y12" i="4"/>
  <c r="K12" i="4"/>
  <c r="M12" i="4"/>
  <c r="A23" i="4"/>
  <c r="X11" i="4"/>
  <c r="J12" i="4"/>
  <c r="A17" i="4"/>
  <c r="A22" i="4"/>
  <c r="A28" i="4"/>
  <c r="I12" i="4"/>
  <c r="A25" i="4"/>
  <c r="A21" i="4"/>
  <c r="V12" i="4"/>
  <c r="H12" i="4"/>
  <c r="T12" i="4"/>
  <c r="A20" i="4"/>
  <c r="S12" i="4"/>
  <c r="G12" i="4"/>
  <c r="N12" i="4"/>
  <c r="A19" i="4"/>
  <c r="P11" i="4"/>
  <c r="F12" i="4"/>
  <c r="R12" i="4"/>
  <c r="A18" i="4"/>
  <c r="Q12" i="4"/>
  <c r="A15" i="4"/>
  <c r="V11" i="4"/>
  <c r="N11" i="4"/>
  <c r="A16" i="4"/>
  <c r="A14" i="4"/>
  <c r="U12" i="4"/>
  <c r="L11" i="4"/>
  <c r="R11" i="4"/>
  <c r="A13" i="4"/>
  <c r="N13" i="4" s="1"/>
  <c r="T11" i="4"/>
  <c r="J11" i="4"/>
  <c r="L12" i="4"/>
  <c r="AA12" i="4"/>
  <c r="C11" i="4"/>
  <c r="Z12" i="4"/>
  <c r="A29" i="4"/>
  <c r="X12" i="4"/>
  <c r="Z11" i="4"/>
  <c r="W12" i="4"/>
  <c r="A27" i="4"/>
  <c r="P12" i="4"/>
  <c r="O12" i="4"/>
  <c r="A26" i="4"/>
  <c r="H11" i="4"/>
  <c r="K15" i="4"/>
  <c r="F22" i="4"/>
  <c r="I18" i="4"/>
  <c r="G17" i="4"/>
  <c r="F26" i="4"/>
  <c r="T21" i="4"/>
  <c r="R15" i="4"/>
  <c r="G18" i="4"/>
  <c r="O13" i="4"/>
  <c r="U17" i="4"/>
  <c r="X25" i="4"/>
  <c r="S19" i="4"/>
  <c r="L16" i="4"/>
  <c r="C25" i="4"/>
  <c r="X29" i="4"/>
  <c r="S27" i="4"/>
  <c r="D14" i="4"/>
  <c r="AA23" i="4"/>
  <c r="F15" i="4"/>
  <c r="AA13" i="4"/>
  <c r="G21" i="4"/>
  <c r="P17" i="4"/>
  <c r="U18" i="4"/>
  <c r="G24" i="4"/>
  <c r="H18" i="4"/>
  <c r="O19" i="4"/>
  <c r="V17" i="4"/>
  <c r="F25" i="4"/>
  <c r="S22" i="4"/>
  <c r="M16" i="4"/>
  <c r="C28" i="4"/>
  <c r="Y29" i="4"/>
  <c r="B27" i="4"/>
  <c r="E13" i="4"/>
  <c r="AA20" i="4"/>
  <c r="I23" i="4"/>
  <c r="I22" i="4"/>
  <c r="G14" i="4"/>
  <c r="G13" i="4"/>
  <c r="L17" i="4"/>
  <c r="P18" i="4"/>
  <c r="N15" i="4"/>
  <c r="O24" i="4"/>
  <c r="X17" i="4"/>
  <c r="G25" i="4"/>
  <c r="S24" i="4"/>
  <c r="R16" i="4"/>
  <c r="C24" i="4"/>
  <c r="Z29" i="4"/>
  <c r="C27" i="4"/>
  <c r="D13" i="4"/>
  <c r="C20" i="4"/>
  <c r="V27" i="4"/>
  <c r="F14" i="4"/>
  <c r="F17" i="4"/>
  <c r="S16" i="4"/>
  <c r="W27" i="4"/>
  <c r="G23" i="4"/>
  <c r="Q23" i="4"/>
  <c r="Q28" i="4"/>
  <c r="T16" i="4"/>
  <c r="D28" i="4"/>
  <c r="Y19" i="4"/>
  <c r="R23" i="4"/>
  <c r="H28" i="4"/>
  <c r="V16" i="4"/>
  <c r="Y27" i="4"/>
  <c r="H14" i="4"/>
  <c r="F24" i="4"/>
  <c r="W14" i="4"/>
  <c r="M28" i="4"/>
  <c r="W16" i="4"/>
  <c r="Z27" i="4"/>
  <c r="T18" i="4"/>
  <c r="R20" i="4"/>
  <c r="E24" i="4"/>
  <c r="K22" i="4"/>
  <c r="S26" i="4"/>
  <c r="S29" i="4"/>
  <c r="V21" i="4"/>
  <c r="U15" i="4"/>
  <c r="T26" i="4"/>
  <c r="R24" i="4"/>
  <c r="G20" i="4"/>
  <c r="U25" i="4"/>
  <c r="M21" i="4"/>
  <c r="V25" i="4"/>
  <c r="E22" i="4"/>
  <c r="Z22" i="4"/>
  <c r="W26" i="4"/>
  <c r="D22" i="4"/>
  <c r="Z25" i="4"/>
  <c r="T13" i="4"/>
  <c r="U23" i="4"/>
  <c r="W15" i="4"/>
  <c r="L18" i="4"/>
  <c r="N14" i="4"/>
  <c r="P19" i="4"/>
  <c r="U29" i="4"/>
  <c r="P28" i="4"/>
  <c r="L22" i="4"/>
  <c r="X20" i="4"/>
  <c r="F18" i="4"/>
  <c r="O25" i="4"/>
  <c r="Q27" i="4"/>
  <c r="J21" i="4"/>
  <c r="X14" i="4"/>
  <c r="B19" i="4"/>
  <c r="J26" i="4"/>
  <c r="U24" i="4"/>
  <c r="G28" i="4"/>
  <c r="B13" i="4"/>
  <c r="H23" i="4"/>
  <c r="B16" i="4"/>
  <c r="I26" i="4"/>
  <c r="AA14" i="4"/>
  <c r="B23" i="4"/>
  <c r="W18" i="4"/>
  <c r="B14" i="4"/>
  <c r="K29" i="4"/>
  <c r="V20" i="4"/>
  <c r="O14" i="4"/>
  <c r="X26" i="4"/>
  <c r="J27" i="4"/>
  <c r="H19" i="4"/>
  <c r="T29" i="4"/>
  <c r="I19" i="4"/>
  <c r="W25" i="4"/>
  <c r="AA27" i="4"/>
  <c r="Y21" i="4"/>
  <c r="Q16" i="4"/>
  <c r="X22" i="4"/>
  <c r="C22" i="4"/>
  <c r="X27" i="4"/>
  <c r="D24" i="4"/>
  <c r="O15" i="4"/>
  <c r="E23" i="4"/>
  <c r="Q18" i="4"/>
  <c r="U26" i="4"/>
  <c r="D23" i="4"/>
  <c r="J23" i="4"/>
  <c r="K28" i="4"/>
  <c r="X24" i="4"/>
  <c r="Q20" i="4"/>
  <c r="G26" i="4"/>
  <c r="H20" i="4"/>
  <c r="J29" i="4"/>
  <c r="S14" i="4"/>
  <c r="K18" i="4"/>
  <c r="E15" i="4"/>
  <c r="J19" i="4"/>
  <c r="D15" i="4"/>
  <c r="Y22" i="4"/>
  <c r="W29" i="4"/>
  <c r="J13" i="4"/>
  <c r="I15" i="4"/>
  <c r="V22" i="4"/>
  <c r="AA19" i="4"/>
  <c r="V15" i="4"/>
  <c r="N28" i="4"/>
  <c r="X15" i="4"/>
  <c r="O23" i="4"/>
  <c r="Z17" i="4"/>
  <c r="H25" i="4"/>
  <c r="N19" i="4"/>
  <c r="U16" i="4"/>
  <c r="C18" i="4"/>
  <c r="AA29" i="4"/>
  <c r="R27" i="4"/>
  <c r="E26" i="4"/>
  <c r="X23" i="4"/>
  <c r="O21" i="4"/>
  <c r="Z15" i="4"/>
  <c r="J25" i="4"/>
  <c r="O16" i="4"/>
  <c r="C29" i="4"/>
  <c r="E17" i="4"/>
  <c r="H15" i="4"/>
  <c r="O26" i="4"/>
  <c r="S28" i="4"/>
  <c r="AA15" i="4"/>
  <c r="C17" i="4"/>
  <c r="N26" i="4"/>
  <c r="B22" i="4"/>
  <c r="X16" i="4"/>
  <c r="B15" i="4"/>
  <c r="L25" i="4"/>
  <c r="C23" i="4"/>
  <c r="E28" i="4"/>
  <c r="I14" i="4"/>
  <c r="Y24" i="4"/>
  <c r="C15" i="4"/>
  <c r="M25" i="4"/>
  <c r="B18" i="4"/>
  <c r="R17" i="4"/>
  <c r="S21" i="4"/>
  <c r="B26" i="4"/>
  <c r="R13" i="4"/>
  <c r="B24" i="4"/>
  <c r="W23" i="4"/>
  <c r="C19" i="4"/>
  <c r="C26" i="4"/>
  <c r="R19" i="4"/>
  <c r="B21" i="4"/>
  <c r="W20" i="4"/>
  <c r="R26" i="4"/>
  <c r="Q29" i="4"/>
  <c r="F21" i="4"/>
  <c r="P22" i="4"/>
  <c r="R22" i="4"/>
  <c r="T17" i="4"/>
  <c r="K21" i="4"/>
  <c r="I28" i="4"/>
  <c r="B20" i="4"/>
  <c r="L14" i="4"/>
  <c r="J28" i="4"/>
  <c r="I29" i="4"/>
  <c r="D27" i="4"/>
  <c r="U14" i="4"/>
  <c r="N17" i="4"/>
  <c r="R28" i="4"/>
  <c r="L28" i="4"/>
  <c r="I27" i="4"/>
  <c r="Z18" i="4"/>
  <c r="V23" i="4"/>
  <c r="P13" i="4"/>
  <c r="P27" i="4"/>
  <c r="I17" i="4"/>
  <c r="N16" i="4"/>
  <c r="H24" i="4"/>
  <c r="S23" i="4"/>
  <c r="L24" i="4"/>
  <c r="S13" i="4"/>
  <c r="Z20" i="4"/>
  <c r="O20" i="4"/>
  <c r="F28" i="4"/>
  <c r="H17" i="4"/>
  <c r="M14" i="4"/>
  <c r="X19" i="4"/>
  <c r="Y15" i="4"/>
  <c r="H26" i="4"/>
  <c r="AA17" i="4"/>
  <c r="I25" i="4"/>
  <c r="N20" i="4"/>
  <c r="Y16" i="4"/>
  <c r="C14" i="4"/>
  <c r="B29" i="4"/>
  <c r="T27" i="4"/>
  <c r="D26" i="4"/>
  <c r="H22" i="4"/>
  <c r="N25" i="4"/>
  <c r="K26" i="4"/>
  <c r="B17" i="4"/>
  <c r="C21" i="4"/>
  <c r="U27" i="4"/>
  <c r="K14" i="4"/>
  <c r="AA21" i="4"/>
  <c r="W19" i="4"/>
  <c r="M26" i="4"/>
  <c r="K25" i="4"/>
  <c r="P16" i="4"/>
  <c r="D17" i="4"/>
  <c r="Y17" i="4"/>
  <c r="AA25" i="4"/>
  <c r="Z26" i="4"/>
  <c r="N24" i="4"/>
  <c r="B25" i="4"/>
  <c r="G22" i="4"/>
  <c r="K24" i="4"/>
  <c r="AA26" i="4"/>
  <c r="N23" i="4"/>
  <c r="G15" i="4"/>
  <c r="V14" i="4"/>
  <c r="P25" i="4"/>
  <c r="H29" i="4"/>
  <c r="E25" i="4"/>
  <c r="K19" i="4"/>
  <c r="N22" i="4"/>
  <c r="Q25" i="4"/>
  <c r="E29" i="4"/>
  <c r="N18" i="4"/>
  <c r="O22" i="4"/>
  <c r="O28" i="4"/>
  <c r="Z16" i="4"/>
  <c r="Y14" i="4"/>
  <c r="AA16" i="4"/>
  <c r="S15" i="4"/>
  <c r="Z14" i="4"/>
  <c r="T25" i="4"/>
  <c r="E27" i="4"/>
  <c r="AA24" i="4"/>
  <c r="L21" i="4"/>
  <c r="C16" i="4"/>
  <c r="W21" i="4"/>
  <c r="Q14" i="4"/>
  <c r="Z21" i="4"/>
  <c r="C13" i="4"/>
  <c r="F29" i="4"/>
  <c r="W22" i="4"/>
  <c r="U28" i="4"/>
  <c r="E21" i="4"/>
  <c r="S17" i="4"/>
  <c r="D18" i="4"/>
  <c r="AA18" i="4"/>
  <c r="S20" i="4"/>
  <c r="Y20" i="4"/>
  <c r="O27" i="4"/>
  <c r="R14" i="4"/>
  <c r="Q17" i="4"/>
  <c r="D29" i="4"/>
  <c r="P20" i="4"/>
  <c r="D25" i="4"/>
  <c r="X21" i="4"/>
  <c r="R25" i="4"/>
  <c r="E16" i="4"/>
  <c r="Q21" i="4"/>
  <c r="K17" i="4"/>
  <c r="S25" i="4"/>
  <c r="D16" i="4"/>
  <c r="I21" i="4"/>
  <c r="G29" i="4"/>
  <c r="M20" i="4"/>
  <c r="Q22" i="4"/>
  <c r="T14" i="4"/>
  <c r="V26" i="4"/>
  <c r="H27" i="4"/>
  <c r="Q15" i="4"/>
  <c r="N21" i="4"/>
  <c r="U20" i="4"/>
  <c r="J14" i="4"/>
  <c r="Q13" i="4"/>
  <c r="I16" i="4"/>
  <c r="P26" i="4"/>
  <c r="L23" i="4"/>
  <c r="T28" i="4"/>
  <c r="O17" i="4"/>
  <c r="V29" i="4"/>
  <c r="J16" i="4"/>
  <c r="J22" i="4"/>
  <c r="H21" i="4"/>
  <c r="Z19" i="4"/>
  <c r="I13" i="4"/>
  <c r="W24" i="4"/>
  <c r="P15" i="4"/>
  <c r="F13" i="4"/>
  <c r="J24" i="4"/>
  <c r="I20" i="4"/>
  <c r="U13" i="4"/>
  <c r="M13" i="4"/>
  <c r="V28" i="4"/>
  <c r="V19" i="4"/>
  <c r="Q19" i="4"/>
  <c r="U19" i="4"/>
  <c r="L29" i="4"/>
  <c r="K27" i="4"/>
  <c r="D21" i="4"/>
  <c r="F20" i="4"/>
  <c r="H13" i="4"/>
  <c r="Y18" i="4"/>
  <c r="AA22" i="4"/>
  <c r="J20" i="4"/>
  <c r="V13" i="4"/>
  <c r="M19" i="4"/>
  <c r="W28" i="4"/>
  <c r="T23" i="4"/>
  <c r="Q26" i="4"/>
  <c r="U22" i="4"/>
  <c r="M29" i="4"/>
  <c r="L27" i="4"/>
  <c r="E20" i="4"/>
  <c r="F23" i="4"/>
  <c r="M24" i="4"/>
  <c r="R21" i="4"/>
  <c r="K20" i="4"/>
  <c r="W13" i="4"/>
  <c r="M15" i="4"/>
  <c r="X28" i="4"/>
  <c r="T20" i="4"/>
  <c r="Q24" i="4"/>
  <c r="L19" i="4"/>
  <c r="N29" i="4"/>
  <c r="M27" i="4"/>
  <c r="D20" i="4"/>
  <c r="Z23" i="4"/>
  <c r="P14" i="4"/>
  <c r="V24" i="4"/>
  <c r="K23" i="4"/>
  <c r="U21" i="4"/>
  <c r="S18" i="4"/>
  <c r="L20" i="4"/>
  <c r="X13" i="4"/>
  <c r="M18" i="4"/>
  <c r="Y28" i="4"/>
  <c r="T19" i="4"/>
  <c r="F16" i="4"/>
  <c r="L26" i="4"/>
  <c r="O29" i="4"/>
  <c r="G27" i="4"/>
  <c r="E19" i="4"/>
  <c r="J15" i="4"/>
  <c r="X18" i="4"/>
  <c r="K16" i="4"/>
  <c r="V18" i="4"/>
  <c r="T15" i="4"/>
  <c r="F19" i="4"/>
  <c r="Y13" i="4"/>
  <c r="M23" i="4"/>
  <c r="Z28" i="4"/>
  <c r="T22" i="4"/>
  <c r="G16" i="4"/>
  <c r="L13" i="4"/>
  <c r="P29" i="4"/>
  <c r="N27" i="4"/>
  <c r="D19" i="4"/>
  <c r="P21" i="4"/>
  <c r="J17" i="4"/>
  <c r="Z24" i="4"/>
  <c r="M17" i="4"/>
  <c r="G19" i="4"/>
  <c r="Z13" i="4"/>
  <c r="M22" i="4"/>
  <c r="AA28" i="4"/>
  <c r="T24" i="4"/>
  <c r="H16" i="4"/>
  <c r="L15" i="4"/>
  <c r="R29" i="4"/>
  <c r="F27" i="4"/>
  <c r="E18" i="4"/>
  <c r="Y23" i="4"/>
  <c r="I24" i="4"/>
  <c r="K13" i="4"/>
  <c r="R18" i="4"/>
  <c r="B28" i="4"/>
  <c r="O18" i="4"/>
  <c r="W17" i="4"/>
  <c r="J18" i="4"/>
  <c r="Y25" i="4"/>
  <c r="Y26" i="4"/>
  <c r="P23" i="4"/>
  <c r="E14" i="4"/>
  <c r="P24" i="4"/>
  <c r="AB13" i="4" l="1"/>
  <c r="AB16" i="4"/>
  <c r="AB21" i="4"/>
  <c r="AB14" i="4"/>
  <c r="AB26" i="4"/>
  <c r="AB19" i="4"/>
  <c r="AB15" i="4"/>
  <c r="AB23" i="4"/>
  <c r="AB17" i="4"/>
  <c r="AB29" i="4"/>
  <c r="AB18" i="4"/>
  <c r="AB22" i="4"/>
  <c r="AB20" i="4"/>
  <c r="AB27" i="4"/>
  <c r="AB24" i="4"/>
  <c r="AB28" i="4"/>
  <c r="AB25" i="4"/>
  <c r="AA11" i="4"/>
  <c r="U11" i="4"/>
  <c r="S11" i="4"/>
  <c r="W11" i="4"/>
  <c r="Q11" i="4"/>
  <c r="Y11" i="4"/>
  <c r="G11" i="4"/>
  <c r="I11" i="4"/>
  <c r="K11" i="4"/>
  <c r="M11" i="4"/>
  <c r="O11" i="4"/>
  <c r="AC20" i="4" l="1"/>
  <c r="AC23" i="4"/>
  <c r="AC28" i="4"/>
  <c r="AC27" i="4"/>
  <c r="AC29" i="4"/>
  <c r="AC16" i="4"/>
  <c r="AC25" i="4"/>
  <c r="AC24" i="4"/>
  <c r="AC22" i="4"/>
  <c r="AC18" i="4"/>
  <c r="AC17" i="4"/>
  <c r="AC15" i="4"/>
  <c r="AC19" i="4"/>
  <c r="AC26" i="4"/>
  <c r="AC14" i="4"/>
  <c r="AC21" i="4"/>
  <c r="AC13" i="4"/>
  <c r="AE13" i="4" s="1"/>
  <c r="AE18" i="4" l="1"/>
  <c r="AE25" i="4"/>
  <c r="AE21" i="4"/>
  <c r="AE14" i="4"/>
  <c r="AE15" i="4"/>
  <c r="AE17" i="4"/>
  <c r="AE22" i="4"/>
  <c r="AE24" i="4"/>
  <c r="AE16" i="4"/>
  <c r="AE29" i="4"/>
  <c r="AE27" i="4"/>
  <c r="AE19" i="4"/>
  <c r="AE28" i="4"/>
  <c r="AE26" i="4"/>
  <c r="AE23" i="4"/>
  <c r="AE20" i="4"/>
</calcChain>
</file>

<file path=xl/connections.xml><?xml version="1.0" encoding="utf-8"?>
<connections xmlns="http://schemas.openxmlformats.org/spreadsheetml/2006/main">
  <connection id="1" name="Query - Actual" description="Connection to the 'Actual' query in the workbook." type="100" refreshedVersion="6" minRefreshableVersion="5">
    <extLst>
      <ext xmlns:x15="http://schemas.microsoft.com/office/spreadsheetml/2010/11/main" uri="{DE250136-89BD-433C-8126-D09CA5730AF9}">
        <x15:connection id="b9dd020a-4dde-4d20-820b-4149a7296316"/>
      </ext>
    </extLst>
  </connection>
  <connection id="2" name="Query - Budget" description="Connection to the 'Budget' query in the workbook." type="100" refreshedVersion="6" minRefreshableVersion="5">
    <extLst>
      <ext xmlns:x15="http://schemas.microsoft.com/office/spreadsheetml/2010/11/main" uri="{DE250136-89BD-433C-8126-D09CA5730AF9}">
        <x15:connection id="db91c8da-3539-45d1-9b32-d318fb7b61a2"/>
      </ext>
    </extLst>
  </connection>
  <connection id="3" name="Query - Calender" description="Connection to the 'Calender' query in the workbook." type="100" refreshedVersion="6" minRefreshableVersion="5">
    <extLst>
      <ext xmlns:x15="http://schemas.microsoft.com/office/spreadsheetml/2010/11/main" uri="{DE250136-89BD-433C-8126-D09CA5730AF9}">
        <x15:connection id="ab382271-e13f-44f4-b1d6-32b90540984b"/>
      </ext>
    </extLst>
  </connection>
  <connection id="4" name="Query - D_Account" description="Connection to the 'D_Account' query in the workbook." type="100" refreshedVersion="6" minRefreshableVersion="5">
    <extLst>
      <ext xmlns:x15="http://schemas.microsoft.com/office/spreadsheetml/2010/11/main" uri="{DE250136-89BD-433C-8126-D09CA5730AF9}">
        <x15:connection id="01f26736-421f-4bac-b08f-3c25a75f6a5c"/>
      </ext>
    </extLst>
  </connection>
  <connection id="5" name="Query - D_Department" description="Connection to the 'D_Department' query in the workbook." type="100" refreshedVersion="6" minRefreshableVersion="5">
    <extLst>
      <ext xmlns:x15="http://schemas.microsoft.com/office/spreadsheetml/2010/11/main" uri="{DE250136-89BD-433C-8126-D09CA5730AF9}">
        <x15:connection id="a96ff8f5-1419-48e0-88d8-38c9a503621e"/>
      </ext>
    </extLst>
  </connection>
  <connection id="6" name="Query - D_Type" description="Connection to the 'D_Type' query in the workbook." type="100" refreshedVersion="6" minRefreshableVersion="5">
    <extLst>
      <ext xmlns:x15="http://schemas.microsoft.com/office/spreadsheetml/2010/11/main" uri="{DE250136-89BD-433C-8126-D09CA5730AF9}">
        <x15:connection id="4a44fb6a-61d3-46f4-8c75-8405b51bd569"/>
      </ext>
    </extLst>
  </connection>
  <connection id="7" keepAlive="1" name="Query - Refrence" description="Connection to the 'Refrence' query in the workbook." type="5" refreshedVersion="0" background="1">
    <dbPr connection="Provider=Microsoft.Mashup.OleDb.1;Data Source=$Workbook$;Location=Refrence;Extended Properties=" command="SELECT * FROM [Refrence]"/>
  </connection>
  <connection id="8"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5">
    <s v="ThisWorkbookDataModel"/>
    <s v="{[D_Type].[Type].[All]}"/>
    <s v="{[D_Department].[Department].[All]}"/>
    <s v="[D_Account].[AccountName].&amp;[Salaries]"/>
    <s v="[Calender].[Month Name].&amp;[Apr]"/>
    <s v="[Measures].[Actual]"/>
    <s v="[D_Account].[AccountName].&amp;[Rent]"/>
    <s v="[Measures].[Budget]"/>
    <s v="[D_Account].[AccountName].&amp;[Professional Services]"/>
    <s v="[Calender].[Month Name].&amp;[Mar]"/>
    <s v="[D_Account].[AccountName].&amp;[Office Supplies]"/>
    <s v="[D_Account].[AccountName].&amp;[Marketing Materials]"/>
    <s v="[Calender].[Month Name].&amp;[Feb]"/>
    <s v="[D_Account].[AccountName].&amp;[Furniture, Fixtures, and Equipment]"/>
    <s v="[D_Account].[AccountName].&amp;[Employee Benefits]"/>
    <s v="[Calender].[Month Name].&amp;[Jan]"/>
    <s v="[D_Account].[AccountName].&amp;[Cost of Sales]"/>
    <s v="[Calender].[Month Name].&amp;[Jun]"/>
    <s v="[D_Account].[AccountName].&amp;[Discounts]"/>
    <s v="[Calender].[Month Name].&amp;[May]"/>
    <s v="[D_Account].[AccountName].&amp;[Sales]"/>
    <s v="[Calender].[Month Name].&amp;[Dec]"/>
    <s v="[Calender].[Month Name].&amp;[Nov]"/>
    <s v="[Calender].[Month Name].&amp;[Oct]"/>
    <s v="[Calender].[Month Name].&amp;[Jul]"/>
    <s v="[D_Account].[AccountName].&amp;[Telephone]"/>
    <s v="[D_Account].[AccountName].&amp;[Conferences]"/>
    <s v="[D_Account].[AccountName].&amp;[Utilities]"/>
    <s v="[D_Account].[AccountName].&amp;[Vehicles]"/>
    <s v="[Calender].[Month Name].&amp;[Sep]"/>
    <s v="[Calender].[Month Name].&amp;[Aug]"/>
    <s v="[D_Account].[AccountName].&amp;[Commissions]"/>
    <s v="[D_Account].[AccountName].[All]"/>
    <s v="[D_Account].[AccountName].&amp;[Travel]"/>
    <s v="#,0"/>
  </metadataStrings>
  <mdxMetadata count="497">
    <mdx n="0" f="m">
      <t c="1">
        <n x="3"/>
      </t>
    </mdx>
    <mdx n="0" f="m">
      <t c="2">
        <n x="4"/>
        <n x="5"/>
      </t>
    </mdx>
    <mdx n="0" f="m">
      <t c="1">
        <n x="6"/>
      </t>
    </mdx>
    <mdx n="0" f="m">
      <t c="2">
        <n x="4"/>
        <n x="7"/>
      </t>
    </mdx>
    <mdx n="0" f="m">
      <t c="1">
        <n x="8"/>
      </t>
    </mdx>
    <mdx n="0" f="m">
      <t c="2">
        <n x="9"/>
        <n x="5"/>
      </t>
    </mdx>
    <mdx n="0" f="m">
      <t c="1">
        <n x="10"/>
      </t>
    </mdx>
    <mdx n="0" f="m">
      <t c="2">
        <n x="9"/>
        <n x="7"/>
      </t>
    </mdx>
    <mdx n="0" f="m">
      <t c="1">
        <n x="11"/>
      </t>
    </mdx>
    <mdx n="0" f="m">
      <t c="2">
        <n x="12"/>
        <n x="5"/>
      </t>
    </mdx>
    <mdx n="0" f="m">
      <t c="1">
        <n x="13"/>
      </t>
    </mdx>
    <mdx n="0" f="m">
      <t c="2">
        <n x="12"/>
        <n x="7"/>
      </t>
    </mdx>
    <mdx n="0" f="m">
      <t c="1">
        <n x="14"/>
      </t>
    </mdx>
    <mdx n="0" f="m">
      <t c="2">
        <n x="15"/>
        <n x="5"/>
      </t>
    </mdx>
    <mdx n="0" f="m">
      <t c="1">
        <n x="16"/>
      </t>
    </mdx>
    <mdx n="0" f="m">
      <t c="1">
        <n x="17"/>
      </t>
    </mdx>
    <mdx n="0" f="m">
      <t c="1">
        <n x="18"/>
      </t>
    </mdx>
    <mdx n="0" f="m">
      <t c="1">
        <n x="19"/>
      </t>
    </mdx>
    <mdx n="0" f="m">
      <t c="1">
        <n x="20"/>
      </t>
    </mdx>
    <mdx n="0" f="m">
      <t c="1">
        <n x="4"/>
      </t>
    </mdx>
    <mdx n="0" f="m">
      <t c="2">
        <n x="21"/>
        <n x="5"/>
      </t>
    </mdx>
    <mdx n="0" f="m">
      <t c="2">
        <n x="21"/>
        <n x="7"/>
      </t>
    </mdx>
    <mdx n="0" f="m">
      <t c="2">
        <n x="22"/>
        <n x="7"/>
      </t>
    </mdx>
    <mdx n="0" f="m">
      <t c="2">
        <n x="23"/>
        <n x="5"/>
      </t>
    </mdx>
    <mdx n="0" f="m">
      <t c="2">
        <n x="24"/>
        <n x="7"/>
      </t>
    </mdx>
    <mdx n="0" f="m">
      <t c="2">
        <n x="17"/>
        <n x="5"/>
      </t>
    </mdx>
    <mdx n="0" f="m">
      <t c="1">
        <n x="25"/>
      </t>
    </mdx>
    <mdx n="0" f="m">
      <t c="1">
        <n x="9"/>
      </t>
    </mdx>
    <mdx n="0" f="m">
      <t c="1">
        <n x="12"/>
      </t>
    </mdx>
    <mdx n="0" f="m">
      <t c="2">
        <n x="22"/>
        <n x="5"/>
      </t>
    </mdx>
    <mdx n="0" f="m">
      <t c="2">
        <n x="19"/>
        <n x="5"/>
      </t>
    </mdx>
    <mdx n="0" f="m">
      <t c="1">
        <n x="22"/>
      </t>
    </mdx>
    <mdx n="0" f="m">
      <t c="1">
        <n x="26"/>
      </t>
    </mdx>
    <mdx n="0" f="m">
      <t c="1">
        <n x="27"/>
      </t>
    </mdx>
    <mdx n="0" f="m">
      <t c="1">
        <n x="28"/>
      </t>
    </mdx>
    <mdx n="0" f="m">
      <t c="1">
        <n x="15"/>
      </t>
    </mdx>
    <mdx n="0" f="m">
      <t c="2">
        <n x="23"/>
        <n x="7"/>
      </t>
    </mdx>
    <mdx n="0" f="m">
      <t c="2">
        <n x="29"/>
        <n x="7"/>
      </t>
    </mdx>
    <mdx n="0" f="m">
      <t c="2">
        <n x="30"/>
        <n x="5"/>
      </t>
    </mdx>
    <mdx n="0" f="m">
      <t c="2">
        <n x="17"/>
        <n x="7"/>
      </t>
    </mdx>
    <mdx n="0" f="m">
      <t c="1">
        <n x="24"/>
      </t>
    </mdx>
    <mdx n="0" f="m">
      <t c="2">
        <n x="30"/>
        <n x="7"/>
      </t>
    </mdx>
    <mdx n="0" f="m">
      <t c="2">
        <n x="24"/>
        <n x="5"/>
      </t>
    </mdx>
    <mdx n="0" f="m">
      <t c="1">
        <n x="23"/>
      </t>
    </mdx>
    <mdx n="0" f="m">
      <t c="1">
        <n x="31"/>
      </t>
    </mdx>
    <mdx n="0" f="m">
      <t c="2">
        <n x="29"/>
        <n x="5"/>
      </t>
    </mdx>
    <mdx n="0" f="m">
      <t c="1">
        <n x="30"/>
      </t>
    </mdx>
    <mdx n="0" f="m">
      <t c="1">
        <n x="29"/>
      </t>
    </mdx>
    <mdx n="0" f="m">
      <t c="2">
        <n x="19"/>
        <n x="7"/>
      </t>
    </mdx>
    <mdx n="0" f="m">
      <t c="2">
        <n x="15"/>
        <n x="7"/>
      </t>
    </mdx>
    <mdx n="0" f="m">
      <t c="1">
        <n x="5"/>
      </t>
    </mdx>
    <mdx n="0" f="m">
      <t c="1">
        <n x="32"/>
      </t>
    </mdx>
    <mdx n="0" f="m">
      <t c="1">
        <n x="7"/>
      </t>
    </mdx>
    <mdx n="0" f="m">
      <t c="1">
        <n x="21"/>
      </t>
    </mdx>
    <mdx n="0" f="m">
      <t c="1">
        <n x="33"/>
      </t>
    </mdx>
    <mdx n="0" f="v">
      <t c="5" si="34">
        <n x="10"/>
        <n x="4"/>
        <n x="7"/>
        <n x="1" s="1"/>
        <n x="2" s="1"/>
      </t>
    </mdx>
    <mdx n="0" f="v">
      <t c="5" si="34">
        <n x="8"/>
        <n x="4"/>
        <n x="5"/>
        <n x="1" s="1"/>
        <n x="2" s="1"/>
      </t>
    </mdx>
    <mdx n="0" f="v">
      <t c="5" si="34">
        <n x="10"/>
        <n x="9"/>
        <n x="5"/>
        <n x="1" s="1"/>
        <n x="2" s="1"/>
      </t>
    </mdx>
    <mdx n="0" f="v">
      <t c="5" si="34">
        <n x="11"/>
        <n x="12"/>
        <n x="5"/>
        <n x="1" s="1"/>
        <n x="2" s="1"/>
      </t>
    </mdx>
    <mdx n="0" f="v">
      <t c="5" si="34">
        <n x="8"/>
        <n x="4"/>
        <n x="7"/>
        <n x="1" s="1"/>
        <n x="2" s="1"/>
      </t>
    </mdx>
    <mdx n="0" f="v">
      <t c="5" si="34">
        <n x="10"/>
        <n x="9"/>
        <n x="7"/>
        <n x="1" s="1"/>
        <n x="2" s="1"/>
      </t>
    </mdx>
    <mdx n="0" f="v">
      <t c="5" si="34">
        <n x="11"/>
        <n x="12"/>
        <n x="7"/>
        <n x="1" s="1"/>
        <n x="2" s="1"/>
      </t>
    </mdx>
    <mdx n="0" f="v">
      <t c="5" si="34">
        <n x="10"/>
        <n x="15"/>
        <n x="5"/>
        <n x="1" s="1"/>
        <n x="2" s="1"/>
      </t>
    </mdx>
    <mdx n="0" f="v">
      <t c="5" si="34">
        <n x="14"/>
        <n x="4"/>
        <n x="5"/>
        <n x="1" s="1"/>
        <n x="2" s="1"/>
      </t>
    </mdx>
    <mdx n="0" f="v">
      <t c="5" si="34">
        <n x="16"/>
        <n x="4"/>
        <n x="5"/>
        <n x="1" s="1"/>
        <n x="2" s="1"/>
      </t>
    </mdx>
    <mdx n="0" f="v">
      <t c="5" si="34">
        <n x="6"/>
        <n x="21"/>
        <n x="5"/>
        <n x="1" s="1"/>
        <n x="2" s="1"/>
      </t>
    </mdx>
    <mdx n="0" f="v">
      <t c="5" si="34">
        <n x="11"/>
        <n x="21"/>
        <n x="5"/>
        <n x="1" s="1"/>
        <n x="2" s="1"/>
      </t>
    </mdx>
    <mdx n="0" f="v">
      <t c="5" si="34">
        <n x="11"/>
        <n x="21"/>
        <n x="7"/>
        <n x="1" s="1"/>
        <n x="2" s="1"/>
      </t>
    </mdx>
    <mdx n="0" f="v">
      <t c="5" si="34">
        <n x="8"/>
        <n x="9"/>
        <n x="7"/>
        <n x="1" s="1"/>
        <n x="2" s="1"/>
      </t>
    </mdx>
    <mdx n="0" f="v">
      <t c="5" si="34">
        <n x="16"/>
        <n x="9"/>
        <n x="7"/>
        <n x="1" s="1"/>
        <n x="2" s="1"/>
      </t>
    </mdx>
    <mdx n="0" f="v">
      <t c="5" si="34">
        <n x="8"/>
        <n x="12"/>
        <n x="5"/>
        <n x="1" s="1"/>
        <n x="2" s="1"/>
      </t>
    </mdx>
    <mdx n="0" f="v">
      <t c="5" si="34">
        <n x="16"/>
        <n x="12"/>
        <n x="5"/>
        <n x="1" s="1"/>
        <n x="2" s="1"/>
      </t>
    </mdx>
    <mdx n="0" f="v">
      <t c="5" si="34">
        <n x="6"/>
        <n x="23"/>
        <n x="5"/>
        <n x="1" s="1"/>
        <n x="2" s="1"/>
      </t>
    </mdx>
    <mdx n="0" f="v">
      <t c="5" si="34">
        <n x="11"/>
        <n x="23"/>
        <n x="5"/>
        <n x="1" s="1"/>
        <n x="2" s="1"/>
      </t>
    </mdx>
    <mdx n="0" f="v">
      <t c="5" si="34">
        <n x="8"/>
        <n x="15"/>
        <n x="5"/>
        <n x="1" s="1"/>
        <n x="2" s="1"/>
      </t>
    </mdx>
    <mdx n="0" f="v">
      <t c="5" si="34">
        <n x="6"/>
        <n x="9"/>
        <n x="7"/>
        <n x="1" s="1"/>
        <n x="2" s="1"/>
      </t>
    </mdx>
    <mdx n="0" f="v">
      <t c="5" si="34">
        <n x="10"/>
        <n x="23"/>
        <n x="5"/>
        <n x="1" s="1"/>
        <n x="2" s="1"/>
      </t>
    </mdx>
    <mdx n="0" f="v">
      <t c="5" si="34">
        <n x="8"/>
        <n x="21"/>
        <n x="7"/>
        <n x="1" s="1"/>
        <n x="2" s="1"/>
      </t>
    </mdx>
    <mdx n="0" f="v">
      <t c="5" si="34">
        <n x="18"/>
        <n x="4"/>
        <n x="7"/>
        <n x="1" s="1"/>
        <n x="2" s="1"/>
      </t>
    </mdx>
    <mdx n="0" f="v">
      <t c="5" si="34">
        <n x="13"/>
        <n x="21"/>
        <n x="7"/>
        <n x="1" s="1"/>
        <n x="2" s="1"/>
      </t>
    </mdx>
    <mdx n="0" f="v">
      <t c="5" si="34">
        <n x="6"/>
        <n x="21"/>
        <n x="7"/>
        <n x="1" s="1"/>
        <n x="2" s="1"/>
      </t>
    </mdx>
    <mdx n="0" f="v">
      <t c="5" si="34">
        <n x="16"/>
        <n x="4"/>
        <n x="7"/>
        <n x="1" s="1"/>
        <n x="2" s="1"/>
      </t>
    </mdx>
    <mdx n="0" f="v">
      <t c="5" si="34">
        <n x="6"/>
        <n x="22"/>
        <n x="5"/>
        <n x="1" s="1"/>
        <n x="2" s="1"/>
      </t>
    </mdx>
    <mdx n="0" f="v">
      <t c="5" si="34">
        <n x="25"/>
        <n x="24"/>
        <n x="7"/>
        <n x="1" s="1"/>
        <n x="2" s="1"/>
      </t>
    </mdx>
    <mdx n="0" f="v">
      <t c="5" si="34">
        <n x="11"/>
        <n x="22"/>
        <n x="5"/>
        <n x="1" s="1"/>
        <n x="2" s="1"/>
      </t>
    </mdx>
    <mdx n="0" f="v">
      <t c="5" si="34">
        <n x="11"/>
        <n x="22"/>
        <n x="7"/>
        <n x="1" s="1"/>
        <n x="2" s="1"/>
      </t>
    </mdx>
    <mdx n="0" f="v">
      <t c="5" si="34">
        <n x="8"/>
        <n x="12"/>
        <n x="7"/>
        <n x="1" s="1"/>
        <n x="2" s="1"/>
      </t>
    </mdx>
    <mdx n="0" f="v">
      <t c="5" si="34">
        <n x="16"/>
        <n x="12"/>
        <n x="7"/>
        <n x="1" s="1"/>
        <n x="2" s="1"/>
      </t>
    </mdx>
    <mdx n="0" f="v">
      <t c="5" si="34">
        <n x="16"/>
        <n x="15"/>
        <n x="5"/>
        <n x="1" s="1"/>
        <n x="2" s="1"/>
      </t>
    </mdx>
    <mdx n="0" f="v">
      <t c="5" si="34">
        <n x="6"/>
        <n x="9"/>
        <n x="5"/>
        <n x="1" s="1"/>
        <n x="2" s="1"/>
      </t>
    </mdx>
    <mdx n="0" f="v">
      <t c="5" si="34">
        <n x="20"/>
        <n x="4"/>
        <n x="7"/>
        <n x="1" s="1"/>
        <n x="2" s="1"/>
      </t>
    </mdx>
    <mdx n="0" f="v">
      <t c="5" si="34">
        <n x="11"/>
        <n x="17"/>
        <n x="5"/>
        <n x="1" s="1"/>
        <n x="2" s="1"/>
      </t>
    </mdx>
    <mdx n="0" f="v">
      <t c="5" si="34">
        <n x="25"/>
        <n x="15"/>
        <n x="5"/>
        <n x="1" s="1"/>
        <n x="2" s="1"/>
      </t>
    </mdx>
    <mdx n="0" f="v">
      <t c="5" si="34">
        <n x="18"/>
        <n x="4"/>
        <n x="5"/>
        <n x="1" s="1"/>
        <n x="2" s="1"/>
      </t>
    </mdx>
    <mdx n="0" f="v">
      <t c="5" si="34">
        <n x="18"/>
        <n x="9"/>
        <n x="5"/>
        <n x="1" s="1"/>
        <n x="2" s="1"/>
      </t>
    </mdx>
    <mdx n="0" f="v">
      <t c="5" si="34">
        <n x="13"/>
        <n x="22"/>
        <n x="5"/>
        <n x="1" s="1"/>
        <n x="2" s="1"/>
      </t>
    </mdx>
    <mdx n="0" f="v">
      <t c="5" si="34">
        <n x="18"/>
        <n x="9"/>
        <n x="7"/>
        <n x="1" s="1"/>
        <n x="2" s="1"/>
      </t>
    </mdx>
    <mdx n="0" f="v">
      <t c="5" si="34">
        <n x="10"/>
        <n x="12"/>
        <n x="7"/>
        <n x="1" s="1"/>
        <n x="2" s="1"/>
      </t>
    </mdx>
    <mdx n="0" f="v">
      <t c="5" si="34">
        <n x="16"/>
        <n x="17"/>
        <n x="5"/>
        <n x="1" s="1"/>
        <n x="2" s="1"/>
      </t>
    </mdx>
    <mdx n="0" f="v">
      <t c="5" si="34">
        <n x="3"/>
        <n x="21"/>
        <n x="5"/>
        <n x="1" s="1"/>
        <n x="2" s="1"/>
      </t>
    </mdx>
    <mdx n="0" f="v">
      <t c="5" si="34">
        <n x="6"/>
        <n x="4"/>
        <n x="7"/>
        <n x="1" s="1"/>
        <n x="2" s="1"/>
      </t>
    </mdx>
    <mdx n="0" f="v">
      <t c="5" si="34">
        <n x="3"/>
        <n x="22"/>
        <n x="7"/>
        <n x="1" s="1"/>
        <n x="2" s="1"/>
      </t>
    </mdx>
    <mdx n="0" f="v">
      <t c="5" si="34">
        <n x="14"/>
        <n x="21"/>
        <n x="7"/>
        <n x="1" s="1"/>
        <n x="2" s="1"/>
      </t>
    </mdx>
    <mdx n="0" f="v">
      <t c="5" si="34">
        <n x="20"/>
        <n x="9"/>
        <n x="5"/>
        <n x="1" s="1"/>
        <n x="2" s="1"/>
      </t>
    </mdx>
    <mdx n="0" f="v">
      <t c="5" si="34">
        <n x="20"/>
        <n x="9"/>
        <n x="7"/>
        <n x="1" s="1"/>
        <n x="2" s="1"/>
      </t>
    </mdx>
    <mdx n="0" f="v">
      <t c="5" si="34">
        <n x="6"/>
        <n x="12"/>
        <n x="7"/>
        <n x="1" s="1"/>
        <n x="2" s="1"/>
      </t>
    </mdx>
    <mdx n="0" f="v">
      <t c="5" si="34">
        <n x="18"/>
        <n x="24"/>
        <n x="7"/>
        <n x="1" s="1"/>
        <n x="2" s="1"/>
      </t>
    </mdx>
    <mdx n="0" f="v">
      <t c="5" si="34">
        <n x="10"/>
        <n x="24"/>
        <n x="7"/>
        <n x="1" s="1"/>
        <n x="2" s="1"/>
      </t>
    </mdx>
    <mdx n="0" f="v">
      <t c="5" si="34">
        <n x="14"/>
        <n x="17"/>
        <n x="5"/>
        <n x="1" s="1"/>
        <n x="2" s="1"/>
      </t>
    </mdx>
    <mdx n="0" f="v">
      <t c="5" si="34">
        <n x="14"/>
        <n x="4"/>
        <n x="7"/>
        <n x="1" s="1"/>
        <n x="2" s="1"/>
      </t>
    </mdx>
    <mdx n="0" f="v">
      <t c="5" si="34">
        <n x="25"/>
        <n x="22"/>
        <n x="5"/>
        <n x="1" s="1"/>
        <n x="2" s="1"/>
      </t>
    </mdx>
    <mdx n="0" f="v">
      <t c="5" si="34">
        <n x="14"/>
        <n x="9"/>
        <n x="5"/>
        <n x="1" s="1"/>
        <n x="2" s="1"/>
      </t>
    </mdx>
    <mdx n="0" f="v">
      <t c="5" si="34">
        <n x="20"/>
        <n x="21"/>
        <n x="5"/>
        <n x="1" s="1"/>
        <n x="2" s="1"/>
      </t>
    </mdx>
    <mdx n="0" f="v">
      <t c="5" si="34">
        <n x="8"/>
        <n x="9"/>
        <n x="5"/>
        <n x="1" s="1"/>
        <n x="2" s="1"/>
      </t>
    </mdx>
    <mdx n="0" f="v">
      <t c="5" si="34">
        <n x="16"/>
        <n x="9"/>
        <n x="5"/>
        <n x="1" s="1"/>
        <n x="2" s="1"/>
      </t>
    </mdx>
    <mdx n="0" f="v">
      <t c="5" si="34">
        <n x="27"/>
        <n x="12"/>
        <n x="7"/>
        <n x="1" s="1"/>
        <n x="2" s="1"/>
      </t>
    </mdx>
    <mdx n="0" f="v">
      <t c="5" si="34">
        <n x="6"/>
        <n x="22"/>
        <n x="7"/>
        <n x="1" s="1"/>
        <n x="2" s="1"/>
      </t>
    </mdx>
    <mdx n="0" f="v">
      <t c="5" si="34">
        <n x="25"/>
        <n x="17"/>
        <n x="5"/>
        <n x="1" s="1"/>
        <n x="2" s="1"/>
      </t>
    </mdx>
    <mdx n="0" f="v">
      <t c="5" si="34">
        <n x="26"/>
        <n x="22"/>
        <n x="5"/>
        <n x="1" s="1"/>
        <n x="2" s="1"/>
      </t>
    </mdx>
    <mdx n="0" f="v">
      <t c="5" si="34">
        <n x="13"/>
        <n x="4"/>
        <n x="5"/>
        <n x="1" s="1"/>
        <n x="2" s="1"/>
      </t>
    </mdx>
    <mdx n="0" f="v">
      <t c="5" si="34">
        <n x="25"/>
        <n x="4"/>
        <n x="7"/>
        <n x="1" s="1"/>
        <n x="2" s="1"/>
      </t>
    </mdx>
    <mdx n="0" f="v">
      <t c="5" si="34">
        <n x="26"/>
        <n x="29"/>
        <n x="7"/>
        <n x="1" s="1"/>
        <n x="2" s="1"/>
      </t>
    </mdx>
    <mdx n="0" f="v">
      <t c="5" si="34">
        <n x="25"/>
        <n x="9"/>
        <n x="5"/>
        <n x="1" s="1"/>
        <n x="2" s="1"/>
      </t>
    </mdx>
    <mdx n="0" f="v">
      <t c="5" si="34">
        <n x="18"/>
        <n x="29"/>
        <n x="7"/>
        <n x="1" s="1"/>
        <n x="2" s="1"/>
      </t>
    </mdx>
    <mdx n="0" f="v">
      <t c="5" si="34">
        <n x="10"/>
        <n x="21"/>
        <n x="7"/>
        <n x="1" s="1"/>
        <n x="2" s="1"/>
      </t>
    </mdx>
    <mdx n="0" f="v">
      <t c="5" si="34">
        <n x="25"/>
        <n x="12"/>
        <n x="5"/>
        <n x="1" s="1"/>
        <n x="2" s="1"/>
      </t>
    </mdx>
    <mdx n="0" f="v">
      <t c="5" si="34">
        <n x="3"/>
        <n x="23"/>
        <n x="5"/>
        <n x="1" s="1"/>
        <n x="2" s="1"/>
      </t>
    </mdx>
    <mdx n="0" f="v">
      <t c="5" si="34">
        <n x="14"/>
        <n x="22"/>
        <n x="5"/>
        <n x="1" s="1"/>
        <n x="2" s="1"/>
      </t>
    </mdx>
    <mdx n="0" f="v">
      <t c="5" si="34">
        <n x="3"/>
        <n x="23"/>
        <n x="7"/>
        <n x="1" s="1"/>
        <n x="2" s="1"/>
      </t>
    </mdx>
    <mdx n="0" f="v">
      <t c="5" si="34">
        <n x="14"/>
        <n x="22"/>
        <n x="7"/>
        <n x="1" s="1"/>
        <n x="2" s="1"/>
      </t>
    </mdx>
    <mdx n="0" f="v">
      <t c="5" si="34">
        <n x="26"/>
        <n x="4"/>
        <n x="7"/>
        <n x="1" s="1"/>
        <n x="2" s="1"/>
      </t>
    </mdx>
    <mdx n="0" f="v">
      <t c="5" si="34">
        <n x="3"/>
        <n x="9"/>
        <n x="5"/>
        <n x="1" s="1"/>
        <n x="2" s="1"/>
      </t>
    </mdx>
    <mdx n="0" f="v">
      <t c="5" si="34">
        <n x="26"/>
        <n x="9"/>
        <n x="5"/>
        <n x="1" s="1"/>
        <n x="2" s="1"/>
      </t>
    </mdx>
    <mdx n="0" f="v">
      <t c="5" si="34">
        <n x="3"/>
        <n x="9"/>
        <n x="7"/>
        <n x="1" s="1"/>
        <n x="2" s="1"/>
      </t>
    </mdx>
    <mdx n="0" f="v">
      <t c="5" si="34">
        <n x="8"/>
        <n x="22"/>
        <n x="7"/>
        <n x="1" s="1"/>
        <n x="2" s="1"/>
      </t>
    </mdx>
    <mdx n="0" f="v">
      <t c="5" si="34">
        <n x="26"/>
        <n x="12"/>
        <n x="5"/>
        <n x="1" s="1"/>
        <n x="2" s="1"/>
      </t>
    </mdx>
    <mdx n="0" f="v">
      <t c="5" si="34">
        <n x="10"/>
        <n x="12"/>
        <n x="5"/>
        <n x="1" s="1"/>
        <n x="2" s="1"/>
      </t>
    </mdx>
    <mdx n="0" f="v">
      <t c="5" si="34">
        <n x="18"/>
        <n x="12"/>
        <n x="5"/>
        <n x="1" s="1"/>
        <n x="2" s="1"/>
      </t>
    </mdx>
    <mdx n="0" f="v">
      <t c="5" si="34">
        <n x="8"/>
        <n x="23"/>
        <n x="7"/>
        <n x="1" s="1"/>
        <n x="2" s="1"/>
      </t>
    </mdx>
    <mdx n="0" f="v">
      <t c="5" si="34">
        <n x="10"/>
        <n x="21"/>
        <n x="5"/>
        <n x="1" s="1"/>
        <n x="2" s="1"/>
      </t>
    </mdx>
    <mdx n="0" f="v">
      <t c="5" si="34">
        <n x="3"/>
        <n x="22"/>
        <n x="5"/>
        <n x="1" s="1"/>
        <n x="2" s="1"/>
      </t>
    </mdx>
    <mdx n="0" f="v">
      <t c="5" si="34">
        <n x="26"/>
        <n x="30"/>
        <n x="7"/>
        <n x="1" s="1"/>
        <n x="2" s="1"/>
      </t>
    </mdx>
    <mdx n="0" f="v">
      <t c="5" si="34">
        <n x="11"/>
        <n x="24"/>
        <n x="7"/>
        <n x="1" s="1"/>
        <n x="2" s="1"/>
      </t>
    </mdx>
    <mdx n="0" f="v">
      <t c="5" si="34">
        <n x="10"/>
        <n x="22"/>
        <n x="7"/>
        <n x="1" s="1"/>
        <n x="2" s="1"/>
      </t>
    </mdx>
    <mdx n="0" f="v">
      <t c="5" si="34">
        <n x="10"/>
        <n x="24"/>
        <n x="5"/>
        <n x="1" s="1"/>
        <n x="2" s="1"/>
      </t>
    </mdx>
    <mdx n="0" f="v">
      <t c="5" si="34">
        <n x="16"/>
        <n x="30"/>
        <n x="5"/>
        <n x="1" s="1"/>
        <n x="2" s="1"/>
      </t>
    </mdx>
    <mdx n="0" f="v">
      <t c="5" si="34">
        <n x="14"/>
        <n x="24"/>
        <n x="5"/>
        <n x="1" s="1"/>
        <n x="2" s="1"/>
      </t>
    </mdx>
    <mdx n="0" f="v">
      <t c="5" si="34">
        <n x="16"/>
        <n x="24"/>
        <n x="5"/>
        <n x="1" s="1"/>
        <n x="2" s="1"/>
      </t>
    </mdx>
    <mdx n="0" f="v">
      <t c="5" si="34">
        <n x="8"/>
        <n x="23"/>
        <n x="5"/>
        <n x="1" s="1"/>
        <n x="2" s="1"/>
      </t>
    </mdx>
    <mdx n="0" f="v">
      <t c="5" si="34">
        <n x="16"/>
        <n x="24"/>
        <n x="7"/>
        <n x="1" s="1"/>
        <n x="2" s="1"/>
      </t>
    </mdx>
    <mdx n="0" f="v">
      <t c="5" si="34">
        <n x="3"/>
        <n x="15"/>
        <n x="5"/>
        <n x="1" s="1"/>
        <n x="2" s="1"/>
      </t>
    </mdx>
    <mdx n="0" f="v">
      <t c="5" si="34">
        <n x="6"/>
        <n x="4"/>
        <n x="5"/>
        <n x="1" s="1"/>
        <n x="2" s="1"/>
      </t>
    </mdx>
    <mdx n="0" f="v">
      <t c="5" si="34">
        <n x="31"/>
        <n x="4"/>
        <n x="5"/>
        <n x="1" s="1"/>
        <n x="2" s="1"/>
      </t>
    </mdx>
    <mdx n="0" f="v">
      <t c="5" si="34">
        <n x="3"/>
        <n x="21"/>
        <n x="7"/>
        <n x="1" s="1"/>
        <n x="2" s="1"/>
      </t>
    </mdx>
    <mdx n="0" f="v">
      <t c="5" si="34">
        <n x="20"/>
        <n x="4"/>
        <n x="5"/>
        <n x="1" s="1"/>
        <n x="2" s="1"/>
      </t>
    </mdx>
    <mdx n="0" f="v">
      <t c="5" si="34">
        <n x="14"/>
        <n x="21"/>
        <n x="5"/>
        <n x="1" s="1"/>
        <n x="2" s="1"/>
      </t>
    </mdx>
    <mdx n="0" f="v">
      <t c="5" si="34">
        <n x="10"/>
        <n x="22"/>
        <n x="5"/>
        <n x="1" s="1"/>
        <n x="2" s="1"/>
      </t>
    </mdx>
    <mdx n="0" f="v">
      <t c="5" si="34">
        <n x="18"/>
        <n x="30"/>
        <n x="7"/>
        <n x="1" s="1"/>
        <n x="2" s="1"/>
      </t>
    </mdx>
    <mdx n="0" f="v">
      <t c="5" si="34">
        <n x="25"/>
        <n x="12"/>
        <n x="7"/>
        <n x="1" s="1"/>
        <n x="2" s="1"/>
      </t>
    </mdx>
    <mdx n="0" f="v">
      <t c="5" si="34">
        <n x="26"/>
        <n x="24"/>
        <n x="7"/>
        <n x="1" s="1"/>
        <n x="2" s="1"/>
      </t>
    </mdx>
    <mdx n="0" f="v">
      <t c="5" si="34">
        <n x="20"/>
        <n x="12"/>
        <n x="5"/>
        <n x="1" s="1"/>
        <n x="2" s="1"/>
      </t>
    </mdx>
    <mdx n="0" f="v">
      <t c="5" si="34">
        <n x="13"/>
        <n x="21"/>
        <n x="5"/>
        <n x="1" s="1"/>
        <n x="2" s="1"/>
      </t>
    </mdx>
    <mdx n="0" f="v">
      <t c="5" si="34">
        <n x="26"/>
        <n x="9"/>
        <n x="7"/>
        <n x="1" s="1"/>
        <n x="2" s="1"/>
      </t>
    </mdx>
    <mdx n="0" f="v">
      <t c="5" si="34">
        <n x="10"/>
        <n x="17"/>
        <n x="5"/>
        <n x="1" s="1"/>
        <n x="2" s="1"/>
      </t>
    </mdx>
    <mdx n="0" f="v">
      <t c="5" si="34">
        <n x="31"/>
        <n x="22"/>
        <n x="7"/>
        <n x="1" s="1"/>
        <n x="2" s="1"/>
      </t>
    </mdx>
    <mdx n="0" f="v">
      <t c="5" si="34">
        <n x="6"/>
        <n x="12"/>
        <n x="5"/>
        <n x="1" s="1"/>
        <n x="2" s="1"/>
      </t>
    </mdx>
    <mdx n="0" f="v">
      <t c="5" si="34">
        <n x="3"/>
        <n x="12"/>
        <n x="7"/>
        <n x="1" s="1"/>
        <n x="2" s="1"/>
      </t>
    </mdx>
    <mdx n="0" f="v">
      <t c="5" si="34">
        <n x="14"/>
        <n x="17"/>
        <n x="7"/>
        <n x="1" s="1"/>
        <n x="2" s="1"/>
      </t>
    </mdx>
    <mdx n="0" f="v">
      <t c="5" si="34">
        <n x="3"/>
        <n x="29"/>
        <n x="5"/>
        <n x="1" s="1"/>
        <n x="2" s="1"/>
      </t>
    </mdx>
    <mdx n="0" f="v">
      <t c="5" si="34">
        <n x="6"/>
        <n x="15"/>
        <n x="5"/>
        <n x="1" s="1"/>
        <n x="2" s="1"/>
      </t>
    </mdx>
    <mdx n="0" f="v">
      <t c="5" si="34">
        <n x="10"/>
        <n x="23"/>
        <n x="7"/>
        <n x="1" s="1"/>
        <n x="2" s="1"/>
      </t>
    </mdx>
    <mdx n="0" f="v">
      <t c="5" si="34">
        <n x="11"/>
        <n x="19"/>
        <n x="5"/>
        <n x="1" s="1"/>
        <n x="2" s="1"/>
      </t>
    </mdx>
    <mdx n="0" f="v">
      <t c="5" si="34">
        <n x="14"/>
        <n x="23"/>
        <n x="5"/>
        <n x="1" s="1"/>
        <n x="2" s="1"/>
      </t>
    </mdx>
    <mdx n="0" f="v">
      <t c="5" si="34">
        <n x="26"/>
        <n x="17"/>
        <n x="7"/>
        <n x="1" s="1"/>
        <n x="2" s="1"/>
      </t>
    </mdx>
    <mdx n="0" f="v">
      <t c="5" si="34">
        <n x="31"/>
        <n x="15"/>
        <n x="5"/>
        <n x="1" s="1"/>
        <n x="2" s="1"/>
      </t>
    </mdx>
    <mdx n="0" f="v">
      <t c="5" si="34">
        <n x="18"/>
        <n x="17"/>
        <n x="5"/>
        <n x="1" s="1"/>
        <n x="2" s="1"/>
      </t>
    </mdx>
    <mdx n="0" f="v">
      <t c="5" si="34">
        <n x="20"/>
        <n x="12"/>
        <n x="7"/>
        <n x="1" s="1"/>
        <n x="2" s="1"/>
      </t>
    </mdx>
    <mdx n="0" f="v">
      <t c="5" si="34">
        <n x="3"/>
        <n x="19"/>
        <n x="5"/>
        <n x="1" s="1"/>
        <n x="2" s="1"/>
      </t>
    </mdx>
    <mdx n="0" f="v">
      <t c="5" si="34">
        <n x="10"/>
        <n x="29"/>
        <n x="5"/>
        <n x="1" s="1"/>
        <n x="2" s="1"/>
      </t>
    </mdx>
    <mdx n="0" f="v">
      <t c="5" si="34">
        <n x="11"/>
        <n x="15"/>
        <n x="5"/>
        <n x="1" s="1"/>
        <n x="2" s="1"/>
      </t>
    </mdx>
    <mdx n="0" f="v">
      <t c="5" si="34">
        <n x="14"/>
        <n x="23"/>
        <n x="7"/>
        <n x="1" s="1"/>
        <n x="2" s="1"/>
      </t>
    </mdx>
    <mdx n="0" f="v">
      <t c="5" si="34">
        <n x="26"/>
        <n x="19"/>
        <n x="5"/>
        <n x="1" s="1"/>
        <n x="2" s="1"/>
      </t>
    </mdx>
    <mdx n="0" f="v">
      <t c="5" si="34">
        <n x="16"/>
        <n x="23"/>
        <n x="5"/>
        <n x="1" s="1"/>
        <n x="2" s="1"/>
      </t>
    </mdx>
    <mdx n="0" f="v">
      <t c="5" si="34">
        <n x="18"/>
        <n x="17"/>
        <n x="7"/>
        <n x="1" s="1"/>
        <n x="2" s="1"/>
      </t>
    </mdx>
    <mdx n="0" f="v">
      <t c="5" si="34">
        <n x="20"/>
        <n x="15"/>
        <n x="5"/>
        <n x="1" s="1"/>
        <n x="2" s="1"/>
      </t>
    </mdx>
    <mdx n="0" f="v">
      <t c="5" si="34">
        <n x="27"/>
        <n x="29"/>
        <n x="7"/>
        <n x="1" s="1"/>
        <n x="2" s="1"/>
      </t>
    </mdx>
    <mdx n="0" f="v">
      <t c="5" si="34">
        <n x="3"/>
        <n x="19"/>
        <n x="7"/>
        <n x="1" s="1"/>
        <n x="2" s="1"/>
      </t>
    </mdx>
    <mdx n="0" f="v">
      <t c="5" si="34">
        <n x="10"/>
        <n x="29"/>
        <n x="7"/>
        <n x="1" s="1"/>
        <n x="2" s="1"/>
      </t>
    </mdx>
    <mdx n="0" f="v">
      <t c="5" si="34">
        <n x="11"/>
        <n x="15"/>
        <n x="7"/>
        <n x="1" s="1"/>
        <n x="2" s="1"/>
      </t>
    </mdx>
    <mdx n="0" f="v">
      <t c="5" si="34">
        <n x="14"/>
        <n x="29"/>
        <n x="5"/>
        <n x="1" s="1"/>
        <n x="2" s="1"/>
      </t>
    </mdx>
    <mdx n="0" f="v">
      <t c="5" si="34">
        <n x="26"/>
        <n x="19"/>
        <n x="7"/>
        <n x="1" s="1"/>
        <n x="2" s="1"/>
      </t>
    </mdx>
    <mdx n="0" f="v">
      <t c="5" si="34">
        <n x="16"/>
        <n x="23"/>
        <n x="7"/>
        <n x="1" s="1"/>
        <n x="2" s="1"/>
      </t>
    </mdx>
    <mdx n="0" f="v">
      <t c="5" si="34">
        <n x="18"/>
        <n x="19"/>
        <n x="5"/>
        <n x="1" s="1"/>
        <n x="2" s="1"/>
      </t>
    </mdx>
    <mdx n="0" f="v">
      <t c="5" si="34">
        <n x="20"/>
        <n x="15"/>
        <n x="7"/>
        <n x="1" s="1"/>
        <n x="2" s="1"/>
      </t>
    </mdx>
    <mdx n="0" f="v">
      <t c="5" si="34">
        <n x="27"/>
        <n x="30"/>
        <n x="5"/>
        <n x="1" s="1"/>
        <n x="2" s="1"/>
      </t>
    </mdx>
    <mdx n="0" f="v">
      <t c="5" si="34">
        <n x="28"/>
        <n x="21"/>
        <n x="5"/>
        <n x="1" s="1"/>
        <n x="2" s="1"/>
      </t>
    </mdx>
    <mdx n="0" f="v">
      <t c="5" si="34">
        <n x="3"/>
        <n x="4"/>
        <n x="5"/>
        <n x="1" s="1"/>
        <n x="2" s="1"/>
      </t>
    </mdx>
    <mdx n="0" f="v">
      <t c="5" si="34">
        <n x="10"/>
        <n x="30"/>
        <n x="5"/>
        <n x="1" s="1"/>
        <n x="2" s="1"/>
      </t>
    </mdx>
    <mdx n="0" f="v">
      <t c="4" si="34">
        <n x="13"/>
        <n x="5"/>
        <n x="1" s="1"/>
        <n x="2" s="1"/>
      </t>
    </mdx>
    <mdx n="0" f="v">
      <t c="5" si="34">
        <n x="14"/>
        <n x="29"/>
        <n x="7"/>
        <n x="1" s="1"/>
        <n x="2" s="1"/>
      </t>
    </mdx>
    <mdx n="0" f="v">
      <t c="5" si="34">
        <n x="26"/>
        <n x="4"/>
        <n x="5"/>
        <n x="1" s="1"/>
        <n x="2" s="1"/>
      </t>
    </mdx>
    <mdx n="0" f="v">
      <t c="5" si="34">
        <n x="16"/>
        <n x="29"/>
        <n x="5"/>
        <n x="1" s="1"/>
        <n x="2" s="1"/>
      </t>
    </mdx>
    <mdx n="0" f="v">
      <t c="5" si="34">
        <n x="18"/>
        <n x="19"/>
        <n x="7"/>
        <n x="1" s="1"/>
        <n x="2" s="1"/>
      </t>
    </mdx>
    <mdx n="0" f="v">
      <t c="5" si="34">
        <n x="27"/>
        <n x="30"/>
        <n x="7"/>
        <n x="1" s="1"/>
        <n x="2" s="1"/>
      </t>
    </mdx>
    <mdx n="0" f="v">
      <t c="5" si="34">
        <n x="28"/>
        <n x="21"/>
        <n x="7"/>
        <n x="1" s="1"/>
        <n x="2" s="1"/>
      </t>
    </mdx>
    <mdx n="0" f="v">
      <t c="5" si="34">
        <n x="3"/>
        <n x="4"/>
        <n x="7"/>
        <n x="1" s="1"/>
        <n x="2" s="1"/>
      </t>
    </mdx>
    <mdx n="0" f="v">
      <t c="5" si="34">
        <n x="8"/>
        <n x="21"/>
        <n x="5"/>
        <n x="1" s="1"/>
        <n x="2" s="1"/>
      </t>
    </mdx>
    <mdx n="0" f="v">
      <t c="5" si="34">
        <n x="10"/>
        <n x="30"/>
        <n x="7"/>
        <n x="1" s="1"/>
        <n x="2" s="1"/>
      </t>
    </mdx>
    <mdx n="0" f="v">
      <t c="5" si="34">
        <n x="14"/>
        <n x="30"/>
        <n x="5"/>
        <n x="1" s="1"/>
        <n x="2" s="1"/>
      </t>
    </mdx>
    <mdx n="0" f="v">
      <t c="5" si="34">
        <n x="16"/>
        <n x="29"/>
        <n x="7"/>
        <n x="1" s="1"/>
        <n x="2" s="1"/>
      </t>
    </mdx>
    <mdx n="0" f="v">
      <t c="5" si="34">
        <n x="14"/>
        <n x="30"/>
        <n x="7"/>
        <n x="1" s="1"/>
        <n x="2" s="1"/>
      </t>
    </mdx>
    <mdx n="0" f="v">
      <t c="5" si="34">
        <n x="27"/>
        <n x="24"/>
        <n x="7"/>
        <n x="1" s="1"/>
        <n x="2" s="1"/>
      </t>
    </mdx>
    <mdx n="0" f="v">
      <t c="5" si="34">
        <n x="8"/>
        <n x="22"/>
        <n x="5"/>
        <n x="1" s="1"/>
        <n x="2" s="1"/>
      </t>
    </mdx>
    <mdx n="0" f="v">
      <t c="5" si="34">
        <n x="16"/>
        <n x="30"/>
        <n x="7"/>
        <n x="1" s="1"/>
        <n x="2" s="1"/>
      </t>
    </mdx>
    <mdx n="0" f="v">
      <t c="5" si="34">
        <n x="3"/>
        <n x="12"/>
        <n x="5"/>
        <n x="1" s="1"/>
        <n x="2" s="1"/>
      </t>
    </mdx>
    <mdx n="0" f="v">
      <t c="5" si="34">
        <n x="14"/>
        <n x="24"/>
        <n x="7"/>
        <n x="1" s="1"/>
        <n x="2" s="1"/>
      </t>
    </mdx>
    <mdx n="0" f="v">
      <t c="5" si="34">
        <n x="27"/>
        <n x="17"/>
        <n x="7"/>
        <n x="1" s="1"/>
        <n x="2" s="1"/>
      </t>
    </mdx>
    <mdx n="0" f="v">
      <t c="5" si="34">
        <n x="13"/>
        <n x="22"/>
        <n x="7"/>
        <n x="1" s="1"/>
        <n x="2" s="1"/>
      </t>
    </mdx>
    <mdx n="0" f="v">
      <t c="5" si="34">
        <n x="28"/>
        <n x="17"/>
        <n x="7"/>
        <n x="1" s="1"/>
        <n x="2" s="1"/>
      </t>
    </mdx>
    <mdx n="0" f="v">
      <t c="5" si="34">
        <n x="13"/>
        <n x="23"/>
        <n x="5"/>
        <n x="1" s="1"/>
        <n x="2" s="1"/>
      </t>
    </mdx>
    <mdx n="0" f="v">
      <t c="5" si="34">
        <n x="18"/>
        <n x="12"/>
        <n x="7"/>
        <n x="1" s="1"/>
        <n x="2" s="1"/>
      </t>
    </mdx>
    <mdx n="0" f="v">
      <t c="5" si="34">
        <n x="6"/>
        <n x="24"/>
        <n x="5"/>
        <n x="1" s="1"/>
        <n x="2" s="1"/>
      </t>
    </mdx>
    <mdx n="0" f="v">
      <t c="5" si="34">
        <n x="6"/>
        <n x="30"/>
        <n x="7"/>
        <n x="1" s="1"/>
        <n x="2" s="1"/>
      </t>
    </mdx>
    <mdx n="0" f="v">
      <t c="5" si="34">
        <n x="8"/>
        <n x="17"/>
        <n x="7"/>
        <n x="1" s="1"/>
        <n x="2" s="1"/>
      </t>
    </mdx>
    <mdx n="0" f="v">
      <t c="5" si="34">
        <n x="8"/>
        <n x="17"/>
        <n x="5"/>
        <n x="1" s="1"/>
        <n x="2" s="1"/>
      </t>
    </mdx>
    <mdx n="0" f="v">
      <t c="5" si="34">
        <n x="8"/>
        <n x="24"/>
        <n x="7"/>
        <n x="1" s="1"/>
        <n x="2" s="1"/>
      </t>
    </mdx>
    <mdx n="0" f="v">
      <t c="5" si="34">
        <n x="10"/>
        <n x="4"/>
        <n x="5"/>
        <n x="1" s="1"/>
        <n x="2" s="1"/>
      </t>
    </mdx>
    <mdx n="0" f="v">
      <t c="5" si="34">
        <n x="10"/>
        <n x="19"/>
        <n x="7"/>
        <n x="1" s="1"/>
        <n x="2" s="1"/>
      </t>
    </mdx>
    <mdx n="0" f="v">
      <t c="5" si="34">
        <n x="10"/>
        <n x="19"/>
        <n x="5"/>
        <n x="1" s="1"/>
        <n x="2" s="1"/>
      </t>
    </mdx>
    <mdx n="0" f="v">
      <t c="5" si="34">
        <n x="10"/>
        <n x="17"/>
        <n x="7"/>
        <n x="1" s="1"/>
        <n x="2" s="1"/>
      </t>
    </mdx>
    <mdx n="0" f="v">
      <t c="5" si="34">
        <n x="11"/>
        <n x="9"/>
        <n x="7"/>
        <n x="1" s="1"/>
        <n x="2" s="1"/>
      </t>
    </mdx>
    <mdx n="0" f="v">
      <t c="5" si="34">
        <n x="11"/>
        <n x="9"/>
        <n x="5"/>
        <n x="1" s="1"/>
        <n x="2" s="1"/>
      </t>
    </mdx>
    <mdx n="0" f="v">
      <t c="5" si="34">
        <n x="11"/>
        <n x="4"/>
        <n x="7"/>
        <n x="1" s="1"/>
        <n x="2" s="1"/>
      </t>
    </mdx>
    <mdx n="0" f="v">
      <t c="5" si="34">
        <n x="11"/>
        <n x="4"/>
        <n x="5"/>
        <n x="1" s="1"/>
        <n x="2" s="1"/>
      </t>
    </mdx>
    <mdx n="0" f="v">
      <t c="5" si="34">
        <n x="11"/>
        <n x="19"/>
        <n x="7"/>
        <n x="1" s="1"/>
        <n x="2" s="1"/>
      </t>
    </mdx>
    <mdx n="0" f="v">
      <t c="5" si="34">
        <n x="13"/>
        <n x="15"/>
        <n x="5"/>
        <n x="1" s="1"/>
        <n x="2" s="1"/>
      </t>
    </mdx>
    <mdx n="0" f="v">
      <t c="5" si="34">
        <n x="13"/>
        <n x="12"/>
        <n x="7"/>
        <n x="1" s="1"/>
        <n x="2" s="1"/>
      </t>
    </mdx>
    <mdx n="0" f="v">
      <t c="5" si="34">
        <n x="13"/>
        <n x="12"/>
        <n x="5"/>
        <n x="1" s="1"/>
        <n x="2" s="1"/>
      </t>
    </mdx>
    <mdx n="0" f="v">
      <t c="5" si="34">
        <n x="13"/>
        <n x="9"/>
        <n x="7"/>
        <n x="1" s="1"/>
        <n x="2" s="1"/>
      </t>
    </mdx>
    <mdx n="0" f="v">
      <t c="5" si="34">
        <n x="13"/>
        <n x="9"/>
        <n x="5"/>
        <n x="1" s="1"/>
        <n x="2" s="1"/>
      </t>
    </mdx>
    <mdx n="0" f="v">
      <t c="5" si="34">
        <n x="13"/>
        <n x="4"/>
        <n x="7"/>
        <n x="1" s="1"/>
        <n x="2" s="1"/>
      </t>
    </mdx>
    <mdx n="0" f="v">
      <t c="5" si="34">
        <n x="14"/>
        <n x="15"/>
        <n x="7"/>
        <n x="1" s="1"/>
        <n x="2" s="1"/>
      </t>
    </mdx>
    <mdx n="0" f="v">
      <t c="5" si="34">
        <n x="14"/>
        <n x="15"/>
        <n x="5"/>
        <n x="1" s="1"/>
        <n x="2" s="1"/>
      </t>
    </mdx>
    <mdx n="0" f="v">
      <t c="5" si="34">
        <n x="14"/>
        <n x="12"/>
        <n x="7"/>
        <n x="1" s="1"/>
        <n x="2" s="1"/>
      </t>
    </mdx>
    <mdx n="0" f="v">
      <t c="5" si="34">
        <n x="14"/>
        <n x="12"/>
        <n x="5"/>
        <n x="1" s="1"/>
        <n x="2" s="1"/>
      </t>
    </mdx>
    <mdx n="0" f="v">
      <t c="5" si="34">
        <n x="14"/>
        <n x="9"/>
        <n x="7"/>
        <n x="1" s="1"/>
        <n x="2" s="1"/>
      </t>
    </mdx>
    <mdx n="0" f="v">
      <t c="5" si="34">
        <n x="16"/>
        <n x="17"/>
        <n x="7"/>
        <n x="1" s="1"/>
        <n x="2" s="1"/>
      </t>
    </mdx>
    <mdx n="0" f="v">
      <t c="5" si="34">
        <n x="16"/>
        <n x="22"/>
        <n x="7"/>
        <n x="1" s="1"/>
        <n x="2" s="1"/>
      </t>
    </mdx>
    <mdx n="0" f="v">
      <t c="5" si="34">
        <n x="16"/>
        <n x="22"/>
        <n x="5"/>
        <n x="1" s="1"/>
        <n x="2" s="1"/>
      </t>
    </mdx>
    <mdx n="0" f="v">
      <t c="5" si="34">
        <n x="16"/>
        <n x="21"/>
        <n x="7"/>
        <n x="1" s="1"/>
        <n x="2" s="1"/>
      </t>
    </mdx>
    <mdx n="0" f="v">
      <t c="5" si="34">
        <n x="16"/>
        <n x="21"/>
        <n x="5"/>
        <n x="1" s="1"/>
        <n x="2" s="1"/>
      </t>
    </mdx>
    <mdx n="0" f="v">
      <t c="4" si="34">
        <n x="16"/>
        <n x="7"/>
        <n x="1" s="1"/>
        <n x="2" s="1"/>
      </t>
    </mdx>
    <mdx n="0" f="v">
      <t c="4" si="34">
        <n x="16"/>
        <n x="5"/>
        <n x="1" s="1"/>
        <n x="2" s="1"/>
      </t>
    </mdx>
    <mdx n="0" f="v">
      <t c="5" si="34">
        <n x="18"/>
        <n x="15"/>
        <n x="7"/>
        <n x="1" s="1"/>
        <n x="2" s="1"/>
      </t>
    </mdx>
    <mdx n="0" f="v">
      <t c="5" si="34">
        <n x="18"/>
        <n x="15"/>
        <n x="5"/>
        <n x="1" s="1"/>
        <n x="2" s="1"/>
      </t>
    </mdx>
    <mdx n="0" f="v">
      <t c="5" si="34">
        <n x="18"/>
        <n x="23"/>
        <n x="7"/>
        <n x="1" s="1"/>
        <n x="2" s="1"/>
      </t>
    </mdx>
    <mdx n="0" f="v">
      <t c="5" si="34">
        <n x="18"/>
        <n x="23"/>
        <n x="5"/>
        <n x="1" s="1"/>
        <n x="2" s="1"/>
      </t>
    </mdx>
    <mdx n="0" f="v">
      <t c="5" si="34">
        <n x="18"/>
        <n x="22"/>
        <n x="7"/>
        <n x="1" s="1"/>
        <n x="2" s="1"/>
      </t>
    </mdx>
    <mdx n="0" f="v">
      <t c="5" si="34">
        <n x="18"/>
        <n x="22"/>
        <n x="5"/>
        <n x="1" s="1"/>
        <n x="2" s="1"/>
      </t>
    </mdx>
    <mdx n="0" f="v">
      <t c="5" si="34">
        <n x="18"/>
        <n x="21"/>
        <n x="7"/>
        <n x="1" s="1"/>
        <n x="2" s="1"/>
      </t>
    </mdx>
    <mdx n="0" f="v">
      <t c="5" si="34">
        <n x="18"/>
        <n x="21"/>
        <n x="5"/>
        <n x="1" s="1"/>
        <n x="2" s="1"/>
      </t>
    </mdx>
    <mdx n="0" f="v">
      <t c="4" si="34">
        <n x="18"/>
        <n x="7"/>
        <n x="1" s="1"/>
        <n x="2" s="1"/>
      </t>
    </mdx>
    <mdx n="0" f="v">
      <t c="4" si="34">
        <n x="20"/>
        <n x="5"/>
        <n x="1" s="1"/>
        <n x="2" s="1"/>
      </t>
    </mdx>
    <mdx n="0" f="v">
      <t c="5" si="34">
        <n x="20"/>
        <n x="29"/>
        <n x="7"/>
        <n x="1" s="1"/>
        <n x="2" s="1"/>
      </t>
    </mdx>
    <mdx n="0" f="v">
      <t c="5" si="34">
        <n x="20"/>
        <n x="29"/>
        <n x="5"/>
        <n x="1" s="1"/>
        <n x="2" s="1"/>
      </t>
    </mdx>
    <mdx n="0" f="v">
      <t c="5" si="34">
        <n x="20"/>
        <n x="23"/>
        <n x="7"/>
        <n x="1" s="1"/>
        <n x="2" s="1"/>
      </t>
    </mdx>
    <mdx n="0" f="v">
      <t c="5" si="34">
        <n x="20"/>
        <n x="23"/>
        <n x="5"/>
        <n x="1" s="1"/>
        <n x="2" s="1"/>
      </t>
    </mdx>
    <mdx n="0" f="v">
      <t c="5" si="34">
        <n x="20"/>
        <n x="22"/>
        <n x="7"/>
        <n x="1" s="1"/>
        <n x="2" s="1"/>
      </t>
    </mdx>
    <mdx n="0" f="v">
      <t c="5" si="34">
        <n x="20"/>
        <n x="22"/>
        <n x="5"/>
        <n x="1" s="1"/>
        <n x="2" s="1"/>
      </t>
    </mdx>
    <mdx n="0" f="v">
      <t c="5" si="34">
        <n x="20"/>
        <n x="21"/>
        <n x="7"/>
        <n x="1" s="1"/>
        <n x="2" s="1"/>
      </t>
    </mdx>
    <mdx n="0" f="v">
      <t c="5" si="34">
        <n x="20"/>
        <n x="24"/>
        <n x="7"/>
        <n x="1" s="1"/>
        <n x="2" s="1"/>
      </t>
    </mdx>
    <mdx n="0" f="v">
      <t c="5" si="34">
        <n x="13"/>
        <n x="24"/>
        <n x="7"/>
        <n x="1" s="1"/>
        <n x="2" s="1"/>
      </t>
    </mdx>
    <mdx n="0" f="v">
      <t c="5" si="34">
        <n x="3"/>
        <n x="24"/>
        <n x="7"/>
        <n x="1" s="1"/>
        <n x="2" s="1"/>
      </t>
    </mdx>
    <mdx n="0" f="v">
      <t c="5" si="34">
        <n x="6"/>
        <n x="24"/>
        <n x="7"/>
        <n x="1" s="1"/>
        <n x="2" s="1"/>
      </t>
    </mdx>
    <mdx n="0" f="v">
      <t c="5" si="34">
        <n x="20"/>
        <n x="17"/>
        <n x="5"/>
        <n x="1" s="1"/>
        <n x="2" s="1"/>
      </t>
    </mdx>
    <mdx n="0" f="v">
      <t c="5" si="34">
        <n x="13"/>
        <n x="17"/>
        <n x="5"/>
        <n x="1" s="1"/>
        <n x="2" s="1"/>
      </t>
    </mdx>
    <mdx n="0" f="v">
      <t c="5" si="34">
        <n x="3"/>
        <n x="17"/>
        <n x="5"/>
        <n x="1" s="1"/>
        <n x="2" s="1"/>
      </t>
    </mdx>
    <mdx n="0" f="v">
      <t c="5" si="34">
        <n x="6"/>
        <n x="17"/>
        <n x="5"/>
        <n x="1" s="1"/>
        <n x="2" s="1"/>
      </t>
    </mdx>
    <mdx n="0" f="v">
      <t c="5" si="34">
        <n x="25"/>
        <n x="9"/>
        <n x="7"/>
        <n x="1" s="1"/>
        <n x="2" s="1"/>
      </t>
    </mdx>
    <mdx n="0" f="v">
      <t c="5" si="34">
        <n x="25"/>
        <n x="4"/>
        <n x="5"/>
        <n x="1" s="1"/>
        <n x="2" s="1"/>
      </t>
    </mdx>
    <mdx n="0" f="v">
      <t c="5" si="34">
        <n x="25"/>
        <n x="19"/>
        <n x="5"/>
        <n x="1" s="1"/>
        <n x="2" s="1"/>
      </t>
    </mdx>
    <mdx n="0" f="v">
      <t c="5" si="34">
        <n x="25"/>
        <n x="21"/>
        <n x="7"/>
        <n x="1" s="1"/>
        <n x="2" s="1"/>
      </t>
    </mdx>
    <mdx n="0" f="v">
      <t c="5" si="34">
        <n x="25"/>
        <n x="21"/>
        <n x="5"/>
        <n x="1" s="1"/>
        <n x="2" s="1"/>
      </t>
    </mdx>
    <mdx n="0" f="v">
      <t c="4" si="34">
        <n x="25"/>
        <n x="7"/>
        <n x="1" s="1"/>
        <n x="2" s="1"/>
      </t>
    </mdx>
    <mdx n="0" f="v">
      <t c="4" si="34">
        <n x="25"/>
        <n x="5"/>
        <n x="1" s="1"/>
        <n x="2" s="1"/>
      </t>
    </mdx>
    <mdx n="0" f="v">
      <t c="5" si="34">
        <n x="25"/>
        <n x="30"/>
        <n x="7"/>
        <n x="1" s="1"/>
        <n x="2" s="1"/>
      </t>
    </mdx>
    <mdx n="0" f="v">
      <t c="5" si="34">
        <n x="25"/>
        <n x="30"/>
        <n x="5"/>
        <n x="1" s="1"/>
        <n x="2" s="1"/>
      </t>
    </mdx>
    <mdx n="0" f="v">
      <t c="5" si="34">
        <n x="25"/>
        <n x="29"/>
        <n x="7"/>
        <n x="1" s="1"/>
        <n x="2" s="1"/>
      </t>
    </mdx>
    <mdx n="0" f="v">
      <t c="5" si="34">
        <n x="25"/>
        <n x="29"/>
        <n x="5"/>
        <n x="1" s="1"/>
        <n x="2" s="1"/>
      </t>
    </mdx>
    <mdx n="0" f="v">
      <t c="5" si="34">
        <n x="25"/>
        <n x="23"/>
        <n x="7"/>
        <n x="1" s="1"/>
        <n x="2" s="1"/>
      </t>
    </mdx>
    <mdx n="0" f="v">
      <t c="5" si="34">
        <n x="25"/>
        <n x="23"/>
        <n x="5"/>
        <n x="1" s="1"/>
        <n x="2" s="1"/>
      </t>
    </mdx>
    <mdx n="0" f="v">
      <t c="5" si="34">
        <n x="25"/>
        <n x="22"/>
        <n x="7"/>
        <n x="1" s="1"/>
        <n x="2" s="1"/>
      </t>
    </mdx>
    <mdx n="0" f="v">
      <t c="5" si="34">
        <n x="20"/>
        <n x="19"/>
        <n x="5"/>
        <n x="1" s="1"/>
        <n x="2" s="1"/>
      </t>
    </mdx>
    <mdx n="0" f="v">
      <t c="5" si="34">
        <n x="13"/>
        <n x="19"/>
        <n x="5"/>
        <n x="1" s="1"/>
        <n x="2" s="1"/>
      </t>
    </mdx>
    <mdx n="0" f="v">
      <t c="5" si="34">
        <n x="16"/>
        <n x="19"/>
        <n x="5"/>
        <n x="1" s="1"/>
        <n x="2" s="1"/>
      </t>
    </mdx>
    <mdx n="0" f="v">
      <t c="5" si="34">
        <n x="14"/>
        <n x="19"/>
        <n x="5"/>
        <n x="1" s="1"/>
        <n x="2" s="1"/>
      </t>
    </mdx>
    <mdx n="0" f="v">
      <t c="5" si="34">
        <n x="6"/>
        <n x="19"/>
        <n x="5"/>
        <n x="1" s="1"/>
        <n x="2" s="1"/>
      </t>
    </mdx>
    <mdx n="0" f="v">
      <t c="5" si="34">
        <n x="8"/>
        <n x="19"/>
        <n x="5"/>
        <n x="1" s="1"/>
        <n x="2" s="1"/>
      </t>
    </mdx>
    <mdx n="0" f="v">
      <t c="5" si="34">
        <n x="26"/>
        <n x="30"/>
        <n x="5"/>
        <n x="1" s="1"/>
        <n x="2" s="1"/>
      </t>
    </mdx>
    <mdx n="0" f="v">
      <t c="5" si="34">
        <n x="26"/>
        <n x="23"/>
        <n x="5"/>
        <n x="1" s="1"/>
        <n x="2" s="1"/>
      </t>
    </mdx>
    <mdx n="0" f="v">
      <t c="5" si="34">
        <n x="26"/>
        <n x="17"/>
        <n x="5"/>
        <n x="1" s="1"/>
        <n x="2" s="1"/>
      </t>
    </mdx>
    <mdx n="0" f="v">
      <t c="5" si="34">
        <n x="26"/>
        <n x="24"/>
        <n x="5"/>
        <n x="1" s="1"/>
        <n x="2" s="1"/>
      </t>
    </mdx>
    <mdx n="0" f="v">
      <t c="5" si="34">
        <n x="26"/>
        <n x="29"/>
        <n x="5"/>
        <n x="1" s="1"/>
        <n x="2" s="1"/>
      </t>
    </mdx>
    <mdx n="0" f="v">
      <t c="5" si="34">
        <n x="26"/>
        <n x="23"/>
        <n x="7"/>
        <n x="1" s="1"/>
        <n x="2" s="1"/>
      </t>
    </mdx>
    <mdx n="0" f="v">
      <t c="5" si="34">
        <n x="26"/>
        <n x="22"/>
        <n x="7"/>
        <n x="1" s="1"/>
        <n x="2" s="1"/>
      </t>
    </mdx>
    <mdx n="0" f="v">
      <t c="5" si="34">
        <n x="26"/>
        <n x="21"/>
        <n x="7"/>
        <n x="1" s="1"/>
        <n x="2" s="1"/>
      </t>
    </mdx>
    <mdx n="0" f="v">
      <t c="5" si="34">
        <n x="26"/>
        <n x="21"/>
        <n x="5"/>
        <n x="1" s="1"/>
        <n x="2" s="1"/>
      </t>
    </mdx>
    <mdx n="0" f="v">
      <t c="4" si="34">
        <n x="26"/>
        <n x="7"/>
        <n x="1" s="1"/>
        <n x="2" s="1"/>
      </t>
    </mdx>
    <mdx n="0" f="v">
      <t c="4" si="34">
        <n x="26"/>
        <n x="5"/>
        <n x="1" s="1"/>
        <n x="2" s="1"/>
      </t>
    </mdx>
    <mdx n="0" f="v">
      <t c="5" si="34">
        <n x="26"/>
        <n x="15"/>
        <n x="7"/>
        <n x="1" s="1"/>
        <n x="2" s="1"/>
      </t>
    </mdx>
    <mdx n="0" f="v">
      <t c="5" si="34">
        <n x="26"/>
        <n x="15"/>
        <n x="5"/>
        <n x="1" s="1"/>
        <n x="2" s="1"/>
      </t>
    </mdx>
    <mdx n="0" f="v">
      <t c="5" si="34">
        <n x="26"/>
        <n x="12"/>
        <n x="7"/>
        <n x="1" s="1"/>
        <n x="2" s="1"/>
      </t>
    </mdx>
    <mdx n="0" f="v">
      <t c="5" si="34">
        <n x="27"/>
        <n x="24"/>
        <n x="5"/>
        <n x="1" s="1"/>
        <n x="2" s="1"/>
      </t>
    </mdx>
    <mdx n="0" f="v">
      <t c="5" si="34">
        <n x="27"/>
        <n x="15"/>
        <n x="5"/>
        <n x="1" s="1"/>
        <n x="2" s="1"/>
      </t>
    </mdx>
    <mdx n="0" f="v">
      <t c="5" si="34">
        <n x="27"/>
        <n x="9"/>
        <n x="7"/>
        <n x="1" s="1"/>
        <n x="2" s="1"/>
      </t>
    </mdx>
    <mdx n="0" f="v">
      <t c="5" si="34">
        <n x="27"/>
        <n x="19"/>
        <n x="5"/>
        <n x="1" s="1"/>
        <n x="2" s="1"/>
      </t>
    </mdx>
    <mdx n="0" f="v">
      <t c="5" si="34">
        <n x="27"/>
        <n x="17"/>
        <n x="5"/>
        <n x="1" s="1"/>
        <n x="2" s="1"/>
      </t>
    </mdx>
    <mdx n="0" f="v">
      <t c="5" si="34">
        <n x="27"/>
        <n x="12"/>
        <n x="5"/>
        <n x="1" s="1"/>
        <n x="2" s="1"/>
      </t>
    </mdx>
    <mdx n="0" f="v">
      <t c="5" si="34">
        <n x="27"/>
        <n x="9"/>
        <n x="5"/>
        <n x="1" s="1"/>
        <n x="2" s="1"/>
      </t>
    </mdx>
    <mdx n="0" f="v">
      <t c="5" si="34">
        <n x="27"/>
        <n x="4"/>
        <n x="7"/>
        <n x="1" s="1"/>
        <n x="2" s="1"/>
      </t>
    </mdx>
    <mdx n="0" f="v">
      <t c="5" si="34">
        <n x="27"/>
        <n x="4"/>
        <n x="5"/>
        <n x="1" s="1"/>
        <n x="2" s="1"/>
      </t>
    </mdx>
    <mdx n="0" f="v">
      <t c="5" si="34">
        <n x="27"/>
        <n x="19"/>
        <n x="7"/>
        <n x="1" s="1"/>
        <n x="2" s="1"/>
      </t>
    </mdx>
    <mdx n="0" f="v">
      <t c="5" si="34">
        <n x="27"/>
        <n x="29"/>
        <n x="5"/>
        <n x="1" s="1"/>
        <n x="2" s="1"/>
      </t>
    </mdx>
    <mdx n="0" f="v">
      <t c="5" si="34">
        <n x="27"/>
        <n x="23"/>
        <n x="7"/>
        <n x="1" s="1"/>
        <n x="2" s="1"/>
      </t>
    </mdx>
    <mdx n="0" f="v">
      <t c="5" si="34">
        <n x="27"/>
        <n x="23"/>
        <n x="5"/>
        <n x="1" s="1"/>
        <n x="2" s="1"/>
      </t>
    </mdx>
    <mdx n="0" f="v">
      <t c="5" si="34">
        <n x="27"/>
        <n x="22"/>
        <n x="7"/>
        <n x="1" s="1"/>
        <n x="2" s="1"/>
      </t>
    </mdx>
    <mdx n="0" f="v">
      <t c="5" si="34">
        <n x="27"/>
        <n x="22"/>
        <n x="5"/>
        <n x="1" s="1"/>
        <n x="2" s="1"/>
      </t>
    </mdx>
    <mdx n="0" f="v">
      <t c="5" si="34">
        <n x="27"/>
        <n x="21"/>
        <n x="7"/>
        <n x="1" s="1"/>
        <n x="2" s="1"/>
      </t>
    </mdx>
    <mdx n="0" f="v">
      <t c="5" si="34">
        <n x="27"/>
        <n x="21"/>
        <n x="5"/>
        <n x="1" s="1"/>
        <n x="2" s="1"/>
      </t>
    </mdx>
    <mdx n="0" f="v">
      <t c="4" si="34">
        <n x="27"/>
        <n x="7"/>
        <n x="1" s="1"/>
        <n x="2" s="1"/>
      </t>
    </mdx>
    <mdx n="0" f="v">
      <t c="5" si="34">
        <n x="28"/>
        <n x="23"/>
        <n x="5"/>
        <n x="1" s="1"/>
        <n x="2" s="1"/>
      </t>
    </mdx>
    <mdx n="0" f="v">
      <t c="5" si="34">
        <n x="28"/>
        <n x="22"/>
        <n x="5"/>
        <n x="1" s="1"/>
        <n x="2" s="1"/>
      </t>
    </mdx>
    <mdx n="0" f="v">
      <t c="5" si="34">
        <n x="28"/>
        <n x="17"/>
        <n x="5"/>
        <n x="1" s="1"/>
        <n x="2" s="1"/>
      </t>
    </mdx>
    <mdx n="0" f="v">
      <t c="5" si="34">
        <n x="28"/>
        <n x="22"/>
        <n x="7"/>
        <n x="1" s="1"/>
        <n x="2" s="1"/>
      </t>
    </mdx>
    <mdx n="0" f="v">
      <t c="5" si="34">
        <n x="28"/>
        <n x="15"/>
        <n x="5"/>
        <n x="1" s="1"/>
        <n x="2" s="1"/>
      </t>
    </mdx>
    <mdx n="0" f="v">
      <t c="5" si="34">
        <n x="28"/>
        <n x="12"/>
        <n x="7"/>
        <n x="1" s="1"/>
        <n x="2" s="1"/>
      </t>
    </mdx>
    <mdx n="0" f="v">
      <t c="5" si="34">
        <n x="28"/>
        <n x="12"/>
        <n x="5"/>
        <n x="1" s="1"/>
        <n x="2" s="1"/>
      </t>
    </mdx>
    <mdx n="0" f="v">
      <t c="5" si="34">
        <n x="28"/>
        <n x="9"/>
        <n x="7"/>
        <n x="1" s="1"/>
        <n x="2" s="1"/>
      </t>
    </mdx>
    <mdx n="0" f="v">
      <t c="5" si="34">
        <n x="28"/>
        <n x="9"/>
        <n x="5"/>
        <n x="1" s="1"/>
        <n x="2" s="1"/>
      </t>
    </mdx>
    <mdx n="0" f="v">
      <t c="5" si="34">
        <n x="28"/>
        <n x="4"/>
        <n x="7"/>
        <n x="1" s="1"/>
        <n x="2" s="1"/>
      </t>
    </mdx>
    <mdx n="0" f="v">
      <t c="5" si="34">
        <n x="28"/>
        <n x="4"/>
        <n x="5"/>
        <n x="1" s="1"/>
        <n x="2" s="1"/>
      </t>
    </mdx>
    <mdx n="0" f="v">
      <t c="5" si="34">
        <n x="28"/>
        <n x="19"/>
        <n x="7"/>
        <n x="1" s="1"/>
        <n x="2" s="1"/>
      </t>
    </mdx>
    <mdx n="0" f="v">
      <t c="5" si="34">
        <n x="28"/>
        <n x="19"/>
        <n x="5"/>
        <n x="1" s="1"/>
        <n x="2" s="1"/>
      </t>
    </mdx>
    <mdx n="0" f="v">
      <t c="5" si="34">
        <n x="28"/>
        <n x="24"/>
        <n x="7"/>
        <n x="1" s="1"/>
        <n x="2" s="1"/>
      </t>
    </mdx>
    <mdx n="0" f="v">
      <t c="5" si="34">
        <n x="28"/>
        <n x="24"/>
        <n x="5"/>
        <n x="1" s="1"/>
        <n x="2" s="1"/>
      </t>
    </mdx>
    <mdx n="0" f="v">
      <t c="5" si="34">
        <n x="28"/>
        <n x="30"/>
        <n x="7"/>
        <n x="1" s="1"/>
        <n x="2" s="1"/>
      </t>
    </mdx>
    <mdx n="0" f="v">
      <t c="5" si="34">
        <n x="28"/>
        <n x="30"/>
        <n x="5"/>
        <n x="1" s="1"/>
        <n x="2" s="1"/>
      </t>
    </mdx>
    <mdx n="0" f="v">
      <t c="5" si="34">
        <n x="28"/>
        <n x="29"/>
        <n x="7"/>
        <n x="1" s="1"/>
        <n x="2" s="1"/>
      </t>
    </mdx>
    <mdx n="0" f="v">
      <t c="5" si="34">
        <n x="28"/>
        <n x="29"/>
        <n x="5"/>
        <n x="1" s="1"/>
        <n x="2" s="1"/>
      </t>
    </mdx>
    <mdx n="0" f="v">
      <t c="5" si="34">
        <n x="28"/>
        <n x="23"/>
        <n x="7"/>
        <n x="1" s="1"/>
        <n x="2" s="1"/>
      </t>
    </mdx>
    <mdx n="0" f="v">
      <t c="5" si="34">
        <n x="11"/>
        <n x="23"/>
        <n x="7"/>
        <n x="1" s="1"/>
        <n x="2" s="1"/>
      </t>
    </mdx>
    <mdx n="0" f="v">
      <t c="5" si="34">
        <n x="6"/>
        <n x="23"/>
        <n x="7"/>
        <n x="1" s="1"/>
        <n x="2" s="1"/>
      </t>
    </mdx>
    <mdx n="0" f="v">
      <t c="5" si="34">
        <n x="13"/>
        <n x="23"/>
        <n x="7"/>
        <n x="1" s="1"/>
        <n x="2" s="1"/>
      </t>
    </mdx>
    <mdx n="0" f="v">
      <t c="5" si="34">
        <n x="6"/>
        <n x="29"/>
        <n x="7"/>
        <n x="1" s="1"/>
        <n x="2" s="1"/>
      </t>
    </mdx>
    <mdx n="0" f="v">
      <t c="5" si="34">
        <n x="11"/>
        <n x="29"/>
        <n x="7"/>
        <n x="1" s="1"/>
        <n x="2" s="1"/>
      </t>
    </mdx>
    <mdx n="0" f="v">
      <t c="5" si="34">
        <n x="13"/>
        <n x="29"/>
        <n x="7"/>
        <n x="1" s="1"/>
        <n x="2" s="1"/>
      </t>
    </mdx>
    <mdx n="0" f="v">
      <t c="5" si="34">
        <n x="8"/>
        <n x="29"/>
        <n x="7"/>
        <n x="1" s="1"/>
        <n x="2" s="1"/>
      </t>
    </mdx>
    <mdx n="0" f="v">
      <t c="5" si="34">
        <n x="3"/>
        <n x="29"/>
        <n x="7"/>
        <n x="1" s="1"/>
        <n x="2" s="1"/>
      </t>
    </mdx>
    <mdx n="0" f="v">
      <t c="5" si="34">
        <n x="18"/>
        <n x="30"/>
        <n x="5"/>
        <n x="1" s="1"/>
        <n x="2" s="1"/>
      </t>
    </mdx>
    <mdx n="0" f="v">
      <t c="5" si="34">
        <n x="11"/>
        <n x="30"/>
        <n x="5"/>
        <n x="1" s="1"/>
        <n x="2" s="1"/>
      </t>
    </mdx>
    <mdx n="0" f="v">
      <t c="5" si="34">
        <n x="6"/>
        <n x="30"/>
        <n x="5"/>
        <n x="1" s="1"/>
        <n x="2" s="1"/>
      </t>
    </mdx>
    <mdx n="0" f="v">
      <t c="5" si="34">
        <n x="20"/>
        <n x="30"/>
        <n x="5"/>
        <n x="1" s="1"/>
        <n x="2" s="1"/>
      </t>
    </mdx>
    <mdx n="0" f="v">
      <t c="5" si="34">
        <n x="13"/>
        <n x="30"/>
        <n x="5"/>
        <n x="1" s="1"/>
        <n x="2" s="1"/>
      </t>
    </mdx>
    <mdx n="0" f="v">
      <t c="5" si="34">
        <n x="8"/>
        <n x="30"/>
        <n x="5"/>
        <n x="1" s="1"/>
        <n x="2" s="1"/>
      </t>
    </mdx>
    <mdx n="0" f="v">
      <t c="5" si="34">
        <n x="3"/>
        <n x="30"/>
        <n x="5"/>
        <n x="1" s="1"/>
        <n x="2" s="1"/>
      </t>
    </mdx>
    <mdx n="0" f="v">
      <t c="5" si="34">
        <n x="13"/>
        <n x="17"/>
        <n x="7"/>
        <n x="1" s="1"/>
        <n x="2" s="1"/>
      </t>
    </mdx>
    <mdx n="0" f="v">
      <t c="5" si="34">
        <n x="11"/>
        <n x="17"/>
        <n x="7"/>
        <n x="1" s="1"/>
        <n x="2" s="1"/>
      </t>
    </mdx>
    <mdx n="0" f="v">
      <t c="5" si="34">
        <n x="20"/>
        <n x="17"/>
        <n x="7"/>
        <n x="1" s="1"/>
        <n x="2" s="1"/>
      </t>
    </mdx>
    <mdx n="0" f="v">
      <t c="5" si="34">
        <n x="25"/>
        <n x="17"/>
        <n x="7"/>
        <n x="1" s="1"/>
        <n x="2" s="1"/>
      </t>
    </mdx>
    <mdx n="0" f="v">
      <t c="5" si="34">
        <n x="3"/>
        <n x="17"/>
        <n x="7"/>
        <n x="1" s="1"/>
        <n x="2" s="1"/>
      </t>
    </mdx>
    <mdx n="0" f="v">
      <t c="5" si="34">
        <n x="6"/>
        <n x="17"/>
        <n x="7"/>
        <n x="1" s="1"/>
        <n x="2" s="1"/>
      </t>
    </mdx>
    <mdx n="0" f="v">
      <t c="5" si="34">
        <n x="20"/>
        <n x="30"/>
        <n x="7"/>
        <n x="1" s="1"/>
        <n x="2" s="1"/>
      </t>
    </mdx>
    <mdx n="0" f="v">
      <t c="5" si="34">
        <n x="13"/>
        <n x="30"/>
        <n x="7"/>
        <n x="1" s="1"/>
        <n x="2" s="1"/>
      </t>
    </mdx>
    <mdx n="0" f="v">
      <t c="5" si="34">
        <n x="11"/>
        <n x="30"/>
        <n x="7"/>
        <n x="1" s="1"/>
        <n x="2" s="1"/>
      </t>
    </mdx>
    <mdx n="0" f="v">
      <t c="5" si="34">
        <n x="8"/>
        <n x="30"/>
        <n x="7"/>
        <n x="1" s="1"/>
        <n x="2" s="1"/>
      </t>
    </mdx>
    <mdx n="0" f="v">
      <t c="5" si="34">
        <n x="3"/>
        <n x="30"/>
        <n x="7"/>
        <n x="1" s="1"/>
        <n x="2" s="1"/>
      </t>
    </mdx>
    <mdx n="0" f="v">
      <t c="5" si="34">
        <n x="8"/>
        <n x="24"/>
        <n x="5"/>
        <n x="1" s="1"/>
        <n x="2" s="1"/>
      </t>
    </mdx>
    <mdx n="0" f="v">
      <t c="5" si="34">
        <n x="18"/>
        <n x="24"/>
        <n x="5"/>
        <n x="1" s="1"/>
        <n x="2" s="1"/>
      </t>
    </mdx>
    <mdx n="0" f="v">
      <t c="5" si="34">
        <n x="11"/>
        <n x="24"/>
        <n x="5"/>
        <n x="1" s="1"/>
        <n x="2" s="1"/>
      </t>
    </mdx>
    <mdx n="0" f="v">
      <t c="5" si="34">
        <n x="20"/>
        <n x="24"/>
        <n x="5"/>
        <n x="1" s="1"/>
        <n x="2" s="1"/>
      </t>
    </mdx>
    <mdx n="0" f="v">
      <t c="5" si="34">
        <n x="13"/>
        <n x="24"/>
        <n x="5"/>
        <n x="1" s="1"/>
        <n x="2" s="1"/>
      </t>
    </mdx>
    <mdx n="0" f="v">
      <t c="5" si="34">
        <n x="25"/>
        <n x="24"/>
        <n x="5"/>
        <n x="1" s="1"/>
        <n x="2" s="1"/>
      </t>
    </mdx>
    <mdx n="0" f="v">
      <t c="5" si="34">
        <n x="3"/>
        <n x="24"/>
        <n x="5"/>
        <n x="1" s="1"/>
        <n x="2" s="1"/>
      </t>
    </mdx>
    <mdx n="0" f="v">
      <t c="5" si="34">
        <n x="31"/>
        <n x="12"/>
        <n x="7"/>
        <n x="1" s="1"/>
        <n x="2" s="1"/>
      </t>
    </mdx>
    <mdx n="0" f="v">
      <t c="5" si="34">
        <n x="31"/>
        <n x="12"/>
        <n x="5"/>
        <n x="1" s="1"/>
        <n x="2" s="1"/>
      </t>
    </mdx>
    <mdx n="0" f="v">
      <t c="5" si="34">
        <n x="31"/>
        <n x="9"/>
        <n x="7"/>
        <n x="1" s="1"/>
        <n x="2" s="1"/>
      </t>
    </mdx>
    <mdx n="0" f="v">
      <t c="5" si="34">
        <n x="31"/>
        <n x="9"/>
        <n x="5"/>
        <n x="1" s="1"/>
        <n x="2" s="1"/>
      </t>
    </mdx>
    <mdx n="0" f="v">
      <t c="5" si="34">
        <n x="31"/>
        <n x="17"/>
        <n x="7"/>
        <n x="1" s="1"/>
        <n x="2" s="1"/>
      </t>
    </mdx>
    <mdx n="0" f="v">
      <t c="5" si="34">
        <n x="31"/>
        <n x="24"/>
        <n x="5"/>
        <n x="1" s="1"/>
        <n x="2" s="1"/>
      </t>
    </mdx>
    <mdx n="0" f="v">
      <t c="5" si="34">
        <n x="31"/>
        <n x="4"/>
        <n x="7"/>
        <n x="1" s="1"/>
        <n x="2" s="1"/>
      </t>
    </mdx>
    <mdx n="0" f="v">
      <t c="5" si="34">
        <n x="31"/>
        <n x="19"/>
        <n x="7"/>
        <n x="1" s="1"/>
        <n x="2" s="1"/>
      </t>
    </mdx>
    <mdx n="0" f="v">
      <t c="5" si="34">
        <n x="31"/>
        <n x="19"/>
        <n x="5"/>
        <n x="1" s="1"/>
        <n x="2" s="1"/>
      </t>
    </mdx>
    <mdx n="0" f="v">
      <t c="5" si="34">
        <n x="31"/>
        <n x="30"/>
        <n x="7"/>
        <n x="1" s="1"/>
        <n x="2" s="1"/>
      </t>
    </mdx>
    <mdx n="0" f="v">
      <t c="5" si="34">
        <n x="31"/>
        <n x="29"/>
        <n x="5"/>
        <n x="1" s="1"/>
        <n x="2" s="1"/>
      </t>
    </mdx>
    <mdx n="0" f="v">
      <t c="5" si="34">
        <n x="31"/>
        <n x="22"/>
        <n x="5"/>
        <n x="1" s="1"/>
        <n x="2" s="1"/>
      </t>
    </mdx>
    <mdx n="0" f="v">
      <t c="5" si="34">
        <n x="31"/>
        <n x="17"/>
        <n x="5"/>
        <n x="1" s="1"/>
        <n x="2" s="1"/>
      </t>
    </mdx>
    <mdx n="0" f="v">
      <t c="5" si="34">
        <n x="31"/>
        <n x="24"/>
        <n x="7"/>
        <n x="1" s="1"/>
        <n x="2" s="1"/>
      </t>
    </mdx>
    <mdx n="0" f="v">
      <t c="5" si="34">
        <n x="31"/>
        <n x="30"/>
        <n x="5"/>
        <n x="1" s="1"/>
        <n x="2" s="1"/>
      </t>
    </mdx>
    <mdx n="0" f="v">
      <t c="5" si="34">
        <n x="31"/>
        <n x="29"/>
        <n x="7"/>
        <n x="1" s="1"/>
        <n x="2" s="1"/>
      </t>
    </mdx>
    <mdx n="0" f="v">
      <t c="5" si="34">
        <n x="31"/>
        <n x="23"/>
        <n x="7"/>
        <n x="1" s="1"/>
        <n x="2" s="1"/>
      </t>
    </mdx>
    <mdx n="0" f="v">
      <t c="5" si="34">
        <n x="31"/>
        <n x="23"/>
        <n x="5"/>
        <n x="1" s="1"/>
        <n x="2" s="1"/>
      </t>
    </mdx>
    <mdx n="0" f="v">
      <t c="5" si="34">
        <n x="31"/>
        <n x="21"/>
        <n x="7"/>
        <n x="1" s="1"/>
        <n x="2" s="1"/>
      </t>
    </mdx>
    <mdx n="0" f="v">
      <t c="5" si="34">
        <n x="31"/>
        <n x="21"/>
        <n x="5"/>
        <n x="1" s="1"/>
        <n x="2" s="1"/>
      </t>
    </mdx>
    <mdx n="0" f="v">
      <t c="4" si="34">
        <n x="31"/>
        <n x="7"/>
        <n x="1" s="1"/>
        <n x="2" s="1"/>
      </t>
    </mdx>
    <mdx n="0" f="v">
      <t c="4" si="34">
        <n x="31"/>
        <n x="5"/>
        <n x="1" s="1"/>
        <n x="2" s="1"/>
      </t>
    </mdx>
    <mdx n="0" f="v">
      <t c="5" si="34">
        <n x="31"/>
        <n x="15"/>
        <n x="7"/>
        <n x="1" s="1"/>
        <n x="2" s="1"/>
      </t>
    </mdx>
    <mdx n="0" f="v">
      <t c="5" si="34">
        <n x="18"/>
        <n x="29"/>
        <n x="5"/>
        <n x="1" s="1"/>
        <n x="2" s="1"/>
      </t>
    </mdx>
    <mdx n="0" f="v">
      <t c="5" si="34">
        <n x="11"/>
        <n x="29"/>
        <n x="5"/>
        <n x="1" s="1"/>
        <n x="2" s="1"/>
      </t>
    </mdx>
    <mdx n="0" f="v">
      <t c="5" si="34">
        <n x="6"/>
        <n x="29"/>
        <n x="5"/>
        <n x="1" s="1"/>
        <n x="2" s="1"/>
      </t>
    </mdx>
    <mdx n="0" f="v">
      <t c="5" si="34">
        <n x="13"/>
        <n x="29"/>
        <n x="5"/>
        <n x="1" s="1"/>
        <n x="2" s="1"/>
      </t>
    </mdx>
    <mdx n="0" f="v">
      <t c="5" si="34">
        <n x="8"/>
        <n x="29"/>
        <n x="5"/>
        <n x="1" s="1"/>
        <n x="2" s="1"/>
      </t>
    </mdx>
    <mdx n="0" f="v">
      <t c="5" si="34">
        <n x="13"/>
        <n x="19"/>
        <n x="7"/>
        <n x="1" s="1"/>
        <n x="2" s="1"/>
      </t>
    </mdx>
    <mdx n="0" f="v">
      <t c="5" si="34">
        <n x="25"/>
        <n x="19"/>
        <n x="7"/>
        <n x="1" s="1"/>
        <n x="2" s="1"/>
      </t>
    </mdx>
    <mdx n="0" f="v">
      <t c="5" si="34">
        <n x="20"/>
        <n x="19"/>
        <n x="7"/>
        <n x="1" s="1"/>
        <n x="2" s="1"/>
      </t>
    </mdx>
    <mdx n="0" f="v">
      <t c="5" si="34">
        <n x="16"/>
        <n x="19"/>
        <n x="7"/>
        <n x="1" s="1"/>
        <n x="2" s="1"/>
      </t>
    </mdx>
    <mdx n="0" f="v">
      <t c="5" si="34">
        <n x="14"/>
        <n x="19"/>
        <n x="7"/>
        <n x="1" s="1"/>
        <n x="2" s="1"/>
      </t>
    </mdx>
    <mdx n="0" f="v">
      <t c="5" si="34">
        <n x="6"/>
        <n x="19"/>
        <n x="7"/>
        <n x="1" s="1"/>
        <n x="2" s="1"/>
      </t>
    </mdx>
    <mdx n="0" f="v">
      <t c="5" si="34">
        <n x="8"/>
        <n x="19"/>
        <n x="7"/>
        <n x="1" s="1"/>
        <n x="2" s="1"/>
      </t>
    </mdx>
    <mdx n="0" f="v">
      <t c="5" si="34">
        <n x="6"/>
        <n x="15"/>
        <n x="7"/>
        <n x="1" s="1"/>
        <n x="2" s="1"/>
      </t>
    </mdx>
    <mdx n="0" f="v">
      <t c="5" si="34">
        <n x="25"/>
        <n x="15"/>
        <n x="7"/>
        <n x="1" s="1"/>
        <n x="2" s="1"/>
      </t>
    </mdx>
    <mdx n="0" f="v">
      <t c="5" si="34">
        <n x="16"/>
        <n x="15"/>
        <n x="7"/>
        <n x="1" s="1"/>
        <n x="2" s="1"/>
      </t>
    </mdx>
    <mdx n="0" f="v">
      <t c="5" si="34">
        <n x="8"/>
        <n x="15"/>
        <n x="7"/>
        <n x="1" s="1"/>
        <n x="2" s="1"/>
      </t>
    </mdx>
    <mdx n="0" f="v">
      <t c="5" si="34">
        <n x="28"/>
        <n x="15"/>
        <n x="7"/>
        <n x="1" s="1"/>
        <n x="2" s="1"/>
      </t>
    </mdx>
    <mdx n="0" f="v">
      <t c="5" si="34">
        <n x="27"/>
        <n x="15"/>
        <n x="7"/>
        <n x="1" s="1"/>
        <n x="2" s="1"/>
      </t>
    </mdx>
    <mdx n="0" f="v">
      <t c="5" si="34">
        <n x="10"/>
        <n x="15"/>
        <n x="7"/>
        <n x="1" s="1"/>
        <n x="2" s="1"/>
      </t>
    </mdx>
    <mdx n="0" f="v">
      <t c="5" si="34">
        <n x="3"/>
        <n x="15"/>
        <n x="7"/>
        <n x="1" s="1"/>
        <n x="2" s="1"/>
      </t>
    </mdx>
    <mdx n="0" f="v">
      <t c="5" si="34">
        <n x="13"/>
        <n x="15"/>
        <n x="7"/>
        <n x="1" s="1"/>
        <n x="2" s="1"/>
      </t>
    </mdx>
    <mdx n="0" f="v">
      <t c="4" si="34">
        <n x="8"/>
        <n x="5"/>
        <n x="1" s="1"/>
        <n x="2" s="1"/>
      </t>
    </mdx>
    <mdx n="0" f="v">
      <t c="4" si="34">
        <n x="28"/>
        <n x="5"/>
        <n x="1" s="1"/>
        <n x="2" s="1"/>
      </t>
    </mdx>
    <mdx n="0" f="v">
      <t c="4" si="34">
        <n x="27"/>
        <n x="5"/>
        <n x="1" s="1"/>
        <n x="2" s="1"/>
      </t>
    </mdx>
    <mdx n="0" f="v">
      <t c="4" si="34">
        <n x="3"/>
        <n x="5"/>
        <n x="1" s="1"/>
        <n x="2" s="1"/>
      </t>
    </mdx>
    <mdx n="0" f="v">
      <t c="4" si="34">
        <n x="14"/>
        <n x="5"/>
        <n x="1" s="1"/>
        <n x="2" s="1"/>
      </t>
    </mdx>
    <mdx n="0" f="v">
      <t c="4" si="34">
        <n x="18"/>
        <n x="5"/>
        <n x="1" s="1"/>
        <n x="2" s="1"/>
      </t>
    </mdx>
    <mdx n="0" f="v">
      <t c="4" si="34">
        <n x="10"/>
        <n x="5"/>
        <n x="1" s="1"/>
        <n x="2" s="1"/>
      </t>
    </mdx>
    <mdx n="0" f="v">
      <t c="4" si="34">
        <n x="11"/>
        <n x="5"/>
        <n x="1" s="1"/>
        <n x="2" s="1"/>
      </t>
    </mdx>
    <mdx n="0" f="v">
      <t c="4" si="34">
        <n x="6"/>
        <n x="5"/>
        <n x="1" s="1"/>
        <n x="2" s="1"/>
      </t>
    </mdx>
    <mdx n="0" f="v">
      <t c="5" si="34">
        <n x="32"/>
        <n x="15"/>
        <n x="7"/>
        <n x="1" s="1"/>
        <n x="2" s="1"/>
      </t>
    </mdx>
    <mdx n="0" f="v">
      <t c="5" si="34">
        <n x="32"/>
        <n x="9"/>
        <n x="7"/>
        <n x="1" s="1"/>
        <n x="2" s="1"/>
      </t>
    </mdx>
    <mdx n="0" f="v">
      <t c="5" si="34">
        <n x="32"/>
        <n x="15"/>
        <n x="5"/>
        <n x="1" s="1"/>
        <n x="2" s="1"/>
      </t>
    </mdx>
    <mdx n="0" f="v">
      <t c="5" si="34">
        <n x="32"/>
        <n x="24"/>
        <n x="5"/>
        <n x="1" s="1"/>
        <n x="2" s="1"/>
      </t>
    </mdx>
    <mdx n="0" f="v">
      <t c="5" si="34">
        <n x="32"/>
        <n x="30"/>
        <n x="5"/>
        <n x="1" s="1"/>
        <n x="2" s="1"/>
      </t>
    </mdx>
    <mdx n="0" f="v">
      <t c="5" si="34">
        <n x="32"/>
        <n x="12"/>
        <n x="5"/>
        <n x="1" s="1"/>
        <n x="2" s="1"/>
      </t>
    </mdx>
    <mdx n="0" f="v">
      <t c="5" si="34">
        <n x="32"/>
        <n x="9"/>
        <n x="5"/>
        <n x="1" s="1"/>
        <n x="2" s="1"/>
      </t>
    </mdx>
    <mdx n="0" f="v">
      <t c="5" si="34">
        <n x="32"/>
        <n x="4"/>
        <n x="5"/>
        <n x="1" s="1"/>
        <n x="2" s="1"/>
      </t>
    </mdx>
    <mdx n="0" f="v">
      <t c="5" si="34">
        <n x="32"/>
        <n x="12"/>
        <n x="7"/>
        <n x="1" s="1"/>
        <n x="2" s="1"/>
      </t>
    </mdx>
    <mdx n="0" f="v">
      <t c="5" si="34">
        <n x="32"/>
        <n x="4"/>
        <n x="7"/>
        <n x="1" s="1"/>
        <n x="2" s="1"/>
      </t>
    </mdx>
    <mdx n="0" f="v">
      <t c="5" si="34">
        <n x="32"/>
        <n x="19"/>
        <n x="7"/>
        <n x="1" s="1"/>
        <n x="2" s="1"/>
      </t>
    </mdx>
    <mdx n="0" f="v">
      <t c="5" si="34">
        <n x="32"/>
        <n x="19"/>
        <n x="5"/>
        <n x="1" s="1"/>
        <n x="2" s="1"/>
      </t>
    </mdx>
    <mdx n="0" f="v">
      <t c="5" si="34">
        <n x="32"/>
        <n x="17"/>
        <n x="7"/>
        <n x="1" s="1"/>
        <n x="2" s="1"/>
      </t>
    </mdx>
    <mdx n="0" f="v">
      <t c="5" si="34">
        <n x="32"/>
        <n x="17"/>
        <n x="5"/>
        <n x="1" s="1"/>
        <n x="2" s="1"/>
      </t>
    </mdx>
    <mdx n="0" f="v">
      <t c="5" si="34">
        <n x="32"/>
        <n x="24"/>
        <n x="7"/>
        <n x="1" s="1"/>
        <n x="2" s="1"/>
      </t>
    </mdx>
    <mdx n="0" f="v">
      <t c="5" si="34">
        <n x="32"/>
        <n x="30"/>
        <n x="7"/>
        <n x="1" s="1"/>
        <n x="2" s="1"/>
      </t>
    </mdx>
    <mdx n="0" f="v">
      <t c="5" si="34">
        <n x="32"/>
        <n x="29"/>
        <n x="7"/>
        <n x="1" s="1"/>
        <n x="2" s="1"/>
      </t>
    </mdx>
    <mdx n="0" f="v">
      <t c="5" si="34">
        <n x="32"/>
        <n x="29"/>
        <n x="5"/>
        <n x="1" s="1"/>
        <n x="2" s="1"/>
      </t>
    </mdx>
    <mdx n="0" f="v">
      <t c="5" si="34">
        <n x="32"/>
        <n x="23"/>
        <n x="7"/>
        <n x="1" s="1"/>
        <n x="2" s="1"/>
      </t>
    </mdx>
    <mdx n="0" f="v">
      <t c="5" si="34">
        <n x="32"/>
        <n x="23"/>
        <n x="5"/>
        <n x="1" s="1"/>
        <n x="2" s="1"/>
      </t>
    </mdx>
    <mdx n="0" f="v">
      <t c="5" si="34">
        <n x="32"/>
        <n x="22"/>
        <n x="7"/>
        <n x="1" s="1"/>
        <n x="2" s="1"/>
      </t>
    </mdx>
    <mdx n="0" f="v">
      <t c="5" si="34">
        <n x="32"/>
        <n x="22"/>
        <n x="5"/>
        <n x="1" s="1"/>
        <n x="2" s="1"/>
      </t>
    </mdx>
    <mdx n="0" f="v">
      <t c="5" si="34">
        <n x="32"/>
        <n x="21"/>
        <n x="7"/>
        <n x="1" s="1"/>
        <n x="2" s="1"/>
      </t>
    </mdx>
    <mdx n="0" f="v">
      <t c="5" si="34">
        <n x="32"/>
        <n x="21"/>
        <n x="5"/>
        <n x="1" s="1"/>
        <n x="2" s="1"/>
      </t>
    </mdx>
    <mdx n="0" f="v">
      <t c="4" si="34">
        <n x="32"/>
        <n x="7"/>
        <n x="1" s="1"/>
        <n x="2" s="1"/>
      </t>
    </mdx>
    <mdx n="0" f="v">
      <t c="4" si="34">
        <n x="32"/>
        <n x="5"/>
        <n x="1" s="1"/>
        <n x="2" s="1"/>
      </t>
    </mdx>
    <mdx n="0" f="v">
      <t c="4" si="34">
        <n x="8"/>
        <n x="7"/>
        <n x="1" s="1"/>
        <n x="2" s="1"/>
      </t>
    </mdx>
    <mdx n="0" f="v">
      <t c="4" si="34">
        <n x="28"/>
        <n x="7"/>
        <n x="1" s="1"/>
        <n x="2" s="1"/>
      </t>
    </mdx>
    <mdx n="0" f="v">
      <t c="4" si="34">
        <n x="14"/>
        <n x="7"/>
        <n x="1" s="1"/>
        <n x="2" s="1"/>
      </t>
    </mdx>
    <mdx n="0" f="v">
      <t c="4" si="34">
        <n x="3"/>
        <n x="7"/>
        <n x="1" s="1"/>
        <n x="2" s="1"/>
      </t>
    </mdx>
    <mdx n="0" f="v">
      <t c="4" si="34">
        <n x="10"/>
        <n x="7"/>
        <n x="1" s="1"/>
        <n x="2" s="1"/>
      </t>
    </mdx>
    <mdx n="0" f="v">
      <t c="4" si="34">
        <n x="13"/>
        <n x="7"/>
        <n x="1" s="1"/>
        <n x="2" s="1"/>
      </t>
    </mdx>
    <mdx n="0" f="v">
      <t c="4" si="34">
        <n x="20"/>
        <n x="7"/>
        <n x="1" s="1"/>
        <n x="2" s="1"/>
      </t>
    </mdx>
    <mdx n="0" f="v">
      <t c="4" si="34">
        <n x="11"/>
        <n x="7"/>
        <n x="1" s="1"/>
        <n x="2" s="1"/>
      </t>
    </mdx>
    <mdx n="0" f="v">
      <t c="4" si="34">
        <n x="6"/>
        <n x="7"/>
        <n x="1" s="1"/>
        <n x="2" s="1"/>
      </t>
    </mdx>
    <mdx n="0" f="v">
      <t c="5" si="34">
        <n x="33"/>
        <n x="9"/>
        <n x="7"/>
        <n x="1" s="1"/>
        <n x="2" s="1"/>
      </t>
    </mdx>
    <mdx n="0" f="v">
      <t c="5" si="34">
        <n x="33"/>
        <n x="9"/>
        <n x="5"/>
        <n x="1" s="1"/>
        <n x="2" s="1"/>
      </t>
    </mdx>
    <mdx n="0" f="v">
      <t c="5" si="34">
        <n x="33"/>
        <n x="4"/>
        <n x="7"/>
        <n x="1" s="1"/>
        <n x="2" s="1"/>
      </t>
    </mdx>
    <mdx n="0" f="v">
      <t c="5" si="34">
        <n x="33"/>
        <n x="4"/>
        <n x="5"/>
        <n x="1" s="1"/>
        <n x="2" s="1"/>
      </t>
    </mdx>
    <mdx n="0" f="v">
      <t c="5" si="34">
        <n x="33"/>
        <n x="19"/>
        <n x="7"/>
        <n x="1" s="1"/>
        <n x="2" s="1"/>
      </t>
    </mdx>
    <mdx n="0" f="v">
      <t c="5" si="34">
        <n x="33"/>
        <n x="19"/>
        <n x="5"/>
        <n x="1" s="1"/>
        <n x="2" s="1"/>
      </t>
    </mdx>
    <mdx n="0" f="v">
      <t c="5" si="34">
        <n x="33"/>
        <n x="15"/>
        <n x="5"/>
        <n x="1" s="1"/>
        <n x="2" s="1"/>
      </t>
    </mdx>
    <mdx n="0" f="v">
      <t c="5" si="34">
        <n x="33"/>
        <n x="12"/>
        <n x="5"/>
        <n x="1" s="1"/>
        <n x="2" s="1"/>
      </t>
    </mdx>
    <mdx n="0" f="v">
      <t c="5" si="34">
        <n x="33"/>
        <n x="17"/>
        <n x="7"/>
        <n x="1" s="1"/>
        <n x="2" s="1"/>
      </t>
    </mdx>
    <mdx n="0" f="v">
      <t c="5" si="34">
        <n x="33"/>
        <n x="12"/>
        <n x="7"/>
        <n x="1" s="1"/>
        <n x="2" s="1"/>
      </t>
    </mdx>
    <mdx n="0" f="v">
      <t c="5" si="34">
        <n x="33"/>
        <n x="24"/>
        <n x="7"/>
        <n x="1" s="1"/>
        <n x="2" s="1"/>
      </t>
    </mdx>
    <mdx n="0" f="v">
      <t c="5" si="34">
        <n x="33"/>
        <n x="21"/>
        <n x="5"/>
        <n x="1" s="1"/>
        <n x="2" s="1"/>
      </t>
    </mdx>
    <mdx n="0" f="v">
      <t c="5" si="34">
        <n x="33"/>
        <n x="15"/>
        <n x="7"/>
        <n x="1" s="1"/>
        <n x="2" s="1"/>
      </t>
    </mdx>
    <mdx n="0" f="v">
      <t c="5" si="34">
        <n x="33"/>
        <n x="17"/>
        <n x="5"/>
        <n x="1" s="1"/>
        <n x="2" s="1"/>
      </t>
    </mdx>
    <mdx n="0" f="v">
      <t c="5" si="34">
        <n x="33"/>
        <n x="24"/>
        <n x="5"/>
        <n x="1" s="1"/>
        <n x="2" s="1"/>
      </t>
    </mdx>
    <mdx n="0" f="v">
      <t c="5" si="34">
        <n x="33"/>
        <n x="30"/>
        <n x="5"/>
        <n x="1" s="1"/>
        <n x="2" s="1"/>
      </t>
    </mdx>
    <mdx n="0" f="v">
      <t c="4" si="34">
        <n x="33"/>
        <n x="7"/>
        <n x="1" s="1"/>
        <n x="2" s="1"/>
      </t>
    </mdx>
    <mdx n="0" f="v">
      <t c="4" si="34">
        <n x="33"/>
        <n x="5"/>
        <n x="1" s="1"/>
        <n x="2" s="1"/>
      </t>
    </mdx>
    <mdx n="0" f="v">
      <t c="5" si="34">
        <n x="33"/>
        <n x="30"/>
        <n x="7"/>
        <n x="1" s="1"/>
        <n x="2" s="1"/>
      </t>
    </mdx>
    <mdx n="0" f="v">
      <t c="5" si="34">
        <n x="33"/>
        <n x="29"/>
        <n x="7"/>
        <n x="1" s="1"/>
        <n x="2" s="1"/>
      </t>
    </mdx>
    <mdx n="0" f="v">
      <t c="5" si="34">
        <n x="33"/>
        <n x="29"/>
        <n x="5"/>
        <n x="1" s="1"/>
        <n x="2" s="1"/>
      </t>
    </mdx>
    <mdx n="0" f="v">
      <t c="5" si="34">
        <n x="33"/>
        <n x="23"/>
        <n x="7"/>
        <n x="1" s="1"/>
        <n x="2" s="1"/>
      </t>
    </mdx>
    <mdx n="0" f="v">
      <t c="5" si="34">
        <n x="33"/>
        <n x="23"/>
        <n x="5"/>
        <n x="1" s="1"/>
        <n x="2" s="1"/>
      </t>
    </mdx>
    <mdx n="0" f="v">
      <t c="5" si="34">
        <n x="33"/>
        <n x="22"/>
        <n x="7"/>
        <n x="1" s="1"/>
        <n x="2" s="1"/>
      </t>
    </mdx>
    <mdx n="0" f="v">
      <t c="5" si="34">
        <n x="33"/>
        <n x="22"/>
        <n x="5"/>
        <n x="1" s="1"/>
        <n x="2" s="1"/>
      </t>
    </mdx>
    <mdx n="0" f="v">
      <t c="5" si="34">
        <n x="33"/>
        <n x="21"/>
        <n x="7"/>
        <n x="1" s="1"/>
        <n x="2" s="1"/>
      </t>
    </mdx>
  </mdxMetadata>
  <valueMetadata count="497">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bk>
      <rc t="1" v="253"/>
    </bk>
    <bk>
      <rc t="1" v="254"/>
    </bk>
    <bk>
      <rc t="1" v="255"/>
    </bk>
    <bk>
      <rc t="1" v="256"/>
    </bk>
    <bk>
      <rc t="1" v="257"/>
    </bk>
    <bk>
      <rc t="1" v="258"/>
    </bk>
    <bk>
      <rc t="1" v="259"/>
    </bk>
    <bk>
      <rc t="1" v="260"/>
    </bk>
    <bk>
      <rc t="1" v="261"/>
    </bk>
    <bk>
      <rc t="1" v="262"/>
    </bk>
    <bk>
      <rc t="1" v="263"/>
    </bk>
    <bk>
      <rc t="1" v="264"/>
    </bk>
    <bk>
      <rc t="1" v="265"/>
    </bk>
    <bk>
      <rc t="1" v="266"/>
    </bk>
    <bk>
      <rc t="1" v="267"/>
    </bk>
    <bk>
      <rc t="1" v="268"/>
    </bk>
    <bk>
      <rc t="1" v="269"/>
    </bk>
    <bk>
      <rc t="1" v="270"/>
    </bk>
    <bk>
      <rc t="1" v="271"/>
    </bk>
    <bk>
      <rc t="1" v="272"/>
    </bk>
    <bk>
      <rc t="1" v="273"/>
    </bk>
    <bk>
      <rc t="1" v="274"/>
    </bk>
    <bk>
      <rc t="1" v="275"/>
    </bk>
    <bk>
      <rc t="1" v="276"/>
    </bk>
    <bk>
      <rc t="1" v="277"/>
    </bk>
    <bk>
      <rc t="1" v="278"/>
    </bk>
    <bk>
      <rc t="1" v="279"/>
    </bk>
    <bk>
      <rc t="1" v="280"/>
    </bk>
    <bk>
      <rc t="1" v="281"/>
    </bk>
    <bk>
      <rc t="1" v="282"/>
    </bk>
    <bk>
      <rc t="1" v="283"/>
    </bk>
    <bk>
      <rc t="1" v="284"/>
    </bk>
    <bk>
      <rc t="1" v="285"/>
    </bk>
    <bk>
      <rc t="1" v="286"/>
    </bk>
    <bk>
      <rc t="1" v="287"/>
    </bk>
    <bk>
      <rc t="1" v="288"/>
    </bk>
    <bk>
      <rc t="1" v="289"/>
    </bk>
    <bk>
      <rc t="1" v="290"/>
    </bk>
    <bk>
      <rc t="1" v="291"/>
    </bk>
    <bk>
      <rc t="1" v="292"/>
    </bk>
    <bk>
      <rc t="1" v="293"/>
    </bk>
    <bk>
      <rc t="1" v="294"/>
    </bk>
    <bk>
      <rc t="1" v="295"/>
    </bk>
    <bk>
      <rc t="1" v="296"/>
    </bk>
    <bk>
      <rc t="1" v="297"/>
    </bk>
    <bk>
      <rc t="1" v="298"/>
    </bk>
    <bk>
      <rc t="1" v="299"/>
    </bk>
    <bk>
      <rc t="1" v="300"/>
    </bk>
    <bk>
      <rc t="1" v="301"/>
    </bk>
    <bk>
      <rc t="1" v="302"/>
    </bk>
    <bk>
      <rc t="1" v="303"/>
    </bk>
    <bk>
      <rc t="1" v="304"/>
    </bk>
    <bk>
      <rc t="1" v="305"/>
    </bk>
    <bk>
      <rc t="1" v="306"/>
    </bk>
    <bk>
      <rc t="1" v="307"/>
    </bk>
    <bk>
      <rc t="1" v="308"/>
    </bk>
    <bk>
      <rc t="1" v="309"/>
    </bk>
    <bk>
      <rc t="1" v="310"/>
    </bk>
    <bk>
      <rc t="1" v="311"/>
    </bk>
    <bk>
      <rc t="1" v="312"/>
    </bk>
    <bk>
      <rc t="1" v="313"/>
    </bk>
    <bk>
      <rc t="1" v="314"/>
    </bk>
    <bk>
      <rc t="1" v="315"/>
    </bk>
    <bk>
      <rc t="1" v="316"/>
    </bk>
    <bk>
      <rc t="1" v="317"/>
    </bk>
    <bk>
      <rc t="1" v="318"/>
    </bk>
    <bk>
      <rc t="1" v="319"/>
    </bk>
    <bk>
      <rc t="1" v="320"/>
    </bk>
    <bk>
      <rc t="1" v="321"/>
    </bk>
    <bk>
      <rc t="1" v="322"/>
    </bk>
    <bk>
      <rc t="1" v="323"/>
    </bk>
    <bk>
      <rc t="1" v="324"/>
    </bk>
    <bk>
      <rc t="1" v="325"/>
    </bk>
    <bk>
      <rc t="1" v="326"/>
    </bk>
    <bk>
      <rc t="1" v="327"/>
    </bk>
    <bk>
      <rc t="1" v="328"/>
    </bk>
    <bk>
      <rc t="1" v="329"/>
    </bk>
    <bk>
      <rc t="1" v="330"/>
    </bk>
    <bk>
      <rc t="1" v="331"/>
    </bk>
    <bk>
      <rc t="1" v="332"/>
    </bk>
    <bk>
      <rc t="1" v="333"/>
    </bk>
    <bk>
      <rc t="1" v="334"/>
    </bk>
    <bk>
      <rc t="1" v="335"/>
    </bk>
    <bk>
      <rc t="1" v="336"/>
    </bk>
    <bk>
      <rc t="1" v="337"/>
    </bk>
    <bk>
      <rc t="1" v="338"/>
    </bk>
    <bk>
      <rc t="1" v="339"/>
    </bk>
    <bk>
      <rc t="1" v="340"/>
    </bk>
    <bk>
      <rc t="1" v="341"/>
    </bk>
    <bk>
      <rc t="1" v="342"/>
    </bk>
    <bk>
      <rc t="1" v="343"/>
    </bk>
    <bk>
      <rc t="1" v="344"/>
    </bk>
    <bk>
      <rc t="1" v="345"/>
    </bk>
    <bk>
      <rc t="1" v="346"/>
    </bk>
    <bk>
      <rc t="1" v="347"/>
    </bk>
    <bk>
      <rc t="1" v="348"/>
    </bk>
    <bk>
      <rc t="1" v="349"/>
    </bk>
    <bk>
      <rc t="1" v="350"/>
    </bk>
    <bk>
      <rc t="1" v="351"/>
    </bk>
    <bk>
      <rc t="1" v="352"/>
    </bk>
    <bk>
      <rc t="1" v="353"/>
    </bk>
    <bk>
      <rc t="1" v="354"/>
    </bk>
    <bk>
      <rc t="1" v="355"/>
    </bk>
    <bk>
      <rc t="1" v="356"/>
    </bk>
    <bk>
      <rc t="1" v="357"/>
    </bk>
    <bk>
      <rc t="1" v="358"/>
    </bk>
    <bk>
      <rc t="1" v="359"/>
    </bk>
    <bk>
      <rc t="1" v="360"/>
    </bk>
    <bk>
      <rc t="1" v="361"/>
    </bk>
    <bk>
      <rc t="1" v="362"/>
    </bk>
    <bk>
      <rc t="1" v="363"/>
    </bk>
    <bk>
      <rc t="1" v="364"/>
    </bk>
    <bk>
      <rc t="1" v="365"/>
    </bk>
    <bk>
      <rc t="1" v="366"/>
    </bk>
    <bk>
      <rc t="1" v="367"/>
    </bk>
    <bk>
      <rc t="1" v="368"/>
    </bk>
    <bk>
      <rc t="1" v="369"/>
    </bk>
    <bk>
      <rc t="1" v="370"/>
    </bk>
    <bk>
      <rc t="1" v="371"/>
    </bk>
    <bk>
      <rc t="1" v="372"/>
    </bk>
    <bk>
      <rc t="1" v="373"/>
    </bk>
    <bk>
      <rc t="1" v="374"/>
    </bk>
    <bk>
      <rc t="1" v="375"/>
    </bk>
    <bk>
      <rc t="1" v="376"/>
    </bk>
    <bk>
      <rc t="1" v="377"/>
    </bk>
    <bk>
      <rc t="1" v="378"/>
    </bk>
    <bk>
      <rc t="1" v="379"/>
    </bk>
    <bk>
      <rc t="1" v="380"/>
    </bk>
    <bk>
      <rc t="1" v="381"/>
    </bk>
    <bk>
      <rc t="1" v="382"/>
    </bk>
    <bk>
      <rc t="1" v="383"/>
    </bk>
    <bk>
      <rc t="1" v="384"/>
    </bk>
    <bk>
      <rc t="1" v="385"/>
    </bk>
    <bk>
      <rc t="1" v="386"/>
    </bk>
    <bk>
      <rc t="1" v="387"/>
    </bk>
    <bk>
      <rc t="1" v="388"/>
    </bk>
    <bk>
      <rc t="1" v="389"/>
    </bk>
    <bk>
      <rc t="1" v="390"/>
    </bk>
    <bk>
      <rc t="1" v="391"/>
    </bk>
    <bk>
      <rc t="1" v="392"/>
    </bk>
    <bk>
      <rc t="1" v="393"/>
    </bk>
    <bk>
      <rc t="1" v="394"/>
    </bk>
    <bk>
      <rc t="1" v="395"/>
    </bk>
    <bk>
      <rc t="1" v="396"/>
    </bk>
    <bk>
      <rc t="1" v="397"/>
    </bk>
    <bk>
      <rc t="1" v="398"/>
    </bk>
    <bk>
      <rc t="1" v="399"/>
    </bk>
    <bk>
      <rc t="1" v="400"/>
    </bk>
    <bk>
      <rc t="1" v="401"/>
    </bk>
    <bk>
      <rc t="1" v="402"/>
    </bk>
    <bk>
      <rc t="1" v="403"/>
    </bk>
    <bk>
      <rc t="1" v="404"/>
    </bk>
    <bk>
      <rc t="1" v="405"/>
    </bk>
    <bk>
      <rc t="1" v="406"/>
    </bk>
    <bk>
      <rc t="1" v="407"/>
    </bk>
    <bk>
      <rc t="1" v="408"/>
    </bk>
    <bk>
      <rc t="1" v="409"/>
    </bk>
    <bk>
      <rc t="1" v="410"/>
    </bk>
    <bk>
      <rc t="1" v="411"/>
    </bk>
    <bk>
      <rc t="1" v="412"/>
    </bk>
    <bk>
      <rc t="1" v="413"/>
    </bk>
    <bk>
      <rc t="1" v="414"/>
    </bk>
    <bk>
      <rc t="1" v="415"/>
    </bk>
    <bk>
      <rc t="1" v="416"/>
    </bk>
    <bk>
      <rc t="1" v="417"/>
    </bk>
    <bk>
      <rc t="1" v="418"/>
    </bk>
    <bk>
      <rc t="1" v="419"/>
    </bk>
    <bk>
      <rc t="1" v="420"/>
    </bk>
    <bk>
      <rc t="1" v="421"/>
    </bk>
    <bk>
      <rc t="1" v="422"/>
    </bk>
    <bk>
      <rc t="1" v="423"/>
    </bk>
    <bk>
      <rc t="1" v="424"/>
    </bk>
    <bk>
      <rc t="1" v="425"/>
    </bk>
    <bk>
      <rc t="1" v="426"/>
    </bk>
    <bk>
      <rc t="1" v="427"/>
    </bk>
    <bk>
      <rc t="1" v="428"/>
    </bk>
    <bk>
      <rc t="1" v="429"/>
    </bk>
    <bk>
      <rc t="1" v="430"/>
    </bk>
    <bk>
      <rc t="1" v="431"/>
    </bk>
    <bk>
      <rc t="1" v="432"/>
    </bk>
    <bk>
      <rc t="1" v="433"/>
    </bk>
    <bk>
      <rc t="1" v="434"/>
    </bk>
    <bk>
      <rc t="1" v="435"/>
    </bk>
    <bk>
      <rc t="1" v="436"/>
    </bk>
    <bk>
      <rc t="1" v="437"/>
    </bk>
    <bk>
      <rc t="1" v="438"/>
    </bk>
    <bk>
      <rc t="1" v="439"/>
    </bk>
    <bk>
      <rc t="1" v="440"/>
    </bk>
    <bk>
      <rc t="1" v="441"/>
    </bk>
    <bk>
      <rc t="1" v="442"/>
    </bk>
    <bk>
      <rc t="1" v="443"/>
    </bk>
    <bk>
      <rc t="1" v="444"/>
    </bk>
    <bk>
      <rc t="1" v="445"/>
    </bk>
    <bk>
      <rc t="1" v="446"/>
    </bk>
    <bk>
      <rc t="1" v="447"/>
    </bk>
    <bk>
      <rc t="1" v="448"/>
    </bk>
    <bk>
      <rc t="1" v="449"/>
    </bk>
    <bk>
      <rc t="1" v="450"/>
    </bk>
    <bk>
      <rc t="1" v="451"/>
    </bk>
    <bk>
      <rc t="1" v="452"/>
    </bk>
    <bk>
      <rc t="1" v="453"/>
    </bk>
    <bk>
      <rc t="1" v="454"/>
    </bk>
    <bk>
      <rc t="1" v="455"/>
    </bk>
    <bk>
      <rc t="1" v="456"/>
    </bk>
    <bk>
      <rc t="1" v="457"/>
    </bk>
    <bk>
      <rc t="1" v="458"/>
    </bk>
    <bk>
      <rc t="1" v="459"/>
    </bk>
    <bk>
      <rc t="1" v="460"/>
    </bk>
    <bk>
      <rc t="1" v="461"/>
    </bk>
    <bk>
      <rc t="1" v="462"/>
    </bk>
    <bk>
      <rc t="1" v="463"/>
    </bk>
    <bk>
      <rc t="1" v="464"/>
    </bk>
    <bk>
      <rc t="1" v="465"/>
    </bk>
    <bk>
      <rc t="1" v="466"/>
    </bk>
    <bk>
      <rc t="1" v="467"/>
    </bk>
    <bk>
      <rc t="1" v="468"/>
    </bk>
    <bk>
      <rc t="1" v="469"/>
    </bk>
    <bk>
      <rc t="1" v="470"/>
    </bk>
    <bk>
      <rc t="1" v="471"/>
    </bk>
    <bk>
      <rc t="1" v="472"/>
    </bk>
    <bk>
      <rc t="1" v="473"/>
    </bk>
    <bk>
      <rc t="1" v="474"/>
    </bk>
    <bk>
      <rc t="1" v="475"/>
    </bk>
    <bk>
      <rc t="1" v="476"/>
    </bk>
    <bk>
      <rc t="1" v="477"/>
    </bk>
    <bk>
      <rc t="1" v="478"/>
    </bk>
    <bk>
      <rc t="1" v="479"/>
    </bk>
    <bk>
      <rc t="1" v="480"/>
    </bk>
    <bk>
      <rc t="1" v="481"/>
    </bk>
    <bk>
      <rc t="1" v="482"/>
    </bk>
    <bk>
      <rc t="1" v="483"/>
    </bk>
    <bk>
      <rc t="1" v="484"/>
    </bk>
    <bk>
      <rc t="1" v="485"/>
    </bk>
    <bk>
      <rc t="1" v="486"/>
    </bk>
    <bk>
      <rc t="1" v="487"/>
    </bk>
    <bk>
      <rc t="1" v="488"/>
    </bk>
    <bk>
      <rc t="1" v="489"/>
    </bk>
    <bk>
      <rc t="1" v="490"/>
    </bk>
    <bk>
      <rc t="1" v="491"/>
    </bk>
    <bk>
      <rc t="1" v="492"/>
    </bk>
    <bk>
      <rc t="1" v="493"/>
    </bk>
    <bk>
      <rc t="1" v="494"/>
    </bk>
    <bk>
      <rc t="1" v="495"/>
    </bk>
    <bk>
      <rc t="1" v="496"/>
    </bk>
  </valueMetadata>
</metadata>
</file>

<file path=xl/sharedStrings.xml><?xml version="1.0" encoding="utf-8"?>
<sst xmlns="http://schemas.openxmlformats.org/spreadsheetml/2006/main" count="12652" uniqueCount="142">
  <si>
    <t>Date</t>
  </si>
  <si>
    <t>AccountCode</t>
  </si>
  <si>
    <t>AccountName</t>
  </si>
  <si>
    <t>Department</t>
  </si>
  <si>
    <t>Amount</t>
  </si>
  <si>
    <t>Conferences</t>
  </si>
  <si>
    <t>Operations</t>
  </si>
  <si>
    <t>Employee Benefits</t>
  </si>
  <si>
    <t>Finance</t>
  </si>
  <si>
    <t>Office Supplies</t>
  </si>
  <si>
    <t>Account</t>
  </si>
  <si>
    <t>Rent</t>
  </si>
  <si>
    <t>Corporate</t>
  </si>
  <si>
    <t>General and Administration</t>
  </si>
  <si>
    <t>Project</t>
  </si>
  <si>
    <t>Salaries</t>
  </si>
  <si>
    <t>Telephone</t>
  </si>
  <si>
    <t>Travel</t>
  </si>
  <si>
    <t>Cost of Sales</t>
  </si>
  <si>
    <t>Sales &amp; Marketing</t>
  </si>
  <si>
    <t>Utilities</t>
  </si>
  <si>
    <t>Marketing Materials</t>
  </si>
  <si>
    <t>Furniture, Fixtures, and Equipment</t>
  </si>
  <si>
    <t>Sales</t>
  </si>
  <si>
    <t>Vehicles</t>
  </si>
  <si>
    <t>Commissions</t>
  </si>
  <si>
    <t>Discounts</t>
  </si>
  <si>
    <t>Professional Services</t>
  </si>
  <si>
    <t>Jan 2019</t>
  </si>
  <si>
    <t>Feb 2019</t>
  </si>
  <si>
    <t>Mar 2019</t>
  </si>
  <si>
    <t>Apr 2019</t>
  </si>
  <si>
    <t>May 2019</t>
  </si>
  <si>
    <t>Jun 2019</t>
  </si>
  <si>
    <t>Jul 2019</t>
  </si>
  <si>
    <t>Aug 2019</t>
  </si>
  <si>
    <t>Sep 2019</t>
  </si>
  <si>
    <t>Oct 2019</t>
  </si>
  <si>
    <t>Nov 2019</t>
  </si>
  <si>
    <t>Dec 2019</t>
  </si>
  <si>
    <t>Row Labels</t>
  </si>
  <si>
    <t>Grand Total</t>
  </si>
  <si>
    <t>Actual</t>
  </si>
  <si>
    <t>Budget</t>
  </si>
  <si>
    <t>Apr</t>
  </si>
  <si>
    <t>Aug</t>
  </si>
  <si>
    <t>Dec</t>
  </si>
  <si>
    <t>Feb</t>
  </si>
  <si>
    <t>Jan</t>
  </si>
  <si>
    <t>Jul</t>
  </si>
  <si>
    <t>Jun</t>
  </si>
  <si>
    <t>Mar</t>
  </si>
  <si>
    <t>May</t>
  </si>
  <si>
    <t>Nov</t>
  </si>
  <si>
    <t>Oct</t>
  </si>
  <si>
    <t>Sep</t>
  </si>
  <si>
    <t>Department Analysis</t>
  </si>
  <si>
    <t xml:space="preserve">Months </t>
  </si>
  <si>
    <t>Sum of Actual Amount</t>
  </si>
  <si>
    <t>Sum of Budget Amount</t>
  </si>
  <si>
    <t>Variance %</t>
  </si>
  <si>
    <t>Total</t>
  </si>
  <si>
    <t>Variance %
Variance/Budget</t>
  </si>
  <si>
    <t>Variance
Actual-Budget</t>
  </si>
  <si>
    <t xml:space="preserve">State </t>
  </si>
  <si>
    <t>Variance Vs Budget</t>
  </si>
  <si>
    <t>📊  [Insert Bar/Line Chart Here]</t>
  </si>
  <si>
    <t>🥧  [Insert Pie/Donut Chart Here]</t>
  </si>
  <si>
    <t>📊   Actual Vs Budget Finance Dashboard  |  FY 2019</t>
  </si>
  <si>
    <t xml:space="preserve">Interactive Overview  •  Use Slicers to Filter  </t>
  </si>
  <si>
    <t>Column Labels</t>
  </si>
  <si>
    <t>Total Actual</t>
  </si>
  <si>
    <t>Total Budget</t>
  </si>
  <si>
    <t>💰  Total Actual</t>
  </si>
  <si>
    <t>📦  Total Budget</t>
  </si>
  <si>
    <t>📊  Pivot Tables</t>
  </si>
  <si>
    <t xml:space="preserve">   Pivot 2 — Customer Count by Segment</t>
  </si>
  <si>
    <t xml:space="preserve">  ➤ Click any cell below → Insert → PivotTable → From Table → Select DataTable</t>
  </si>
  <si>
    <t>📝  Analyst Notes</t>
  </si>
  <si>
    <t xml:space="preserve">   Pivot 1 —Department Analysis</t>
  </si>
  <si>
    <t xml:space="preserve">  ➤ Budget VS Actual For Each Department</t>
  </si>
  <si>
    <t xml:space="preserve">  ➤ Actual vs Bugdet Within Month</t>
  </si>
  <si>
    <t>Variance 
Budget - Actual</t>
  </si>
  <si>
    <t>Account Names</t>
  </si>
  <si>
    <t xml:space="preserve">   Pivot 3 — Account Analysis</t>
  </si>
  <si>
    <t xml:space="preserve">  ➤Account Names Actual , Budget </t>
  </si>
  <si>
    <t>Variance
Actual - Budget</t>
  </si>
  <si>
    <t>Variance %
(Actual - Budget)/Budget</t>
  </si>
  <si>
    <t>Status</t>
  </si>
  <si>
    <t xml:space="preserve">  ✅ قسم Sales &amp; Marketingهو السبب الرئيسي لرفع أداء المبيعات </t>
  </si>
  <si>
    <t xml:space="preserve">  📈  قسم Sales &amp; Marketingحقق القسم إيرادات فعلية بقيمة 103.72 مليون متخطياً الميزانية الموضوعة له</t>
  </si>
  <si>
    <t xml:space="preserve">  ⚠️  قسم  Corporate  تخطي حاد للميزانية </t>
  </si>
  <si>
    <t xml:space="preserve">  🥧  Chart Area 2 —Department Analysis</t>
  </si>
  <si>
    <t xml:space="preserve">  📈  Chart Area 1 — Department Analysis Budget Vs Amount</t>
  </si>
  <si>
    <t>🎯 Top Account</t>
  </si>
  <si>
    <t>Sales &amp; Markting</t>
  </si>
  <si>
    <t>📊 Cause Higher Performance</t>
  </si>
  <si>
    <t xml:space="preserve">  📈  Chart Area 3 — Monthly Analysis</t>
  </si>
  <si>
    <t xml:space="preserve">  🥧  Chart Area 4 —Account Analysis</t>
  </si>
  <si>
    <t xml:space="preserve">  📈  Chart Area 5 — Budget Vs Analysis Amounts For Each Month</t>
  </si>
  <si>
    <t xml:space="preserve">   3.  Key KPIs</t>
  </si>
  <si>
    <t xml:space="preserve">   2.  Business Questions</t>
  </si>
  <si>
    <t xml:space="preserve">   1.  Executive Summary</t>
  </si>
  <si>
    <t>👥  Top Department</t>
  </si>
  <si>
    <t xml:space="preserve">Account </t>
  </si>
  <si>
    <t>🏆 Active Department</t>
  </si>
  <si>
    <t>✅ Total Budget Plan</t>
  </si>
  <si>
    <t>📈 Total Actual plan</t>
  </si>
  <si>
    <t>Actual vs Budget Financial Performance Analysis Report – FY 2019</t>
  </si>
  <si>
    <t xml:space="preserve">  Prepared by:  Nancy Hamed </t>
  </si>
  <si>
    <t>• تم إجراء تحليل مقارن بين المصروفات الفعلية (Actual) والمخططة (Budget) خلال عام 2019 بهدف تقييم الأداء المالي واكتشاف الانحرافات الرئيسية.</t>
  </si>
  <si>
    <t>بعض الإدارات التزمت بالموازنة بشكل جيد، بينما تجاوزت إدارات أخرى القيم المخططة مما أدى إلى Variance مرتفع.</t>
  </si>
  <si>
    <t>• يوصى بمراجعة الحسابات والإدارات ذات الانحرافات الأعلى وتحسين دقة إعداد الموازنات المستقبلية.</t>
  </si>
  <si>
    <t>أظهر التحليل وجود فروقات ملحوظة بين القيم Actual and Budget في بعض الحسابات والإدارات، مما يشير إلى فرص لتحسين عملية التخطيط المالي.</t>
  </si>
  <si>
    <t>• حسابات مثل اجمالي عدد المصروفات Salaries ,  Cost of Sales كان لها التأثير الأكبر على إجمالي المصروفات.</t>
  </si>
  <si>
    <t xml:space="preserve">  Q1:  Total Actual , Total Budget?</t>
  </si>
  <si>
    <t xml:space="preserve">  Q2:  What is the Variance Between Actual and Budget?</t>
  </si>
  <si>
    <t xml:space="preserve">  Q3:  اكبر قسم من الأقسام عامل انحراف معياري كبير؟</t>
  </si>
  <si>
    <t xml:space="preserve">  Q4: مين اكثر اكونت عامل فرق او انحراف معياري كبير؟</t>
  </si>
  <si>
    <t xml:space="preserve">  Q5:  مين اكثر شهر فيه انحراف معياري كبير؟</t>
  </si>
  <si>
    <t xml:space="preserve">  📌 Top Account</t>
  </si>
  <si>
    <t xml:space="preserve">  📌 Top Department</t>
  </si>
  <si>
    <t>مراجعة الإدارات ذات الانحرافات الأعلى عن الموازنة.</t>
  </si>
  <si>
    <t>تحسين دقة تقديرات Budget للحسابات ذات الفروقات الكبيرة.</t>
  </si>
  <si>
    <t>متابعة المصروفات شهرياً بدلاً من نهاية الفترة.</t>
  </si>
  <si>
    <t>إنشاء تنبيهات مبكرة عند تجاوز نسب الانحراف المحددة.</t>
  </si>
  <si>
    <t>استخدام نتائج التحليل لتحسين التخطيط المالي للأعوام القادمة.</t>
  </si>
  <si>
    <t xml:space="preserve">   Pivot 4 — Monthly Analysis</t>
  </si>
  <si>
    <t xml:space="preserve">  📌 Total Actual &amp; Total Budget</t>
  </si>
  <si>
    <t xml:space="preserve">  📌 Top Month</t>
  </si>
  <si>
    <t xml:space="preserve">  ➜دراسة الإدارات التي سجلت أعلى انحرافات عن الموازنة لتحديد الأسباب الرئيسية وراء هذه الفروقات.</t>
  </si>
  <si>
    <t xml:space="preserve">  ➜ مراجعة الحسابات التي تتكرر بها الانحرافات السلبية وإعادة تقييم افتراضات إعداد الموازنة الخاصة بها.</t>
  </si>
  <si>
    <t xml:space="preserve">  ➜ تطبيق نظام متابعة شهرية للانحرافات المالية بهدف اكتشاف المشكلات مبكراً واتخاذ الإجراءات التصحيحية المناسبة.</t>
  </si>
  <si>
    <t xml:space="preserve">    تحديد حدود مقبولة للانحرافات المالية وإنشاء آليات تنبيه عند تجاوز هذه الحدود ➜    </t>
  </si>
  <si>
    <t>⏱️Top Month</t>
  </si>
  <si>
    <t>October</t>
  </si>
  <si>
    <t>✅ Active Month</t>
  </si>
  <si>
    <t xml:space="preserve">   Pivot 4 &amp; 2 — Monthly Analysis</t>
  </si>
  <si>
    <t xml:space="preserve">   4.  Recommendations</t>
  </si>
  <si>
    <t xml:space="preserve">  4.  Next Steps</t>
  </si>
  <si>
    <t>important Tables that represent important insights</t>
  </si>
  <si>
    <t>Nancy Hamed  |  Page 1 of 1</t>
  </si>
</sst>
</file>

<file path=xl/styles.xml><?xml version="1.0" encoding="utf-8"?>
<styleSheet xmlns="http://schemas.openxmlformats.org/spreadsheetml/2006/main" xmlns:mc="http://schemas.openxmlformats.org/markup-compatibility/2006" xmlns:x14ac="http://schemas.microsoft.com/office/spreadsheetml/2009/9/ac" mc:Ignorable="x14ac">
  <fonts count="40">
    <font>
      <sz val="11"/>
      <color theme="1"/>
      <name val="Aptos Narrow"/>
      <family val="2"/>
      <scheme val="minor"/>
    </font>
    <font>
      <b/>
      <sz val="11"/>
      <color theme="1"/>
      <name val="Aptos Narrow"/>
      <scheme val="minor"/>
    </font>
    <font>
      <sz val="11"/>
      <color theme="1"/>
      <name val="Aptos Narrow"/>
      <family val="2"/>
      <scheme val="minor"/>
    </font>
    <font>
      <b/>
      <sz val="11"/>
      <color rgb="FFFFFFFF"/>
      <name val="Calibri"/>
      <family val="2"/>
    </font>
    <font>
      <b/>
      <sz val="11"/>
      <color theme="0"/>
      <name val="Aptos Narrow"/>
      <scheme val="minor"/>
    </font>
    <font>
      <sz val="11"/>
      <color theme="1"/>
      <name val="Calibri"/>
      <family val="2"/>
      <charset val="1"/>
    </font>
    <font>
      <b/>
      <sz val="20"/>
      <color rgb="FFFFFFFF"/>
      <name val="Calibri"/>
      <family val="2"/>
    </font>
    <font>
      <i/>
      <sz val="10"/>
      <color rgb="FFBDD7EE"/>
      <name val="Calibri"/>
      <family val="2"/>
    </font>
    <font>
      <b/>
      <i/>
      <sz val="10"/>
      <color rgb="FFAAAAAA"/>
      <name val="Calibri"/>
      <family val="2"/>
    </font>
    <font>
      <b/>
      <sz val="9"/>
      <color rgb="FF555555"/>
      <name val="Calibri"/>
      <family val="2"/>
    </font>
    <font>
      <b/>
      <sz val="22"/>
      <color rgb="FF2E75B6"/>
      <name val="Calibri"/>
      <family val="2"/>
    </font>
    <font>
      <b/>
      <sz val="22"/>
      <color rgb="FF1ABC9C"/>
      <name val="Calibri"/>
      <family val="2"/>
    </font>
    <font>
      <b/>
      <sz val="22"/>
      <color rgb="FFE67E22"/>
      <name val="Calibri"/>
      <family val="2"/>
    </font>
    <font>
      <b/>
      <sz val="22"/>
      <color rgb="FF8E44AD"/>
      <name val="Calibri"/>
      <family val="2"/>
    </font>
    <font>
      <i/>
      <sz val="8"/>
      <color rgb="FF888888"/>
      <name val="Calibri"/>
      <family val="2"/>
    </font>
    <font>
      <b/>
      <i/>
      <sz val="13"/>
      <color rgb="FFCCCCCC"/>
      <name val="Calibri"/>
      <family val="2"/>
    </font>
    <font>
      <sz val="9"/>
      <color rgb="FF000000"/>
      <name val="Calibri"/>
      <family val="2"/>
    </font>
    <font>
      <b/>
      <sz val="18"/>
      <color rgb="FFFFFFFF"/>
      <name val="Arial"/>
      <family val="2"/>
    </font>
    <font>
      <i/>
      <sz val="9"/>
      <color rgb="FF9EF0F0"/>
      <name val="Arial"/>
      <family val="2"/>
    </font>
    <font>
      <b/>
      <sz val="10"/>
      <color rgb="FFFFFFFF"/>
      <name val="Arial"/>
      <family val="2"/>
    </font>
    <font>
      <i/>
      <sz val="8"/>
      <color rgb="FF777777"/>
      <name val="Arial"/>
      <family val="2"/>
    </font>
    <font>
      <b/>
      <sz val="9"/>
      <color rgb="FFFFFFFF"/>
      <name val="Arial"/>
      <family val="2"/>
    </font>
    <font>
      <b/>
      <sz val="9"/>
      <color rgb="FF005D5D"/>
      <name val="Arial"/>
      <family val="2"/>
    </font>
    <font>
      <b/>
      <sz val="11"/>
      <color rgb="FF1F2D3D"/>
      <name val="Calibri"/>
      <family val="2"/>
    </font>
    <font>
      <sz val="12"/>
      <color theme="1"/>
      <name val="Calibri"/>
      <family val="2"/>
      <charset val="1"/>
    </font>
    <font>
      <b/>
      <sz val="12"/>
      <color theme="1"/>
      <name val="Calibri"/>
      <family val="2"/>
    </font>
    <font>
      <b/>
      <sz val="12"/>
      <color rgb="FFFFFFFF"/>
      <name val="Arial"/>
      <family val="2"/>
    </font>
    <font>
      <b/>
      <sz val="12"/>
      <color theme="1"/>
      <name val="Aptos Narrow"/>
      <family val="2"/>
      <scheme val="minor"/>
    </font>
    <font>
      <b/>
      <sz val="11"/>
      <color theme="0"/>
      <name val="Calibri"/>
      <family val="2"/>
    </font>
    <font>
      <i/>
      <sz val="8"/>
      <color rgb="FF888888"/>
      <name val="Arial"/>
      <family val="2"/>
    </font>
    <font>
      <b/>
      <sz val="10"/>
      <color rgb="FF005D5D"/>
      <name val="Arial"/>
      <family val="2"/>
    </font>
    <font>
      <b/>
      <sz val="10"/>
      <color rgb="FF1F3864"/>
      <name val="Arial"/>
      <family val="2"/>
    </font>
    <font>
      <sz val="9"/>
      <color rgb="FFFFFFFF"/>
      <name val="Arial"/>
      <family val="2"/>
    </font>
    <font>
      <b/>
      <sz val="20"/>
      <color theme="0"/>
      <name val="Calibri"/>
      <family val="2"/>
    </font>
    <font>
      <i/>
      <sz val="10"/>
      <color theme="1" tint="4.9989318521683403E-2"/>
      <name val="Arial"/>
      <family val="2"/>
    </font>
    <font>
      <sz val="10"/>
      <color theme="1" tint="4.9989318521683403E-2"/>
      <name val="Arial"/>
      <family val="2"/>
    </font>
    <font>
      <sz val="12"/>
      <color theme="1" tint="4.9989318521683403E-2"/>
      <name val="Arial"/>
      <family val="2"/>
    </font>
    <font>
      <sz val="11"/>
      <color theme="1"/>
      <name val="Aptos Narrow"/>
      <scheme val="minor"/>
    </font>
    <font>
      <b/>
      <sz val="12"/>
      <color theme="1"/>
      <name val="Aptos Narrow"/>
      <scheme val="minor"/>
    </font>
    <font>
      <b/>
      <sz val="22"/>
      <color theme="1" tint="0.249977111117893"/>
      <name val="Calibri"/>
      <family val="2"/>
    </font>
  </fonts>
  <fills count="25">
    <fill>
      <patternFill patternType="none"/>
    </fill>
    <fill>
      <patternFill patternType="gray125"/>
    </fill>
    <fill>
      <patternFill patternType="solid">
        <fgColor rgb="FF1F2D3D"/>
        <bgColor rgb="FF003366"/>
      </patternFill>
    </fill>
    <fill>
      <patternFill patternType="solid">
        <fgColor rgb="FFFFFFFF"/>
        <bgColor rgb="FFF2F2F2"/>
      </patternFill>
    </fill>
    <fill>
      <patternFill patternType="solid">
        <fgColor rgb="FFF2F2F2"/>
        <bgColor rgb="FFE2EFDA"/>
      </patternFill>
    </fill>
    <fill>
      <patternFill patternType="solid">
        <fgColor rgb="FF1F2D3D"/>
        <bgColor indexed="64"/>
      </patternFill>
    </fill>
    <fill>
      <patternFill patternType="solid">
        <fgColor rgb="FF2E75B6"/>
        <bgColor rgb="FF0066CC"/>
      </patternFill>
    </fill>
    <fill>
      <patternFill patternType="solid">
        <fgColor rgb="FF1ABC9C"/>
        <bgColor rgb="FF17A589"/>
      </patternFill>
    </fill>
    <fill>
      <patternFill patternType="solid">
        <fgColor rgb="FFE67E22"/>
        <bgColor rgb="FFFF9900"/>
      </patternFill>
    </fill>
    <fill>
      <patternFill patternType="solid">
        <fgColor rgb="FF8E44AD"/>
        <bgColor rgb="FF993366"/>
      </patternFill>
    </fill>
    <fill>
      <patternFill patternType="solid">
        <fgColor rgb="FFFFF2CC"/>
        <bgColor rgb="FFFCE4D6"/>
      </patternFill>
    </fill>
    <fill>
      <patternFill patternType="solid">
        <fgColor theme="0"/>
        <bgColor rgb="FFE2EFDA"/>
      </patternFill>
    </fill>
    <fill>
      <patternFill patternType="solid">
        <fgColor rgb="FF1F3864"/>
        <bgColor rgb="FF1F2D3D"/>
      </patternFill>
    </fill>
    <fill>
      <patternFill patternType="solid">
        <fgColor rgb="FF005D5D"/>
        <bgColor rgb="FF008080"/>
      </patternFill>
    </fill>
    <fill>
      <patternFill patternType="solid">
        <fgColor rgb="FF2E4D7B"/>
        <bgColor rgb="FF1F3864"/>
      </patternFill>
    </fill>
    <fill>
      <patternFill patternType="solid">
        <fgColor rgb="FFF5F6FA"/>
        <bgColor rgb="FFF8F8F8"/>
      </patternFill>
    </fill>
    <fill>
      <patternFill patternType="solid">
        <fgColor rgb="FFFFFFFF"/>
        <bgColor rgb="FFF8F8F8"/>
      </patternFill>
    </fill>
    <fill>
      <patternFill patternType="solid">
        <fgColor rgb="FFE6F4F4"/>
        <bgColor rgb="FFEEF3FA"/>
      </patternFill>
    </fill>
    <fill>
      <patternFill patternType="solid">
        <fgColor rgb="FFEEF3FA"/>
        <bgColor rgb="FFF5F6FA"/>
      </patternFill>
    </fill>
    <fill>
      <patternFill patternType="solid">
        <fgColor theme="3" tint="0.499984740745262"/>
        <bgColor rgb="FF993366"/>
      </patternFill>
    </fill>
    <fill>
      <patternFill patternType="solid">
        <fgColor theme="9"/>
        <bgColor rgb="FF993366"/>
      </patternFill>
    </fill>
    <fill>
      <patternFill patternType="solid">
        <fgColor rgb="FFFFC000"/>
        <bgColor indexed="64"/>
      </patternFill>
    </fill>
    <fill>
      <patternFill patternType="solid">
        <fgColor rgb="FFE2EFDA"/>
        <bgColor rgb="FFE6F4F4"/>
      </patternFill>
    </fill>
    <fill>
      <patternFill patternType="solid">
        <fgColor rgb="FFFFF9E6"/>
        <bgColor rgb="FFF8F8F8"/>
      </patternFill>
    </fill>
    <fill>
      <patternFill patternType="solid">
        <fgColor theme="2" tint="-0.499984740745262"/>
        <bgColor rgb="FF0066CC"/>
      </patternFill>
    </fill>
  </fills>
  <borders count="2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diagonal/>
    </border>
    <border>
      <left style="thin">
        <color rgb="FFBFBFBF"/>
      </left>
      <right/>
      <top/>
      <bottom/>
      <diagonal/>
    </border>
    <border>
      <left style="thin">
        <color rgb="FFBFBFBF"/>
      </left>
      <right/>
      <top/>
      <bottom style="thin">
        <color rgb="FFBFBFBF"/>
      </bottom>
      <diagonal/>
    </border>
    <border>
      <left/>
      <right/>
      <top style="thin">
        <color rgb="FFBFBFBF"/>
      </top>
      <bottom/>
      <diagonal/>
    </border>
    <border>
      <left/>
      <right/>
      <top style="thin">
        <color rgb="FFBFBFBF"/>
      </top>
      <bottom style="thin">
        <color rgb="FFBFBFBF"/>
      </bottom>
      <diagonal/>
    </border>
    <border>
      <left style="thin">
        <color rgb="FFC0C0C0"/>
      </left>
      <right style="thin">
        <color rgb="FFC0C0C0"/>
      </right>
      <top style="thin">
        <color rgb="FFC0C0C0"/>
      </top>
      <bottom style="thin">
        <color rgb="FFC0C0C0"/>
      </bottom>
      <diagonal/>
    </border>
    <border>
      <left style="thin">
        <color rgb="FFE0E0E0"/>
      </left>
      <right style="thin">
        <color rgb="FFE0E0E0"/>
      </right>
      <top style="thin">
        <color rgb="FFE0E0E0"/>
      </top>
      <bottom style="thin">
        <color rgb="FFE0E0E0"/>
      </bottom>
      <diagonal/>
    </border>
    <border>
      <left style="thin">
        <color rgb="FF005D5D"/>
      </left>
      <right style="thin">
        <color rgb="FF005D5D"/>
      </right>
      <top style="thin">
        <color rgb="FF005D5D"/>
      </top>
      <bottom style="thin">
        <color rgb="FF005D5D"/>
      </bottom>
      <diagonal/>
    </border>
    <border>
      <left/>
      <right/>
      <top/>
      <bottom style="thin">
        <color rgb="FFC0C0C0"/>
      </bottom>
      <diagonal/>
    </border>
    <border>
      <left/>
      <right/>
      <top/>
      <bottom style="thin">
        <color rgb="FFBFBFBF"/>
      </bottom>
      <diagonal/>
    </border>
    <border>
      <left/>
      <right style="thin">
        <color rgb="FFBFBFBF"/>
      </right>
      <top style="thin">
        <color rgb="FFBFBFBF"/>
      </top>
      <bottom/>
      <diagonal/>
    </border>
    <border>
      <left/>
      <right style="thin">
        <color rgb="FFBFBFBF"/>
      </right>
      <top/>
      <bottom/>
      <diagonal/>
    </border>
    <border>
      <left/>
      <right style="thin">
        <color rgb="FFBFBFBF"/>
      </right>
      <top/>
      <bottom style="thin">
        <color rgb="FFBFBFBF"/>
      </bottom>
      <diagonal/>
    </border>
    <border>
      <left style="thin">
        <color rgb="FFD9D9D9"/>
      </left>
      <right/>
      <top style="thin">
        <color rgb="FFD9D9D9"/>
      </top>
      <bottom style="thin">
        <color rgb="FFD9D9D9"/>
      </bottom>
      <diagonal/>
    </border>
    <border>
      <left style="thin">
        <color rgb="FFC0C0C0"/>
      </left>
      <right/>
      <top style="thin">
        <color rgb="FFC0C0C0"/>
      </top>
      <bottom style="thin">
        <color rgb="FFC0C0C0"/>
      </bottom>
      <diagonal/>
    </border>
    <border>
      <left style="thin">
        <color rgb="FF1F3864"/>
      </left>
      <right/>
      <top style="thin">
        <color rgb="FF1F3864"/>
      </top>
      <bottom style="thin">
        <color rgb="FF1F3864"/>
      </bottom>
      <diagonal/>
    </border>
    <border>
      <left style="thin">
        <color rgb="FF1F3864"/>
      </left>
      <right style="thin">
        <color rgb="FF1F3864"/>
      </right>
      <top style="thin">
        <color rgb="FF1F3864"/>
      </top>
      <bottom style="thin">
        <color rgb="FF1F3864"/>
      </bottom>
      <diagonal/>
    </border>
    <border>
      <left/>
      <right/>
      <top style="thin">
        <color rgb="FFD9D9D9"/>
      </top>
      <bottom style="thin">
        <color rgb="FFD9D9D9"/>
      </bottom>
      <diagonal/>
    </border>
    <border>
      <left/>
      <right/>
      <top/>
      <bottom style="thin">
        <color rgb="FFD9D9D9"/>
      </bottom>
      <diagonal/>
    </border>
    <border>
      <left/>
      <right/>
      <top style="thin">
        <color rgb="FFD9D9D9"/>
      </top>
      <bottom/>
      <diagonal/>
    </border>
  </borders>
  <cellStyleXfs count="3">
    <xf numFmtId="0" fontId="0" fillId="0" borderId="0"/>
    <xf numFmtId="9" fontId="2" fillId="0" borderId="0" applyFont="0" applyFill="0" applyBorder="0" applyAlignment="0" applyProtection="0"/>
    <xf numFmtId="0" fontId="5" fillId="0" borderId="0"/>
  </cellStyleXfs>
  <cellXfs count="132">
    <xf numFmtId="0" fontId="0" fillId="0" borderId="0" xfId="0"/>
    <xf numFmtId="0" fontId="0" fillId="0" borderId="0" xfId="0" pivotButton="1"/>
    <xf numFmtId="0" fontId="0" fillId="0" borderId="0" xfId="0" applyAlignment="1">
      <alignment horizontal="left"/>
    </xf>
    <xf numFmtId="0" fontId="0" fillId="0" borderId="0" xfId="0" applyNumberFormat="1"/>
    <xf numFmtId="3" fontId="0" fillId="0" borderId="0" xfId="0" applyNumberFormat="1"/>
    <xf numFmtId="14" fontId="0" fillId="0" borderId="0" xfId="0" applyNumberFormat="1"/>
    <xf numFmtId="10" fontId="0" fillId="0" borderId="0" xfId="0" applyNumberFormat="1"/>
    <xf numFmtId="0" fontId="1" fillId="0" borderId="0" xfId="0" applyFont="1" applyAlignment="1">
      <alignment horizontal="left"/>
    </xf>
    <xf numFmtId="0" fontId="1" fillId="0" borderId="0" xfId="0" applyFont="1"/>
    <xf numFmtId="10" fontId="1" fillId="0" borderId="0" xfId="0" applyNumberFormat="1" applyFont="1"/>
    <xf numFmtId="0" fontId="0" fillId="0" borderId="0" xfId="0" applyAlignment="1">
      <alignment horizontal="center" wrapText="1"/>
    </xf>
    <xf numFmtId="0" fontId="0" fillId="0" borderId="0" xfId="0" applyAlignment="1">
      <alignment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14" fontId="0" fillId="3" borderId="1" xfId="0" applyNumberFormat="1" applyFill="1" applyBorder="1" applyAlignment="1">
      <alignment horizontal="center" vertical="center"/>
    </xf>
    <xf numFmtId="14" fontId="0" fillId="4" borderId="1" xfId="0" applyNumberFormat="1" applyFill="1" applyBorder="1" applyAlignment="1">
      <alignment horizontal="center" vertical="center"/>
    </xf>
    <xf numFmtId="0" fontId="4" fillId="5" borderId="0" xfId="0" applyFont="1" applyFill="1" applyAlignment="1">
      <alignment horizontal="center" vertical="center"/>
    </xf>
    <xf numFmtId="14" fontId="4" fillId="5" borderId="0" xfId="0" applyNumberFormat="1" applyFont="1" applyFill="1" applyAlignment="1">
      <alignment horizontal="center" vertical="center"/>
    </xf>
    <xf numFmtId="0" fontId="0" fillId="0" borderId="0" xfId="0" applyAlignment="1">
      <alignment wrapText="1"/>
    </xf>
    <xf numFmtId="9" fontId="0" fillId="0" borderId="0" xfId="0" applyNumberFormat="1"/>
    <xf numFmtId="0" fontId="0" fillId="0" borderId="0" xfId="0" applyAlignment="1">
      <alignment horizontal="center" vertical="center"/>
    </xf>
    <xf numFmtId="0" fontId="5" fillId="2" borderId="0" xfId="2" applyFill="1"/>
    <xf numFmtId="0" fontId="5" fillId="0" borderId="0" xfId="2"/>
    <xf numFmtId="0" fontId="5" fillId="6" borderId="2" xfId="2" applyFill="1" applyBorder="1"/>
    <xf numFmtId="0" fontId="5" fillId="6" borderId="3" xfId="2" applyFill="1" applyBorder="1"/>
    <xf numFmtId="0" fontId="5" fillId="7" borderId="2" xfId="2" applyFill="1" applyBorder="1"/>
    <xf numFmtId="0" fontId="5" fillId="7" borderId="3" xfId="2" applyFill="1" applyBorder="1"/>
    <xf numFmtId="0" fontId="5" fillId="8" borderId="2" xfId="2" applyFill="1" applyBorder="1"/>
    <xf numFmtId="0" fontId="5" fillId="8" borderId="3" xfId="2" applyFill="1" applyBorder="1"/>
    <xf numFmtId="0" fontId="5" fillId="9" borderId="2" xfId="2" applyFill="1" applyBorder="1"/>
    <xf numFmtId="0" fontId="6" fillId="2" borderId="0" xfId="2" applyFont="1" applyFill="1" applyAlignment="1">
      <alignment horizontal="center" vertical="center"/>
    </xf>
    <xf numFmtId="0" fontId="5" fillId="9" borderId="8" xfId="2" applyFill="1" applyBorder="1"/>
    <xf numFmtId="0" fontId="5" fillId="12" borderId="0" xfId="2" applyFill="1"/>
    <xf numFmtId="0" fontId="5" fillId="13" borderId="0" xfId="2" applyFill="1"/>
    <xf numFmtId="0" fontId="21" fillId="14" borderId="9" xfId="2" applyFont="1" applyFill="1" applyBorder="1" applyAlignment="1">
      <alignment horizontal="center" vertical="center"/>
    </xf>
    <xf numFmtId="0" fontId="5" fillId="16" borderId="10" xfId="2" applyFill="1" applyBorder="1" applyAlignment="1">
      <alignment horizontal="center" vertical="center"/>
    </xf>
    <xf numFmtId="0" fontId="5" fillId="15" borderId="10" xfId="2" applyFill="1" applyBorder="1" applyAlignment="1">
      <alignment horizontal="center" vertical="center"/>
    </xf>
    <xf numFmtId="0" fontId="22" fillId="17" borderId="11" xfId="2" applyFont="1" applyFill="1" applyBorder="1" applyAlignment="1">
      <alignment horizontal="center" vertical="center"/>
    </xf>
    <xf numFmtId="0" fontId="23" fillId="10" borderId="1" xfId="2" applyFont="1" applyFill="1" applyBorder="1" applyAlignment="1">
      <alignment horizontal="left" vertical="center"/>
    </xf>
    <xf numFmtId="0" fontId="16" fillId="10" borderId="1" xfId="2" applyFont="1" applyFill="1" applyBorder="1" applyAlignment="1">
      <alignment horizontal="left" vertical="center" wrapText="1"/>
    </xf>
    <xf numFmtId="0" fontId="5" fillId="0" borderId="0" xfId="2" pivotButton="1"/>
    <xf numFmtId="0" fontId="24" fillId="16" borderId="10" xfId="2" applyFont="1" applyFill="1" applyBorder="1" applyAlignment="1">
      <alignment horizontal="center" vertical="center"/>
    </xf>
    <xf numFmtId="0" fontId="20" fillId="15" borderId="0" xfId="2" applyFont="1" applyFill="1" applyAlignment="1">
      <alignment horizontal="left" vertical="center"/>
    </xf>
    <xf numFmtId="0" fontId="21" fillId="14" borderId="9" xfId="2" applyFont="1" applyFill="1" applyBorder="1" applyAlignment="1">
      <alignment horizontal="center" vertical="center" wrapText="1"/>
    </xf>
    <xf numFmtId="0" fontId="21" fillId="14" borderId="0" xfId="2" applyFont="1" applyFill="1" applyBorder="1" applyAlignment="1">
      <alignment horizontal="center" vertical="center" wrapText="1"/>
    </xf>
    <xf numFmtId="0" fontId="22" fillId="17" borderId="11" xfId="2" applyNumberFormat="1" applyFont="1" applyFill="1" applyBorder="1" applyAlignment="1">
      <alignment horizontal="center" vertical="center"/>
    </xf>
    <xf numFmtId="10" fontId="22" fillId="17" borderId="11" xfId="2" applyNumberFormat="1" applyFont="1" applyFill="1" applyBorder="1" applyAlignment="1">
      <alignment horizontal="center" vertical="center"/>
    </xf>
    <xf numFmtId="9" fontId="5" fillId="16" borderId="10" xfId="2" applyNumberFormat="1" applyFill="1" applyBorder="1" applyAlignment="1">
      <alignment horizontal="center" vertical="center"/>
    </xf>
    <xf numFmtId="9" fontId="5" fillId="15" borderId="10" xfId="2" applyNumberFormat="1" applyFill="1" applyBorder="1" applyAlignment="1">
      <alignment horizontal="center" vertical="center"/>
    </xf>
    <xf numFmtId="9" fontId="22" fillId="17" borderId="11" xfId="2" applyNumberFormat="1" applyFont="1" applyFill="1" applyBorder="1" applyAlignment="1">
      <alignment horizontal="center" vertical="center"/>
    </xf>
    <xf numFmtId="10" fontId="5" fillId="16" borderId="10" xfId="2" applyNumberFormat="1" applyFont="1" applyFill="1" applyBorder="1" applyAlignment="1">
      <alignment horizontal="center" vertical="center"/>
    </xf>
    <xf numFmtId="10" fontId="5" fillId="15" borderId="10" xfId="2" applyNumberFormat="1" applyFont="1" applyFill="1" applyBorder="1" applyAlignment="1">
      <alignment horizontal="center" vertical="center"/>
    </xf>
    <xf numFmtId="0" fontId="25" fillId="15" borderId="10" xfId="2" applyFont="1" applyFill="1" applyBorder="1" applyAlignment="1">
      <alignment horizontal="center" vertical="center"/>
    </xf>
    <xf numFmtId="0" fontId="25" fillId="16" borderId="10" xfId="2" applyFont="1" applyFill="1" applyBorder="1" applyAlignment="1">
      <alignment horizontal="center" vertical="center"/>
    </xf>
    <xf numFmtId="9" fontId="5" fillId="16" borderId="10" xfId="1" applyFont="1" applyFill="1" applyBorder="1" applyAlignment="1">
      <alignment horizontal="center" vertical="center"/>
    </xf>
    <xf numFmtId="9" fontId="5" fillId="15" borderId="10" xfId="1" applyFont="1" applyFill="1" applyBorder="1" applyAlignment="1">
      <alignment horizontal="center" vertical="center"/>
    </xf>
    <xf numFmtId="9" fontId="25" fillId="15" borderId="10" xfId="1" applyFont="1" applyFill="1" applyBorder="1" applyAlignment="1">
      <alignment horizontal="center" vertical="center"/>
    </xf>
    <xf numFmtId="9" fontId="25" fillId="16" borderId="10" xfId="1" applyFont="1" applyFill="1" applyBorder="1" applyAlignment="1">
      <alignment horizontal="center" vertical="center"/>
    </xf>
    <xf numFmtId="9" fontId="22" fillId="17" borderId="11" xfId="1" applyFont="1" applyFill="1" applyBorder="1" applyAlignment="1">
      <alignment horizontal="center" vertical="center"/>
    </xf>
    <xf numFmtId="9" fontId="25" fillId="15" borderId="10" xfId="2" applyNumberFormat="1" applyFont="1" applyFill="1" applyBorder="1" applyAlignment="1">
      <alignment horizontal="center" vertical="center"/>
    </xf>
    <xf numFmtId="9" fontId="24" fillId="15" borderId="10" xfId="2" applyNumberFormat="1" applyFont="1" applyFill="1" applyBorder="1" applyAlignment="1">
      <alignment horizontal="center" vertical="center"/>
    </xf>
    <xf numFmtId="0" fontId="3" fillId="8" borderId="2" xfId="2" applyFont="1" applyFill="1" applyBorder="1" applyAlignment="1">
      <alignment horizontal="left" vertical="center"/>
    </xf>
    <xf numFmtId="0" fontId="3" fillId="9" borderId="2" xfId="2" applyFont="1" applyFill="1" applyBorder="1" applyAlignment="1">
      <alignment horizontal="left" vertical="center"/>
    </xf>
    <xf numFmtId="0" fontId="21" fillId="14" borderId="0" xfId="0" applyFont="1" applyFill="1" applyAlignment="1">
      <alignment horizontal="center" vertical="center"/>
    </xf>
    <xf numFmtId="3" fontId="22" fillId="17" borderId="0" xfId="0" applyNumberFormat="1" applyFont="1" applyFill="1" applyAlignment="1">
      <alignment horizontal="center" vertical="center"/>
    </xf>
    <xf numFmtId="0" fontId="22" fillId="17" borderId="0" xfId="0" applyFont="1" applyFill="1" applyAlignment="1">
      <alignment horizontal="center" vertical="center"/>
    </xf>
    <xf numFmtId="3" fontId="0" fillId="16" borderId="0" xfId="0" applyNumberFormat="1" applyFill="1" applyAlignment="1">
      <alignment horizontal="center" vertical="center"/>
    </xf>
    <xf numFmtId="0" fontId="0" fillId="16" borderId="0" xfId="0" applyFill="1" applyAlignment="1">
      <alignment horizontal="center" vertical="center"/>
    </xf>
    <xf numFmtId="0" fontId="3" fillId="9" borderId="8" xfId="2" applyFont="1" applyFill="1" applyBorder="1" applyAlignment="1">
      <alignment horizontal="left" vertical="center"/>
    </xf>
    <xf numFmtId="3" fontId="27" fillId="16" borderId="0" xfId="0" applyNumberFormat="1" applyFont="1" applyFill="1" applyAlignment="1">
      <alignment horizontal="center" vertical="center"/>
    </xf>
    <xf numFmtId="0" fontId="27" fillId="16" borderId="0" xfId="0" applyFont="1" applyFill="1" applyAlignment="1">
      <alignment horizontal="center" vertical="center"/>
    </xf>
    <xf numFmtId="3" fontId="5" fillId="16" borderId="0" xfId="0" applyNumberFormat="1" applyFont="1" applyFill="1" applyAlignment="1">
      <alignment horizontal="center" vertical="center"/>
    </xf>
    <xf numFmtId="0" fontId="5" fillId="16" borderId="0" xfId="0" applyFont="1" applyFill="1" applyAlignment="1">
      <alignment horizontal="center" vertical="center"/>
    </xf>
    <xf numFmtId="3" fontId="24" fillId="16" borderId="0" xfId="0" applyNumberFormat="1" applyFont="1" applyFill="1" applyAlignment="1">
      <alignment horizontal="center" vertical="center"/>
    </xf>
    <xf numFmtId="0" fontId="32" fillId="14" borderId="20" xfId="2" applyFont="1" applyFill="1" applyBorder="1" applyAlignment="1">
      <alignment horizontal="left" vertical="center"/>
    </xf>
    <xf numFmtId="3" fontId="37" fillId="16" borderId="0" xfId="0" applyNumberFormat="1" applyFont="1" applyFill="1" applyAlignment="1">
      <alignment horizontal="center" vertical="center"/>
    </xf>
    <xf numFmtId="3" fontId="38" fillId="16" borderId="0" xfId="0" applyNumberFormat="1" applyFont="1" applyFill="1" applyAlignment="1">
      <alignment horizontal="center" vertical="center"/>
    </xf>
    <xf numFmtId="0" fontId="5" fillId="24" borderId="2" xfId="2" applyFill="1" applyBorder="1" applyAlignment="1">
      <alignment horizontal="center"/>
    </xf>
    <xf numFmtId="0" fontId="5" fillId="24" borderId="3" xfId="2" applyFill="1" applyBorder="1" applyAlignment="1">
      <alignment horizontal="center"/>
    </xf>
    <xf numFmtId="0" fontId="28" fillId="21" borderId="0" xfId="2" applyFont="1" applyFill="1" applyAlignment="1">
      <alignment horizontal="left"/>
    </xf>
    <xf numFmtId="0" fontId="8" fillId="11" borderId="0" xfId="2" applyFont="1" applyFill="1" applyBorder="1" applyAlignment="1">
      <alignment horizontal="center" vertical="center" wrapText="1"/>
    </xf>
    <xf numFmtId="0" fontId="9" fillId="3" borderId="4" xfId="2" applyFont="1" applyFill="1" applyBorder="1" applyAlignment="1">
      <alignment horizontal="center" vertical="center"/>
    </xf>
    <xf numFmtId="0" fontId="9" fillId="3" borderId="7" xfId="2" applyFont="1" applyFill="1" applyBorder="1" applyAlignment="1">
      <alignment horizontal="center" vertical="center"/>
    </xf>
    <xf numFmtId="3" fontId="39" fillId="3" borderId="5" xfId="2" applyNumberFormat="1" applyFont="1" applyFill="1" applyBorder="1" applyAlignment="1">
      <alignment horizontal="center" vertical="center"/>
    </xf>
    <xf numFmtId="3" fontId="39" fillId="3" borderId="15" xfId="2" applyNumberFormat="1" applyFont="1" applyFill="1" applyBorder="1" applyAlignment="1">
      <alignment horizontal="center" vertical="center"/>
    </xf>
    <xf numFmtId="0" fontId="14" fillId="3" borderId="6" xfId="2" applyFont="1" applyFill="1" applyBorder="1" applyAlignment="1">
      <alignment horizontal="center" vertical="center"/>
    </xf>
    <xf numFmtId="0" fontId="14" fillId="3" borderId="16" xfId="2" applyFont="1" applyFill="1" applyBorder="1" applyAlignment="1">
      <alignment horizontal="center" vertical="center"/>
    </xf>
    <xf numFmtId="0" fontId="15" fillId="4" borderId="4" xfId="2" applyFont="1" applyFill="1" applyBorder="1" applyAlignment="1">
      <alignment horizontal="center" vertical="center"/>
    </xf>
    <xf numFmtId="0" fontId="15" fillId="4" borderId="7" xfId="2" applyFont="1" applyFill="1" applyBorder="1" applyAlignment="1">
      <alignment horizontal="center" vertical="center"/>
    </xf>
    <xf numFmtId="0" fontId="15" fillId="4" borderId="14" xfId="2" applyFont="1" applyFill="1" applyBorder="1" applyAlignment="1">
      <alignment horizontal="center" vertical="center"/>
    </xf>
    <xf numFmtId="0" fontId="15" fillId="4" borderId="5" xfId="2" applyFont="1" applyFill="1" applyBorder="1" applyAlignment="1">
      <alignment horizontal="center" vertical="center"/>
    </xf>
    <xf numFmtId="0" fontId="15" fillId="4" borderId="0" xfId="2" applyFont="1" applyFill="1" applyBorder="1" applyAlignment="1">
      <alignment horizontal="center" vertical="center"/>
    </xf>
    <xf numFmtId="0" fontId="15" fillId="4" borderId="15" xfId="2" applyFont="1" applyFill="1" applyBorder="1" applyAlignment="1">
      <alignment horizontal="center" vertical="center"/>
    </xf>
    <xf numFmtId="0" fontId="15" fillId="4" borderId="6" xfId="2" applyFont="1" applyFill="1" applyBorder="1" applyAlignment="1">
      <alignment horizontal="center" vertical="center"/>
    </xf>
    <xf numFmtId="0" fontId="15" fillId="4" borderId="13" xfId="2" applyFont="1" applyFill="1" applyBorder="1" applyAlignment="1">
      <alignment horizontal="center" vertical="center"/>
    </xf>
    <xf numFmtId="0" fontId="15" fillId="4" borderId="16" xfId="2" applyFont="1" applyFill="1" applyBorder="1" applyAlignment="1">
      <alignment horizontal="center" vertical="center"/>
    </xf>
    <xf numFmtId="0" fontId="3" fillId="19" borderId="2" xfId="2" applyFont="1" applyFill="1" applyBorder="1" applyAlignment="1">
      <alignment horizontal="left" vertical="center"/>
    </xf>
    <xf numFmtId="0" fontId="3" fillId="19" borderId="8" xfId="2" applyFont="1" applyFill="1" applyBorder="1" applyAlignment="1">
      <alignment horizontal="left" vertical="center"/>
    </xf>
    <xf numFmtId="0" fontId="3" fillId="20" borderId="2" xfId="2" applyFont="1" applyFill="1" applyBorder="1" applyAlignment="1">
      <alignment horizontal="left" vertical="center"/>
    </xf>
    <xf numFmtId="0" fontId="3" fillId="20" borderId="8" xfId="2" applyFont="1" applyFill="1" applyBorder="1" applyAlignment="1">
      <alignment horizontal="left" vertical="center"/>
    </xf>
    <xf numFmtId="1" fontId="13" fillId="3" borderId="5" xfId="2" applyNumberFormat="1" applyFont="1" applyFill="1" applyBorder="1" applyAlignment="1">
      <alignment horizontal="center" vertical="center"/>
    </xf>
    <xf numFmtId="1" fontId="13" fillId="3" borderId="0" xfId="2" applyNumberFormat="1" applyFont="1" applyFill="1" applyBorder="1" applyAlignment="1">
      <alignment horizontal="center" vertical="center"/>
    </xf>
    <xf numFmtId="0" fontId="14" fillId="3" borderId="13" xfId="2" applyFont="1" applyFill="1" applyBorder="1" applyAlignment="1">
      <alignment horizontal="center" vertical="center"/>
    </xf>
    <xf numFmtId="0" fontId="6" fillId="2" borderId="0" xfId="2" applyFont="1" applyFill="1" applyAlignment="1">
      <alignment horizontal="center" vertical="center"/>
    </xf>
    <xf numFmtId="0" fontId="7" fillId="2" borderId="0" xfId="2" applyFont="1" applyFill="1" applyAlignment="1">
      <alignment horizontal="center" vertical="center"/>
    </xf>
    <xf numFmtId="0" fontId="9" fillId="3" borderId="14" xfId="2" applyFont="1" applyFill="1" applyBorder="1" applyAlignment="1">
      <alignment horizontal="center" vertical="center"/>
    </xf>
    <xf numFmtId="3" fontId="10" fillId="3" borderId="5" xfId="2" applyNumberFormat="1" applyFont="1" applyFill="1" applyBorder="1" applyAlignment="1">
      <alignment horizontal="center" vertical="center"/>
    </xf>
    <xf numFmtId="3" fontId="10" fillId="3" borderId="15" xfId="2" applyNumberFormat="1" applyFont="1" applyFill="1" applyBorder="1" applyAlignment="1">
      <alignment horizontal="center" vertical="center"/>
    </xf>
    <xf numFmtId="3" fontId="11" fillId="3" borderId="5" xfId="2" applyNumberFormat="1" applyFont="1" applyFill="1" applyBorder="1" applyAlignment="1">
      <alignment horizontal="center" vertical="center"/>
    </xf>
    <xf numFmtId="3" fontId="11" fillId="3" borderId="15" xfId="2" applyNumberFormat="1" applyFont="1" applyFill="1" applyBorder="1" applyAlignment="1">
      <alignment horizontal="center" vertical="center"/>
    </xf>
    <xf numFmtId="3" fontId="12" fillId="3" borderId="5" xfId="2" applyNumberFormat="1" applyFont="1" applyFill="1" applyBorder="1" applyAlignment="1">
      <alignment horizontal="center" vertical="center"/>
    </xf>
    <xf numFmtId="3" fontId="12" fillId="3" borderId="15" xfId="2" applyNumberFormat="1" applyFont="1" applyFill="1" applyBorder="1" applyAlignment="1">
      <alignment horizontal="center" vertical="center"/>
    </xf>
    <xf numFmtId="0" fontId="19" fillId="13" borderId="0" xfId="2" applyFont="1" applyFill="1" applyAlignment="1">
      <alignment horizontal="left" vertical="center"/>
    </xf>
    <xf numFmtId="0" fontId="20" fillId="15" borderId="0" xfId="2" applyFont="1" applyFill="1" applyAlignment="1">
      <alignment horizontal="left" vertical="center"/>
    </xf>
    <xf numFmtId="0" fontId="20" fillId="15" borderId="12" xfId="2" applyFont="1" applyFill="1" applyBorder="1" applyAlignment="1">
      <alignment horizontal="left" vertical="center"/>
    </xf>
    <xf numFmtId="0" fontId="17" fillId="12" borderId="0" xfId="2" applyFont="1" applyFill="1" applyAlignment="1">
      <alignment horizontal="center" vertical="center"/>
    </xf>
    <xf numFmtId="0" fontId="18" fillId="12" borderId="0" xfId="2" applyFont="1" applyFill="1" applyAlignment="1">
      <alignment horizontal="center" vertical="center"/>
    </xf>
    <xf numFmtId="0" fontId="19" fillId="14" borderId="0" xfId="2" applyFont="1" applyFill="1" applyAlignment="1">
      <alignment horizontal="left" vertical="center"/>
    </xf>
    <xf numFmtId="0" fontId="33" fillId="12" borderId="0" xfId="2" applyFont="1" applyFill="1" applyAlignment="1">
      <alignment horizontal="center" vertical="center"/>
    </xf>
    <xf numFmtId="0" fontId="35" fillId="17" borderId="23" xfId="2" applyFont="1" applyFill="1" applyBorder="1" applyAlignment="1">
      <alignment horizontal="left" vertical="center" wrapText="1"/>
    </xf>
    <xf numFmtId="0" fontId="35" fillId="17" borderId="17" xfId="2" applyFont="1" applyFill="1" applyBorder="1" applyAlignment="1">
      <alignment horizontal="left" vertical="center" wrapText="1"/>
    </xf>
    <xf numFmtId="0" fontId="35" fillId="17" borderId="21" xfId="2" applyFont="1" applyFill="1" applyBorder="1" applyAlignment="1">
      <alignment horizontal="left" vertical="center" wrapText="1"/>
    </xf>
    <xf numFmtId="0" fontId="29" fillId="15" borderId="0" xfId="2" applyFont="1" applyFill="1" applyAlignment="1">
      <alignment horizontal="center" vertical="center"/>
    </xf>
    <xf numFmtId="0" fontId="26" fillId="12" borderId="22" xfId="2" applyFont="1" applyFill="1" applyBorder="1" applyAlignment="1">
      <alignment horizontal="left" vertical="center"/>
    </xf>
    <xf numFmtId="0" fontId="34" fillId="22" borderId="17" xfId="2" applyFont="1" applyFill="1" applyBorder="1" applyAlignment="1">
      <alignment horizontal="left" vertical="center" wrapText="1"/>
    </xf>
    <xf numFmtId="0" fontId="34" fillId="22" borderId="21" xfId="2" applyFont="1" applyFill="1" applyBorder="1" applyAlignment="1">
      <alignment horizontal="left" vertical="center" wrapText="1"/>
    </xf>
    <xf numFmtId="0" fontId="31" fillId="18" borderId="18" xfId="2" applyFont="1" applyFill="1" applyBorder="1" applyAlignment="1">
      <alignment horizontal="left" vertical="center"/>
    </xf>
    <xf numFmtId="0" fontId="30" fillId="16" borderId="18" xfId="2" applyFont="1" applyFill="1" applyBorder="1" applyAlignment="1">
      <alignment horizontal="left" vertical="center"/>
    </xf>
    <xf numFmtId="0" fontId="26" fillId="12" borderId="0" xfId="2" applyFont="1" applyFill="1" applyAlignment="1">
      <alignment horizontal="left" vertical="center"/>
    </xf>
    <xf numFmtId="0" fontId="35" fillId="16" borderId="17" xfId="2" applyFont="1" applyFill="1" applyBorder="1" applyAlignment="1">
      <alignment horizontal="left" vertical="center" wrapText="1"/>
    </xf>
    <xf numFmtId="0" fontId="36" fillId="23" borderId="17" xfId="2" applyFont="1" applyFill="1" applyBorder="1" applyAlignment="1">
      <alignment horizontal="left" vertical="center" wrapText="1"/>
    </xf>
    <xf numFmtId="0" fontId="32" fillId="14" borderId="19" xfId="2" applyFont="1" applyFill="1" applyBorder="1" applyAlignment="1">
      <alignment horizontal="left" vertical="center"/>
    </xf>
  </cellXfs>
  <cellStyles count="3">
    <cellStyle name="Normal" xfId="0" builtinId="0"/>
    <cellStyle name="Normal 2" xfId="2"/>
    <cellStyle name="Percent" xfId="1" builtinId="5"/>
  </cellStyles>
  <dxfs count="75">
    <dxf>
      <numFmt numFmtId="0" formatCode="General"/>
    </dxf>
    <dxf>
      <numFmt numFmtId="0" formatCode="General"/>
    </dxf>
    <dxf>
      <numFmt numFmtId="0" formatCode="General"/>
    </dxf>
    <dxf>
      <alignment horizontal="left" vertical="bottom" textRotation="0" wrapText="0" indent="0" justifyLastLine="0" shrinkToFit="0" readingOrder="0"/>
    </dxf>
    <dxf>
      <border outline="0">
        <bottom style="thin">
          <color rgb="FFC0C0C0"/>
        </bottom>
      </border>
    </dxf>
    <dxf>
      <font>
        <b/>
        <i val="0"/>
        <strike val="0"/>
        <condense val="0"/>
        <extend val="0"/>
        <outline val="0"/>
        <shadow val="0"/>
        <u val="none"/>
        <vertAlign val="baseline"/>
        <sz val="9"/>
        <color rgb="FFFFFFFF"/>
        <name val="Arial"/>
        <scheme val="none"/>
      </font>
      <fill>
        <patternFill patternType="solid">
          <fgColor rgb="FF1F3864"/>
          <bgColor rgb="FF2E4D7B"/>
        </patternFill>
      </fill>
      <alignment horizontal="center" vertical="center" textRotation="0" wrapText="0" indent="0" justifyLastLine="0" shrinkToFit="0" readingOrder="0"/>
      <border diagonalUp="0" diagonalDown="0" outline="0">
        <left style="thin">
          <color rgb="FFC0C0C0"/>
        </left>
        <right style="thin">
          <color rgb="FFC0C0C0"/>
        </right>
        <top/>
        <bottom/>
      </border>
    </dxf>
    <dxf>
      <font>
        <sz val="12"/>
      </font>
    </dxf>
    <dxf>
      <font>
        <b/>
      </font>
    </dxf>
    <dxf>
      <font>
        <sz val="12"/>
      </font>
    </dxf>
    <dxf>
      <font>
        <b/>
      </font>
    </dxf>
    <dxf>
      <font>
        <sz val="12"/>
      </font>
    </dxf>
    <dxf>
      <font>
        <b/>
      </font>
    </dxf>
    <dxf>
      <font>
        <sz val="12"/>
      </font>
    </dxf>
    <dxf>
      <font>
        <b/>
      </font>
    </dxf>
    <dxf>
      <font>
        <b val="0"/>
      </font>
    </dxf>
    <dxf>
      <font>
        <b/>
        <sz val="9"/>
        <color rgb="FF005D5D"/>
        <name val="Arial"/>
      </font>
      <fill>
        <patternFill patternType="solid">
          <fgColor rgb="FFEEF3FA"/>
          <bgColor rgb="FFE6F4F4"/>
        </patternFill>
      </fill>
      <alignment horizontal="center" vertical="center"/>
    </dxf>
    <dxf>
      <font>
        <b/>
        <sz val="9"/>
        <color rgb="FF005D5D"/>
        <name val="Arial"/>
      </font>
      <fill>
        <patternFill patternType="solid">
          <fgColor rgb="FFEEF3FA"/>
          <bgColor rgb="FFE6F4F4"/>
        </patternFill>
      </fill>
      <alignment horizontal="center" vertical="center"/>
    </dxf>
    <dxf>
      <fill>
        <patternFill patternType="solid">
          <fgColor rgb="FFF8F8F8"/>
          <bgColor rgb="FFFFFFFF"/>
        </patternFill>
      </fill>
      <alignment horizontal="center" vertical="center"/>
    </dxf>
    <dxf>
      <fill>
        <patternFill patternType="solid">
          <fgColor rgb="FFF8F8F8"/>
          <bgColor rgb="FFFFFFFF"/>
        </patternFill>
      </fill>
      <alignment horizontal="center" vertical="center"/>
    </dxf>
    <dxf>
      <font>
        <b/>
        <sz val="9"/>
        <color rgb="FFFFFFFF"/>
        <name val="Arial"/>
      </font>
      <fill>
        <patternFill patternType="solid">
          <fgColor rgb="FF1F3864"/>
          <bgColor rgb="FF2E4D7B"/>
        </patternFill>
      </fill>
      <alignment horizontal="center" vertical="center"/>
    </dxf>
    <dxf>
      <font>
        <b/>
        <sz val="9"/>
        <color rgb="FFFFFFFF"/>
        <name val="Arial"/>
      </font>
      <fill>
        <patternFill patternType="solid">
          <fgColor rgb="FF1F3864"/>
          <bgColor rgb="FF2E4D7B"/>
        </patternFill>
      </fill>
      <alignment horizontal="center" vertical="center"/>
    </dxf>
    <dxf>
      <font>
        <b/>
        <sz val="12"/>
      </font>
    </dxf>
    <dxf>
      <font>
        <b/>
        <sz val="12"/>
      </font>
    </dxf>
    <dxf>
      <font>
        <b/>
        <sz val="9"/>
        <color rgb="FF005D5D"/>
        <name val="Arial"/>
      </font>
      <fill>
        <patternFill patternType="solid">
          <fgColor rgb="FFEEF3FA"/>
          <bgColor rgb="FFE6F4F4"/>
        </patternFill>
      </fill>
      <alignment horizontal="center" vertical="center"/>
    </dxf>
    <dxf>
      <font>
        <b/>
        <sz val="9"/>
        <color rgb="FF005D5D"/>
        <name val="Arial"/>
      </font>
      <fill>
        <patternFill patternType="solid">
          <fgColor rgb="FFEEF3FA"/>
          <bgColor rgb="FFE6F4F4"/>
        </patternFill>
      </fill>
      <alignment horizontal="center" vertical="center"/>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general" vertical="bottom" textRotation="0" wrapText="0" indent="0" justifyLastLine="0" shrinkToFit="0" readingOrder="0"/>
    </dxf>
    <dxf>
      <fill>
        <patternFill patternType="solid">
          <fgColor rgb="FFF8F8F8"/>
          <bgColor rgb="FFFFFFFF"/>
        </patternFill>
      </fill>
      <alignment horizontal="center" vertical="center"/>
    </dxf>
    <dxf>
      <fill>
        <patternFill patternType="solid">
          <fgColor rgb="FFF8F8F8"/>
          <bgColor rgb="FFFFFFFF"/>
        </patternFill>
      </fill>
      <alignment horizontal="center" vertical="center"/>
    </dxf>
    <dxf>
      <font>
        <b/>
        <sz val="9"/>
        <color rgb="FFFFFFFF"/>
        <name val="Arial"/>
      </font>
      <fill>
        <patternFill patternType="solid">
          <fgColor rgb="FF1F3864"/>
          <bgColor rgb="FF2E4D7B"/>
        </patternFill>
      </fill>
      <alignment horizontal="center" vertical="center"/>
    </dxf>
    <dxf>
      <font>
        <b/>
        <sz val="9"/>
        <color rgb="FFFFFFFF"/>
        <name val="Arial"/>
      </font>
      <fill>
        <patternFill patternType="solid">
          <fgColor rgb="FF1F3864"/>
          <bgColor rgb="FF2E4D7B"/>
        </patternFill>
      </fill>
      <alignment horizontal="center" vertical="center"/>
    </dxf>
    <dxf>
      <font>
        <sz val="12"/>
      </font>
    </dxf>
    <dxf>
      <font>
        <sz val="11"/>
      </font>
    </dxf>
    <dxf>
      <font>
        <b val="0"/>
      </font>
    </dxf>
    <dxf>
      <font>
        <sz val="12"/>
      </font>
    </dxf>
    <dxf>
      <font>
        <b val="0"/>
        <i val="0"/>
        <strike val="0"/>
        <condense val="0"/>
        <extend val="0"/>
        <outline val="0"/>
        <shadow val="0"/>
        <u val="none"/>
        <vertAlign val="baseline"/>
        <sz val="11"/>
        <color theme="1"/>
        <name val="Calibri"/>
      </font>
      <fill>
        <patternFill>
          <fgColor rgb="FFF8F8F8"/>
          <bgColor rgb="FFFFFFFF"/>
        </patternFill>
      </fill>
    </dxf>
    <dxf>
      <font>
        <b val="0"/>
        <i val="0"/>
        <strike val="0"/>
        <condense val="0"/>
        <extend val="0"/>
        <outline val="0"/>
        <shadow val="0"/>
        <u val="none"/>
        <vertAlign val="baseline"/>
        <sz val="11"/>
        <color theme="1"/>
        <name val="Calibri"/>
      </font>
      <fill>
        <patternFill>
          <fgColor rgb="FFF8F8F8"/>
          <bgColor rgb="FFFFFFFF"/>
        </patternFill>
      </fill>
    </dxf>
    <dxf>
      <font>
        <b/>
        <sz val="9"/>
        <color rgb="FF005D5D"/>
        <name val="Arial"/>
      </font>
      <fill>
        <patternFill>
          <fgColor rgb="FFEEF3FA"/>
          <bgColor rgb="FFE6F4F4"/>
        </patternFill>
      </fill>
    </dxf>
    <dxf>
      <font>
        <b/>
        <sz val="9"/>
        <color rgb="FF005D5D"/>
        <name val="Arial"/>
      </font>
      <fill>
        <patternFill>
          <fgColor rgb="FFEEF3FA"/>
          <bgColor rgb="FFE6F4F4"/>
        </patternFill>
      </fill>
    </dxf>
    <dxf>
      <fill>
        <patternFill patternType="solid">
          <fgColor rgb="FFF8F8F8"/>
          <bgColor rgb="FFFFFFFF"/>
        </patternFill>
      </fill>
      <alignment horizontal="center" vertical="center"/>
    </dxf>
    <dxf>
      <fill>
        <patternFill patternType="solid">
          <fgColor rgb="FFF8F8F8"/>
          <bgColor rgb="FFFFFFFF"/>
        </patternFill>
      </fill>
      <alignment horizontal="center" vertical="center"/>
    </dxf>
    <dxf>
      <font>
        <b val="0"/>
        <i val="0"/>
        <strike val="0"/>
        <condense val="0"/>
        <extend val="0"/>
        <outline val="0"/>
        <shadow val="0"/>
        <u val="none"/>
        <vertAlign val="baseline"/>
        <sz val="11"/>
        <color theme="1"/>
        <name val="Calibri"/>
        <scheme val="none"/>
      </font>
      <fill>
        <patternFill>
          <fgColor rgb="FFF8F8F8"/>
          <bgColor rgb="FFF5F6FA"/>
        </patternFill>
      </fill>
    </dxf>
    <dxf>
      <font>
        <b val="0"/>
        <i val="0"/>
        <strike val="0"/>
        <condense val="0"/>
        <extend val="0"/>
        <outline val="0"/>
        <shadow val="0"/>
        <u val="none"/>
        <vertAlign val="baseline"/>
        <sz val="11"/>
        <color theme="1"/>
        <name val="Calibri"/>
        <scheme val="none"/>
      </font>
      <fill>
        <patternFill>
          <fgColor rgb="FFF8F8F8"/>
          <bgColor rgb="FFF5F6FA"/>
        </patternFill>
      </fill>
    </dxf>
    <dxf>
      <font>
        <b/>
        <sz val="9"/>
        <color rgb="FFFFFFFF"/>
        <name val="Arial"/>
      </font>
      <fill>
        <patternFill patternType="solid">
          <fgColor rgb="FF1F3864"/>
          <bgColor rgb="FF2E4D7B"/>
        </patternFill>
      </fill>
      <alignment horizontal="center" vertical="center"/>
    </dxf>
    <dxf>
      <font>
        <b/>
        <sz val="9"/>
        <color rgb="FFFFFFFF"/>
        <name val="Arial"/>
      </font>
      <fill>
        <patternFill patternType="solid">
          <fgColor rgb="FF1F3864"/>
          <bgColor rgb="FF2E4D7B"/>
        </patternFill>
      </fill>
      <alignment horizontal="center" vertical="center"/>
    </dxf>
    <dxf>
      <font>
        <b/>
        <sz val="9"/>
        <color rgb="FFFFFFFF"/>
        <name val="Arial"/>
      </font>
      <fill>
        <patternFill patternType="solid">
          <fgColor rgb="FF1F3864"/>
          <bgColor rgb="FF2E4D7B"/>
        </patternFill>
      </fill>
      <alignment horizontal="center" vertical="center"/>
    </dxf>
    <dxf>
      <font>
        <b/>
        <sz val="9"/>
        <color rgb="FFFFFFFF"/>
        <name val="Arial"/>
      </font>
      <fill>
        <patternFill patternType="solid">
          <fgColor rgb="FF1F3864"/>
          <bgColor rgb="FF2E4D7B"/>
        </patternFill>
      </fill>
      <alignment horizontal="center" vertical="center"/>
    </dxf>
    <dxf>
      <font>
        <b/>
        <sz val="9"/>
        <color rgb="FFFFFFFF"/>
        <name val="Arial"/>
      </font>
      <fill>
        <patternFill patternType="solid">
          <fgColor rgb="FF1F3864"/>
          <bgColor rgb="FF2E4D7B"/>
        </patternFill>
      </fill>
      <alignment horizontal="center" vertical="center"/>
    </dxf>
    <dxf>
      <font>
        <b/>
        <sz val="9"/>
        <color rgb="FFFFFFFF"/>
        <name val="Arial"/>
      </font>
      <fill>
        <patternFill patternType="solid">
          <fgColor rgb="FF1F3864"/>
          <bgColor rgb="FF2E4D7B"/>
        </patternFill>
      </fill>
      <alignment horizontal="center" vertical="center"/>
    </dxf>
    <dxf>
      <font>
        <color rgb="FF9C0006"/>
      </font>
      <fill>
        <patternFill>
          <bgColor theme="0"/>
        </patternFill>
      </fill>
    </dxf>
    <dxf>
      <font>
        <color theme="4"/>
      </font>
      <fill>
        <patternFill>
          <bgColor theme="0"/>
        </patternFill>
      </fill>
    </dxf>
    <dxf>
      <font>
        <color rgb="FF9C0006"/>
      </font>
      <fill>
        <patternFill patternType="none">
          <bgColor auto="1"/>
        </patternFill>
      </fill>
    </dxf>
    <dxf>
      <font>
        <color theme="4"/>
      </font>
      <fill>
        <patternFill>
          <bgColor theme="0"/>
        </patternFill>
      </fill>
    </dxf>
    <dxf>
      <font>
        <b/>
        <i val="0"/>
        <color rgb="FF9C0006"/>
      </font>
      <fill>
        <patternFill>
          <bgColor theme="0"/>
        </patternFill>
      </fill>
    </dxf>
    <dxf>
      <font>
        <b/>
        <i val="0"/>
        <color theme="4"/>
      </font>
      <fill>
        <patternFill>
          <bgColor theme="0"/>
        </patternFill>
      </fill>
    </dxf>
    <dxf>
      <font>
        <color theme="4"/>
      </font>
      <fill>
        <patternFill>
          <bgColor theme="0"/>
        </patternFill>
      </fill>
    </dxf>
    <dxf>
      <font>
        <b/>
        <i val="0"/>
        <color rgb="FF9C0006"/>
      </font>
      <fill>
        <patternFill>
          <bgColor theme="0"/>
        </patternFill>
      </fill>
    </dxf>
    <dxf>
      <font>
        <b/>
        <i val="0"/>
        <color rgb="FF9C0006"/>
      </font>
      <fill>
        <patternFill>
          <bgColor theme="0"/>
        </patternFill>
      </fill>
    </dxf>
    <dxf>
      <font>
        <b/>
        <i val="0"/>
        <color theme="4"/>
      </font>
      <fill>
        <patternFill patternType="none">
          <bgColor auto="1"/>
        </patternFill>
      </fill>
    </dxf>
    <dxf>
      <font>
        <color theme="4"/>
      </font>
      <fill>
        <patternFill>
          <bgColor theme="0"/>
        </patternFill>
      </fill>
    </dxf>
    <dxf>
      <font>
        <b/>
        <i val="0"/>
        <color rgb="FF9C0006"/>
      </font>
      <fill>
        <patternFill>
          <bgColor theme="0"/>
        </patternFill>
      </fill>
    </dxf>
    <dxf>
      <font>
        <color rgb="FF9C0006"/>
      </font>
      <fill>
        <patternFill>
          <bgColor theme="0"/>
        </patternFill>
      </fill>
    </dxf>
    <dxf>
      <font>
        <color theme="4"/>
      </font>
      <fill>
        <patternFill>
          <bgColor theme="0"/>
        </patternFill>
      </fill>
    </dxf>
    <dxf>
      <font>
        <color theme="4"/>
      </font>
      <fill>
        <patternFill patternType="none">
          <bgColor auto="1"/>
        </patternFill>
      </fill>
    </dxf>
    <dxf>
      <font>
        <color rgb="FF9C0006"/>
      </font>
      <fill>
        <patternFill>
          <bgColor theme="0"/>
        </patternFill>
      </fill>
    </dxf>
    <dxf>
      <font>
        <color theme="4"/>
      </font>
      <fill>
        <patternFill patternType="solid">
          <bgColor theme="0"/>
        </patternFill>
      </fill>
    </dxf>
    <dxf>
      <font>
        <color rgb="FF9C0006"/>
      </font>
      <fill>
        <patternFill>
          <bgColor theme="0"/>
        </patternFill>
      </fill>
    </dxf>
    <dxf>
      <font>
        <color theme="4"/>
      </font>
      <fill>
        <patternFill patternType="none">
          <bgColor auto="1"/>
        </patternFill>
      </fill>
    </dxf>
    <dxf>
      <font>
        <color rgb="FF9C0006"/>
      </font>
      <fill>
        <patternFill patternType="none">
          <bgColor auto="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theme="0"/>
      </font>
      <fill>
        <patternFill patternType="solid">
          <bgColor rgb="FF1F2D3D"/>
        </patternFill>
      </fill>
      <border diagonalUp="0" diagonalDown="0">
        <left/>
        <right/>
        <top/>
        <bottom/>
        <vertical/>
        <horizontal/>
      </border>
    </dxf>
    <dxf>
      <font>
        <b/>
        <i val="0"/>
        <color theme="0"/>
      </font>
      <fill>
        <patternFill>
          <bgColor rgb="FF1F2D3D"/>
        </patternFill>
      </fill>
      <border diagonalUp="0" diagonalDown="0">
        <left/>
        <right/>
        <top/>
        <bottom/>
        <vertical/>
        <horizontal/>
      </border>
    </dxf>
  </dxfs>
  <tableStyles count="1" defaultTableStyle="TableStyleMedium2" defaultPivotStyle="PivotStyleLight16">
    <tableStyle name="Slicer Data Model" pivot="0" table="0" count="10">
      <tableStyleElement type="wholeTable" dxfId="74"/>
      <tableStyleElement type="headerRow" dxfId="73"/>
    </tableStyle>
  </tableStyles>
  <colors>
    <mruColors>
      <color rgb="FF1F2D3D"/>
    </mruColors>
  </colors>
  <extLst>
    <ext xmlns:x14="http://schemas.microsoft.com/office/spreadsheetml/2009/9/main" uri="{46F421CA-312F-682f-3DD2-61675219B42D}">
      <x14:dxfs count="8">
        <dxf>
          <font>
            <b/>
            <i val="0"/>
            <color rgb="FF000000"/>
          </font>
          <fill>
            <patternFill patternType="solid">
              <fgColor auto="1"/>
              <bgColor theme="5"/>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0"/>
          </font>
          <fill>
            <patternFill patternType="solid">
              <fgColor auto="1"/>
              <bgColor theme="5"/>
            </patternFill>
          </fill>
          <border diagonalUp="0" diagonalDown="0">
            <left/>
            <right/>
            <top/>
            <bottom/>
            <vertical/>
            <horizontal/>
          </border>
        </dxf>
        <dxf>
          <font>
            <b/>
            <i val="0"/>
            <color theme="0"/>
          </font>
          <fill>
            <patternFill patternType="solid">
              <fgColor auto="1"/>
              <bgColor theme="5" tint="0.39994506668294322"/>
            </patternFill>
          </fill>
          <border diagonalUp="0" diagonalDown="0">
            <left/>
            <right/>
            <top/>
            <bottom/>
            <vertical/>
            <horizontal/>
          </border>
        </dxf>
        <dxf>
          <font>
            <b/>
            <i val="0"/>
            <color theme="1"/>
          </font>
          <fill>
            <patternFill patternType="solid">
              <fgColor theme="5" tint="0.79995117038483843"/>
              <bgColor theme="0" tint="-4.9989318521683403E-2"/>
            </patternFill>
          </fill>
          <border diagonalUp="0" diagonalDown="0">
            <left/>
            <right/>
            <top/>
            <bottom/>
            <vertical/>
            <horizontal/>
          </border>
        </dxf>
        <dxf>
          <font>
            <b/>
            <i val="0"/>
            <color theme="0"/>
          </font>
          <fill>
            <patternFill patternType="solid">
              <fgColor theme="5" tint="0.59999389629810485"/>
              <bgColor theme="5"/>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color rgb="FF000000"/>
          </font>
          <fill>
            <patternFill patternType="solid">
              <fgColor rgb="FFFFFFFF"/>
              <bgColor theme="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Data Model">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B11" s="4"/>
        <tr r="D11" s="4"/>
        <tr r="D12" s="4"/>
        <tr r="E12" s="4"/>
        <tr r="F11" s="4"/>
        <tr r="A24" s="4"/>
        <tr r="Y12" s="4"/>
        <tr r="K12" s="4"/>
        <tr r="M12" s="4"/>
        <tr r="A23" s="4"/>
        <tr r="X11" s="4"/>
        <tr r="J12" s="4"/>
        <tr r="A17" s="4"/>
        <tr r="A22" s="4"/>
        <tr r="A28" s="4"/>
        <tr r="I12" s="4"/>
        <tr r="A25" s="4"/>
        <tr r="A21" s="4"/>
        <tr r="V12" s="4"/>
        <tr r="H12" s="4"/>
        <tr r="T12" s="4"/>
        <tr r="A20" s="4"/>
        <tr r="S12" s="4"/>
        <tr r="G12" s="4"/>
        <tr r="N12" s="4"/>
        <tr r="A19" s="4"/>
        <tr r="P11" s="4"/>
        <tr r="F12" s="4"/>
        <tr r="R12" s="4"/>
        <tr r="A18" s="4"/>
        <tr r="Q12" s="4"/>
        <tr r="A15" s="4"/>
        <tr r="V11" s="4"/>
        <tr r="N11" s="4"/>
        <tr r="A16" s="4"/>
        <tr r="A14" s="4"/>
        <tr r="U12" s="4"/>
        <tr r="L11" s="4"/>
        <tr r="R11" s="4"/>
        <tr r="A13" s="4"/>
        <tr r="N13" s="4"/>
        <tr r="N13" s="4"/>
        <tr r="N13" s="4"/>
        <tr r="T11" s="4"/>
        <tr r="J11" s="4"/>
        <tr r="L12" s="4"/>
        <tr r="AA12" s="4"/>
        <tr r="C11" s="4"/>
        <tr r="Z12" s="4"/>
        <tr r="A29" s="4"/>
        <tr r="X12" s="4"/>
        <tr r="Z11" s="4"/>
        <tr r="W12" s="4"/>
        <tr r="A27" s="4"/>
        <tr r="P12" s="4"/>
        <tr r="O12" s="4"/>
        <tr r="A26" s="4"/>
        <tr r="H11" s="4"/>
        <tr r="K15" s="4"/>
        <tr r="K15" s="4"/>
        <tr r="K15" s="4"/>
        <tr r="F22" s="4"/>
        <tr r="F22" s="4"/>
        <tr r="F22" s="4"/>
        <tr r="I18" s="4"/>
        <tr r="I18" s="4"/>
        <tr r="I18" s="4"/>
        <tr r="G17" s="4"/>
        <tr r="G17" s="4"/>
        <tr r="G17" s="4"/>
        <tr r="F26" s="4"/>
        <tr r="F26" s="4"/>
        <tr r="F26" s="4"/>
        <tr r="T21" s="4"/>
        <tr r="T21" s="4"/>
        <tr r="T21" s="4"/>
        <tr r="R15" s="4"/>
        <tr r="R15" s="4"/>
        <tr r="R15" s="4"/>
        <tr r="G18" s="4"/>
        <tr r="G18" s="4"/>
        <tr r="G18" s="4"/>
        <tr r="O13" s="4"/>
        <tr r="O13" s="4"/>
        <tr r="O13" s="4"/>
        <tr r="U17" s="4"/>
        <tr r="U17" s="4"/>
        <tr r="U17" s="4"/>
        <tr r="X25" s="4"/>
        <tr r="X25" s="4"/>
        <tr r="X25" s="4"/>
        <tr r="S19" s="4"/>
        <tr r="S19" s="4"/>
        <tr r="S19" s="4"/>
        <tr r="L16" s="4"/>
        <tr r="L16" s="4"/>
        <tr r="L16" s="4"/>
        <tr r="C25" s="4"/>
        <tr r="C25" s="4"/>
        <tr r="C25" s="4"/>
        <tr r="X29" s="4"/>
        <tr r="X29" s="4"/>
        <tr r="X29" s="4"/>
        <tr r="S27" s="4"/>
        <tr r="S27" s="4"/>
        <tr r="S27" s="4"/>
        <tr r="D14" s="4"/>
        <tr r="D14" s="4"/>
        <tr r="D14" s="4"/>
        <tr r="AA23" s="4"/>
        <tr r="AA23" s="4"/>
        <tr r="AA23" s="4"/>
        <tr r="F15" s="4"/>
        <tr r="F15" s="4"/>
        <tr r="F15" s="4"/>
        <tr r="AA13" s="4"/>
        <tr r="AA13" s="4"/>
        <tr r="AA13" s="4"/>
        <tr r="G21" s="4"/>
        <tr r="G21" s="4"/>
        <tr r="G21" s="4"/>
        <tr r="P17" s="4"/>
        <tr r="P17" s="4"/>
        <tr r="P17" s="4"/>
        <tr r="U18" s="4"/>
        <tr r="U18" s="4"/>
        <tr r="U18" s="4"/>
        <tr r="G24" s="4"/>
        <tr r="G24" s="4"/>
        <tr r="G24" s="4"/>
        <tr r="H18" s="4"/>
        <tr r="H18" s="4"/>
        <tr r="H18" s="4"/>
        <tr r="O19" s="4"/>
        <tr r="O19" s="4"/>
        <tr r="O19" s="4"/>
        <tr r="V17" s="4"/>
        <tr r="V17" s="4"/>
        <tr r="V17" s="4"/>
        <tr r="F25" s="4"/>
        <tr r="F25" s="4"/>
        <tr r="F25" s="4"/>
        <tr r="S22" s="4"/>
        <tr r="S22" s="4"/>
        <tr r="S22" s="4"/>
        <tr r="M16" s="4"/>
        <tr r="M16" s="4"/>
        <tr r="M16" s="4"/>
        <tr r="C28" s="4"/>
        <tr r="C28" s="4"/>
        <tr r="C28" s="4"/>
        <tr r="Y29" s="4"/>
        <tr r="Y29" s="4"/>
        <tr r="Y29" s="4"/>
        <tr r="B27" s="4"/>
        <tr r="B27" s="4"/>
        <tr r="B27" s="4"/>
        <tr r="E13" s="4"/>
        <tr r="E13" s="4"/>
        <tr r="E13" s="4"/>
        <tr r="AA20" s="4"/>
        <tr r="AA20" s="4"/>
        <tr r="AA20" s="4"/>
        <tr r="I23" s="4"/>
        <tr r="I23" s="4"/>
        <tr r="I23" s="4"/>
        <tr r="I22" s="4"/>
        <tr r="I22" s="4"/>
        <tr r="I22" s="4"/>
        <tr r="G14" s="4"/>
        <tr r="G14" s="4"/>
        <tr r="G14" s="4"/>
        <tr r="G13" s="4"/>
        <tr r="G13" s="4"/>
        <tr r="G13" s="4"/>
        <tr r="L17" s="4"/>
        <tr r="L17" s="4"/>
        <tr r="L17" s="4"/>
        <tr r="P18" s="4"/>
        <tr r="P18" s="4"/>
        <tr r="P18" s="4"/>
        <tr r="N15" s="4"/>
        <tr r="N15" s="4"/>
        <tr r="N15" s="4"/>
        <tr r="O24" s="4"/>
        <tr r="O24" s="4"/>
        <tr r="O24" s="4"/>
        <tr r="X17" s="4"/>
        <tr r="X17" s="4"/>
        <tr r="X17" s="4"/>
        <tr r="G25" s="4"/>
        <tr r="G25" s="4"/>
        <tr r="G25" s="4"/>
        <tr r="S24" s="4"/>
        <tr r="S24" s="4"/>
        <tr r="S24" s="4"/>
        <tr r="R16" s="4"/>
        <tr r="R16" s="4"/>
        <tr r="R16" s="4"/>
        <tr r="C24" s="4"/>
        <tr r="C24" s="4"/>
        <tr r="C24" s="4"/>
        <tr r="Z29" s="4"/>
        <tr r="Z29" s="4"/>
        <tr r="Z29" s="4"/>
        <tr r="C27" s="4"/>
        <tr r="C27" s="4"/>
        <tr r="C27" s="4"/>
        <tr r="D13" s="4"/>
        <tr r="D13" s="4"/>
        <tr r="D13" s="4"/>
        <tr r="C20" s="4"/>
        <tr r="C20" s="4"/>
        <tr r="C20" s="4"/>
        <tr r="V27" s="4"/>
        <tr r="V27" s="4"/>
        <tr r="V27" s="4"/>
        <tr r="F14" s="4"/>
        <tr r="F14" s="4"/>
        <tr r="F14" s="4"/>
        <tr r="F17" s="4"/>
        <tr r="F17" s="4"/>
        <tr r="F17" s="4"/>
        <tr r="S16" s="4"/>
        <tr r="S16" s="4"/>
        <tr r="S16" s="4"/>
        <tr r="W27" s="4"/>
        <tr r="W27" s="4"/>
        <tr r="W27" s="4"/>
        <tr r="G23" s="4"/>
        <tr r="G23" s="4"/>
        <tr r="G23" s="4"/>
        <tr r="Q23" s="4"/>
        <tr r="Q23" s="4"/>
        <tr r="Q23" s="4"/>
        <tr r="Q28" s="4"/>
        <tr r="Q28" s="4"/>
        <tr r="Q28" s="4"/>
        <tr r="T16" s="4"/>
        <tr r="T16" s="4"/>
        <tr r="T16" s="4"/>
        <tr r="D28" s="4"/>
        <tr r="D28" s="4"/>
        <tr r="D28" s="4"/>
        <tr r="Y19" s="4"/>
        <tr r="Y19" s="4"/>
        <tr r="Y19" s="4"/>
        <tr r="R23" s="4"/>
        <tr r="R23" s="4"/>
        <tr r="R23" s="4"/>
        <tr r="H28" s="4"/>
        <tr r="H28" s="4"/>
        <tr r="H28" s="4"/>
        <tr r="V16" s="4"/>
        <tr r="V16" s="4"/>
        <tr r="V16" s="4"/>
        <tr r="Y27" s="4"/>
        <tr r="Y27" s="4"/>
        <tr r="Y27" s="4"/>
        <tr r="H14" s="4"/>
        <tr r="H14" s="4"/>
        <tr r="H14" s="4"/>
        <tr r="F24" s="4"/>
        <tr r="F24" s="4"/>
        <tr r="F24" s="4"/>
        <tr r="W14" s="4"/>
        <tr r="W14" s="4"/>
        <tr r="W14" s="4"/>
        <tr r="M28" s="4"/>
        <tr r="M28" s="4"/>
        <tr r="M28" s="4"/>
        <tr r="W16" s="4"/>
        <tr r="W16" s="4"/>
        <tr r="W16" s="4"/>
        <tr r="Z27" s="4"/>
        <tr r="Z27" s="4"/>
        <tr r="Z27" s="4"/>
        <tr r="T18" s="4"/>
        <tr r="T18" s="4"/>
        <tr r="T18" s="4"/>
        <tr r="R20" s="4"/>
        <tr r="R20" s="4"/>
        <tr r="R20" s="4"/>
        <tr r="E24" s="4"/>
        <tr r="E24" s="4"/>
        <tr r="E24" s="4"/>
        <tr r="K22" s="4"/>
        <tr r="K22" s="4"/>
        <tr r="K22" s="4"/>
        <tr r="S26" s="4"/>
        <tr r="S26" s="4"/>
        <tr r="S26" s="4"/>
        <tr r="S29" s="4"/>
        <tr r="S29" s="4"/>
        <tr r="S29" s="4"/>
        <tr r="V21" s="4"/>
        <tr r="V21" s="4"/>
        <tr r="V21" s="4"/>
        <tr r="U15" s="4"/>
        <tr r="U15" s="4"/>
        <tr r="U15" s="4"/>
        <tr r="T26" s="4"/>
        <tr r="T26" s="4"/>
        <tr r="T26" s="4"/>
        <tr r="R24" s="4"/>
        <tr r="R24" s="4"/>
        <tr r="R24" s="4"/>
        <tr r="G20" s="4"/>
        <tr r="G20" s="4"/>
        <tr r="G20" s="4"/>
        <tr r="U25" s="4"/>
        <tr r="U25" s="4"/>
        <tr r="U25" s="4"/>
        <tr r="M21" s="4"/>
        <tr r="M21" s="4"/>
        <tr r="M21" s="4"/>
        <tr r="V25" s="4"/>
        <tr r="V25" s="4"/>
        <tr r="V25" s="4"/>
        <tr r="E22" s="4"/>
        <tr r="E22" s="4"/>
        <tr r="E22" s="4"/>
        <tr r="Z22" s="4"/>
        <tr r="Z22" s="4"/>
        <tr r="Z22" s="4"/>
        <tr r="W26" s="4"/>
        <tr r="W26" s="4"/>
        <tr r="W26" s="4"/>
        <tr r="D22" s="4"/>
        <tr r="D22" s="4"/>
        <tr r="D22" s="4"/>
        <tr r="Z25" s="4"/>
        <tr r="Z25" s="4"/>
        <tr r="Z25" s="4"/>
        <tr r="T13" s="4"/>
        <tr r="T13" s="4"/>
        <tr r="T13" s="4"/>
        <tr r="U23" s="4"/>
        <tr r="U23" s="4"/>
        <tr r="U23" s="4"/>
        <tr r="W15" s="4"/>
        <tr r="W15" s="4"/>
        <tr r="W15" s="4"/>
        <tr r="L18" s="4"/>
        <tr r="L18" s="4"/>
        <tr r="L18" s="4"/>
        <tr r="N14" s="4"/>
        <tr r="N14" s="4"/>
        <tr r="N14" s="4"/>
        <tr r="P19" s="4"/>
        <tr r="P19" s="4"/>
        <tr r="P19" s="4"/>
        <tr r="U29" s="4"/>
        <tr r="U29" s="4"/>
        <tr r="U29" s="4"/>
        <tr r="P28" s="4"/>
        <tr r="P28" s="4"/>
        <tr r="P28" s="4"/>
        <tr r="L22" s="4"/>
        <tr r="L22" s="4"/>
        <tr r="L22" s="4"/>
        <tr r="X20" s="4"/>
        <tr r="X20" s="4"/>
        <tr r="X20" s="4"/>
        <tr r="F18" s="4"/>
        <tr r="F18" s="4"/>
        <tr r="F18" s="4"/>
        <tr r="O25" s="4"/>
        <tr r="O25" s="4"/>
        <tr r="O25" s="4"/>
        <tr r="Q27" s="4"/>
        <tr r="Q27" s="4"/>
        <tr r="Q27" s="4"/>
        <tr r="J21" s="4"/>
        <tr r="J21" s="4"/>
        <tr r="J21" s="4"/>
        <tr r="X14" s="4"/>
        <tr r="X14" s="4"/>
        <tr r="X14" s="4"/>
        <tr r="B19" s="4"/>
        <tr r="B19" s="4"/>
        <tr r="B19" s="4"/>
        <tr r="J26" s="4"/>
        <tr r="J26" s="4"/>
        <tr r="J26" s="4"/>
        <tr r="U24" s="4"/>
        <tr r="U24" s="4"/>
        <tr r="U24" s="4"/>
        <tr r="G28" s="4"/>
        <tr r="G28" s="4"/>
        <tr r="G28" s="4"/>
        <tr r="B13" s="4"/>
        <tr r="B13" s="4"/>
        <tr r="B13" s="4"/>
        <tr r="H23" s="4"/>
        <tr r="H23" s="4"/>
        <tr r="H23" s="4"/>
        <tr r="B16" s="4"/>
        <tr r="B16" s="4"/>
        <tr r="B16" s="4"/>
        <tr r="I26" s="4"/>
        <tr r="I26" s="4"/>
        <tr r="I26" s="4"/>
        <tr r="AA14" s="4"/>
        <tr r="AA14" s="4"/>
        <tr r="AA14" s="4"/>
        <tr r="B23" s="4"/>
        <tr r="B23" s="4"/>
        <tr r="B23" s="4"/>
        <tr r="W18" s="4"/>
        <tr r="W18" s="4"/>
        <tr r="W18" s="4"/>
        <tr r="B14" s="4"/>
        <tr r="B14" s="4"/>
        <tr r="B14" s="4"/>
        <tr r="K29" s="4"/>
        <tr r="K29" s="4"/>
        <tr r="K29" s="4"/>
        <tr r="V20" s="4"/>
        <tr r="V20" s="4"/>
        <tr r="V20" s="4"/>
        <tr r="O14" s="4"/>
        <tr r="O14" s="4"/>
        <tr r="O14" s="4"/>
        <tr r="X26" s="4"/>
        <tr r="X26" s="4"/>
        <tr r="X26" s="4"/>
        <tr r="J27" s="4"/>
        <tr r="J27" s="4"/>
        <tr r="J27" s="4"/>
        <tr r="H19" s="4"/>
        <tr r="H19" s="4"/>
        <tr r="H19" s="4"/>
        <tr r="T29" s="4"/>
        <tr r="T29" s="4"/>
        <tr r="T29" s="4"/>
        <tr r="I19" s="4"/>
        <tr r="I19" s="4"/>
        <tr r="I19" s="4"/>
        <tr r="W25" s="4"/>
        <tr r="W25" s="4"/>
        <tr r="W25" s="4"/>
        <tr r="AA27" s="4"/>
        <tr r="AA27" s="4"/>
        <tr r="AA27" s="4"/>
        <tr r="Y21" s="4"/>
        <tr r="Y21" s="4"/>
        <tr r="Y21" s="4"/>
        <tr r="Q16" s="4"/>
        <tr r="Q16" s="4"/>
        <tr r="Q16" s="4"/>
        <tr r="X22" s="4"/>
        <tr r="X22" s="4"/>
        <tr r="X22" s="4"/>
        <tr r="C22" s="4"/>
        <tr r="C22" s="4"/>
        <tr r="C22" s="4"/>
        <tr r="X27" s="4"/>
        <tr r="X27" s="4"/>
        <tr r="X27" s="4"/>
        <tr r="D24" s="4"/>
        <tr r="D24" s="4"/>
        <tr r="D24" s="4"/>
        <tr r="O15" s="4"/>
        <tr r="O15" s="4"/>
        <tr r="O15" s="4"/>
        <tr r="E23" s="4"/>
        <tr r="E23" s="4"/>
        <tr r="E23" s="4"/>
        <tr r="Q18" s="4"/>
        <tr r="Q18" s="4"/>
        <tr r="Q18" s="4"/>
        <tr r="U26" s="4"/>
        <tr r="U26" s="4"/>
        <tr r="U26" s="4"/>
        <tr r="D23" s="4"/>
        <tr r="D23" s="4"/>
        <tr r="D23" s="4"/>
        <tr r="J23" s="4"/>
        <tr r="J23" s="4"/>
        <tr r="J23" s="4"/>
        <tr r="K28" s="4"/>
        <tr r="K28" s="4"/>
        <tr r="K28" s="4"/>
        <tr r="X24" s="4"/>
        <tr r="X24" s="4"/>
        <tr r="X24" s="4"/>
        <tr r="Q20" s="4"/>
        <tr r="Q20" s="4"/>
        <tr r="Q20" s="4"/>
        <tr r="G26" s="4"/>
        <tr r="G26" s="4"/>
        <tr r="G26" s="4"/>
        <tr r="H20" s="4"/>
        <tr r="H20" s="4"/>
        <tr r="H20" s="4"/>
        <tr r="J29" s="4"/>
        <tr r="J29" s="4"/>
        <tr r="J29" s="4"/>
        <tr r="S14" s="4"/>
        <tr r="S14" s="4"/>
        <tr r="S14" s="4"/>
        <tr r="K18" s="4"/>
        <tr r="K18" s="4"/>
        <tr r="K18" s="4"/>
        <tr r="E15" s="4"/>
        <tr r="E15" s="4"/>
        <tr r="E15" s="4"/>
        <tr r="J19" s="4"/>
        <tr r="J19" s="4"/>
        <tr r="J19" s="4"/>
        <tr r="D15" s="4"/>
        <tr r="D15" s="4"/>
        <tr r="D15" s="4"/>
        <tr r="Y22" s="4"/>
        <tr r="Y22" s="4"/>
        <tr r="Y22" s="4"/>
        <tr r="W29" s="4"/>
        <tr r="W29" s="4"/>
        <tr r="W29" s="4"/>
        <tr r="J13" s="4"/>
        <tr r="J13" s="4"/>
        <tr r="J13" s="4"/>
        <tr r="I15" s="4"/>
        <tr r="I15" s="4"/>
        <tr r="I15" s="4"/>
        <tr r="V22" s="4"/>
        <tr r="V22" s="4"/>
        <tr r="V22" s="4"/>
        <tr r="AA19" s="4"/>
        <tr r="AA19" s="4"/>
        <tr r="AA19" s="4"/>
        <tr r="V15" s="4"/>
        <tr r="V15" s="4"/>
        <tr r="V15" s="4"/>
        <tr r="N28" s="4"/>
        <tr r="N28" s="4"/>
        <tr r="N28" s="4"/>
        <tr r="X15" s="4"/>
        <tr r="X15" s="4"/>
        <tr r="X15" s="4"/>
        <tr r="O23" s="4"/>
        <tr r="O23" s="4"/>
        <tr r="O23" s="4"/>
        <tr r="Z17" s="4"/>
        <tr r="Z17" s="4"/>
        <tr r="Z17" s="4"/>
        <tr r="H25" s="4"/>
        <tr r="H25" s="4"/>
        <tr r="H25" s="4"/>
        <tr r="N19" s="4"/>
        <tr r="N19" s="4"/>
        <tr r="N19" s="4"/>
        <tr r="U16" s="4"/>
        <tr r="U16" s="4"/>
        <tr r="U16" s="4"/>
        <tr r="C18" s="4"/>
        <tr r="C18" s="4"/>
        <tr r="C18" s="4"/>
        <tr r="AA29" s="4"/>
        <tr r="AA29" s="4"/>
        <tr r="AA29" s="4"/>
        <tr r="R27" s="4"/>
        <tr r="R27" s="4"/>
        <tr r="R27" s="4"/>
        <tr r="E26" s="4"/>
        <tr r="E26" s="4"/>
        <tr r="E26" s="4"/>
        <tr r="X23" s="4"/>
        <tr r="X23" s="4"/>
        <tr r="X23" s="4"/>
        <tr r="O21" s="4"/>
        <tr r="O21" s="4"/>
        <tr r="O21" s="4"/>
        <tr r="Z15" s="4"/>
        <tr r="Z15" s="4"/>
        <tr r="Z15" s="4"/>
        <tr r="J25" s="4"/>
        <tr r="J25" s="4"/>
        <tr r="J25" s="4"/>
        <tr r="O16" s="4"/>
        <tr r="O16" s="4"/>
        <tr r="O16" s="4"/>
        <tr r="C29" s="4"/>
        <tr r="C29" s="4"/>
        <tr r="C29" s="4"/>
        <tr r="E17" s="4"/>
        <tr r="E17" s="4"/>
        <tr r="E17" s="4"/>
        <tr r="H15" s="4"/>
        <tr r="H15" s="4"/>
        <tr r="H15" s="4"/>
        <tr r="O26" s="4"/>
        <tr r="O26" s="4"/>
        <tr r="O26" s="4"/>
        <tr r="S28" s="4"/>
        <tr r="S28" s="4"/>
        <tr r="S28" s="4"/>
        <tr r="AA15" s="4"/>
        <tr r="AA15" s="4"/>
        <tr r="AA15" s="4"/>
        <tr r="C17" s="4"/>
        <tr r="C17" s="4"/>
        <tr r="C17" s="4"/>
        <tr r="N26" s="4"/>
        <tr r="N26" s="4"/>
        <tr r="N26" s="4"/>
        <tr r="B22" s="4"/>
        <tr r="B22" s="4"/>
        <tr r="B22" s="4"/>
        <tr r="X16" s="4"/>
        <tr r="X16" s="4"/>
        <tr r="X16" s="4"/>
        <tr r="B15" s="4"/>
        <tr r="B15" s="4"/>
        <tr r="B15" s="4"/>
        <tr r="L25" s="4"/>
        <tr r="L25" s="4"/>
        <tr r="L25" s="4"/>
        <tr r="C23" s="4"/>
        <tr r="C23" s="4"/>
        <tr r="C23" s="4"/>
        <tr r="E28" s="4"/>
        <tr r="E28" s="4"/>
        <tr r="E28" s="4"/>
        <tr r="I14" s="4"/>
        <tr r="I14" s="4"/>
        <tr r="I14" s="4"/>
        <tr r="Y24" s="4"/>
        <tr r="Y24" s="4"/>
        <tr r="Y24" s="4"/>
        <tr r="C15" s="4"/>
        <tr r="C15" s="4"/>
        <tr r="C15" s="4"/>
        <tr r="M25" s="4"/>
        <tr r="M25" s="4"/>
        <tr r="M25" s="4"/>
        <tr r="B18" s="4"/>
        <tr r="B18" s="4"/>
        <tr r="B18" s="4"/>
        <tr r="R17" s="4"/>
        <tr r="R17" s="4"/>
        <tr r="R17" s="4"/>
        <tr r="S21" s="4"/>
        <tr r="S21" s="4"/>
        <tr r="S21" s="4"/>
        <tr r="B26" s="4"/>
        <tr r="B26" s="4"/>
        <tr r="B26" s="4"/>
        <tr r="R13" s="4"/>
        <tr r="R13" s="4"/>
        <tr r="R13" s="4"/>
        <tr r="B24" s="4"/>
        <tr r="B24" s="4"/>
        <tr r="B24" s="4"/>
        <tr r="W23" s="4"/>
        <tr r="W23" s="4"/>
        <tr r="W23" s="4"/>
        <tr r="C19" s="4"/>
        <tr r="C19" s="4"/>
        <tr r="C19" s="4"/>
        <tr r="C26" s="4"/>
        <tr r="C26" s="4"/>
        <tr r="C26" s="4"/>
        <tr r="R19" s="4"/>
        <tr r="R19" s="4"/>
        <tr r="R19" s="4"/>
        <tr r="B21" s="4"/>
        <tr r="B21" s="4"/>
        <tr r="B21" s="4"/>
        <tr r="W20" s="4"/>
        <tr r="W20" s="4"/>
        <tr r="W20" s="4"/>
        <tr r="R26" s="4"/>
        <tr r="R26" s="4"/>
        <tr r="R26" s="4"/>
        <tr r="Q29" s="4"/>
        <tr r="Q29" s="4"/>
        <tr r="Q29" s="4"/>
        <tr r="F21" s="4"/>
        <tr r="F21" s="4"/>
        <tr r="F21" s="4"/>
        <tr r="P22" s="4"/>
        <tr r="P22" s="4"/>
        <tr r="P22" s="4"/>
        <tr r="R22" s="4"/>
        <tr r="R22" s="4"/>
        <tr r="R22" s="4"/>
        <tr r="T17" s="4"/>
        <tr r="T17" s="4"/>
        <tr r="T17" s="4"/>
        <tr r="K21" s="4"/>
        <tr r="K21" s="4"/>
        <tr r="K21" s="4"/>
        <tr r="I28" s="4"/>
        <tr r="I28" s="4"/>
        <tr r="I28" s="4"/>
        <tr r="B20" s="4"/>
        <tr r="B20" s="4"/>
        <tr r="B20" s="4"/>
        <tr r="L14" s="4"/>
        <tr r="L14" s="4"/>
        <tr r="L14" s="4"/>
        <tr r="J28" s="4"/>
        <tr r="J28" s="4"/>
        <tr r="J28" s="4"/>
        <tr r="I29" s="4"/>
        <tr r="I29" s="4"/>
        <tr r="I29" s="4"/>
        <tr r="D27" s="4"/>
        <tr r="D27" s="4"/>
        <tr r="D27" s="4"/>
        <tr r="U14" s="4"/>
        <tr r="U14" s="4"/>
        <tr r="U14" s="4"/>
        <tr r="N17" s="4"/>
        <tr r="N17" s="4"/>
        <tr r="N17" s="4"/>
        <tr r="R28" s="4"/>
        <tr r="R28" s="4"/>
        <tr r="R28" s="4"/>
        <tr r="L28" s="4"/>
        <tr r="L28" s="4"/>
        <tr r="L28" s="4"/>
        <tr r="I27" s="4"/>
        <tr r="I27" s="4"/>
        <tr r="I27" s="4"/>
        <tr r="Z18" s="4"/>
        <tr r="Z18" s="4"/>
        <tr r="Z18" s="4"/>
        <tr r="V23" s="4"/>
        <tr r="V23" s="4"/>
        <tr r="V23" s="4"/>
        <tr r="P13" s="4"/>
        <tr r="P13" s="4"/>
        <tr r="P13" s="4"/>
        <tr r="P27" s="4"/>
        <tr r="P27" s="4"/>
        <tr r="P27" s="4"/>
        <tr r="I17" s="4"/>
        <tr r="I17" s="4"/>
        <tr r="I17" s="4"/>
        <tr r="N16" s="4"/>
        <tr r="N16" s="4"/>
        <tr r="N16" s="4"/>
        <tr r="H24" s="4"/>
        <tr r="H24" s="4"/>
        <tr r="H24" s="4"/>
        <tr r="S23" s="4"/>
        <tr r="S23" s="4"/>
        <tr r="S23" s="4"/>
        <tr r="L24" s="4"/>
        <tr r="L24" s="4"/>
        <tr r="L24" s="4"/>
        <tr r="S13" s="4"/>
        <tr r="S13" s="4"/>
        <tr r="S13" s="4"/>
        <tr r="Z20" s="4"/>
        <tr r="Z20" s="4"/>
        <tr r="Z20" s="4"/>
        <tr r="O20" s="4"/>
        <tr r="O20" s="4"/>
        <tr r="O20" s="4"/>
        <tr r="F28" s="4"/>
        <tr r="F28" s="4"/>
        <tr r="F28" s="4"/>
        <tr r="H17" s="4"/>
        <tr r="H17" s="4"/>
        <tr r="H17" s="4"/>
        <tr r="M14" s="4"/>
        <tr r="M14" s="4"/>
        <tr r="M14" s="4"/>
        <tr r="X19" s="4"/>
        <tr r="X19" s="4"/>
        <tr r="X19" s="4"/>
        <tr r="Y15" s="4"/>
        <tr r="Y15" s="4"/>
        <tr r="Y15" s="4"/>
        <tr r="H26" s="4"/>
        <tr r="H26" s="4"/>
        <tr r="H26" s="4"/>
        <tr r="AA17" s="4"/>
        <tr r="AA17" s="4"/>
        <tr r="AA17" s="4"/>
        <tr r="I25" s="4"/>
        <tr r="I25" s="4"/>
        <tr r="I25" s="4"/>
        <tr r="N20" s="4"/>
        <tr r="N20" s="4"/>
        <tr r="N20" s="4"/>
        <tr r="Y16" s="4"/>
        <tr r="Y16" s="4"/>
        <tr r="Y16" s="4"/>
        <tr r="C14" s="4"/>
        <tr r="C14" s="4"/>
        <tr r="C14" s="4"/>
        <tr r="B29" s="4"/>
        <tr r="B29" s="4"/>
        <tr r="B29" s="4"/>
        <tr r="T27" s="4"/>
        <tr r="T27" s="4"/>
        <tr r="T27" s="4"/>
        <tr r="D26" s="4"/>
        <tr r="D26" s="4"/>
        <tr r="D26" s="4"/>
        <tr r="H22" s="4"/>
        <tr r="H22" s="4"/>
        <tr r="H22" s="4"/>
        <tr r="N25" s="4"/>
        <tr r="N25" s="4"/>
        <tr r="N25" s="4"/>
        <tr r="K26" s="4"/>
        <tr r="K26" s="4"/>
        <tr r="K26" s="4"/>
        <tr r="B17" s="4"/>
        <tr r="B17" s="4"/>
        <tr r="B17" s="4"/>
        <tr r="C21" s="4"/>
        <tr r="C21" s="4"/>
        <tr r="C21" s="4"/>
        <tr r="U27" s="4"/>
        <tr r="U27" s="4"/>
        <tr r="U27" s="4"/>
        <tr r="K14" s="4"/>
        <tr r="K14" s="4"/>
        <tr r="K14" s="4"/>
        <tr r="AA21" s="4"/>
        <tr r="AA21" s="4"/>
        <tr r="AA21" s="4"/>
        <tr r="W19" s="4"/>
        <tr r="W19" s="4"/>
        <tr r="W19" s="4"/>
        <tr r="M26" s="4"/>
        <tr r="M26" s="4"/>
        <tr r="M26" s="4"/>
        <tr r="K25" s="4"/>
        <tr r="K25" s="4"/>
        <tr r="K25" s="4"/>
        <tr r="P16" s="4"/>
        <tr r="P16" s="4"/>
        <tr r="P16" s="4"/>
        <tr r="D17" s="4"/>
        <tr r="D17" s="4"/>
        <tr r="D17" s="4"/>
        <tr r="Y17" s="4"/>
        <tr r="Y17" s="4"/>
        <tr r="Y17" s="4"/>
        <tr r="AA25" s="4"/>
        <tr r="AA25" s="4"/>
        <tr r="AA25" s="4"/>
        <tr r="Z26" s="4"/>
        <tr r="Z26" s="4"/>
        <tr r="Z26" s="4"/>
        <tr r="N24" s="4"/>
        <tr r="N24" s="4"/>
        <tr r="N24" s="4"/>
        <tr r="B25" s="4"/>
        <tr r="B25" s="4"/>
        <tr r="B25" s="4"/>
        <tr r="G22" s="4"/>
        <tr r="G22" s="4"/>
        <tr r="G22" s="4"/>
        <tr r="K24" s="4"/>
        <tr r="K24" s="4"/>
        <tr r="K24" s="4"/>
        <tr r="AA26" s="4"/>
        <tr r="AA26" s="4"/>
        <tr r="AA26" s="4"/>
        <tr r="N23" s="4"/>
        <tr r="N23" s="4"/>
        <tr r="N23" s="4"/>
        <tr r="G15" s="4"/>
        <tr r="G15" s="4"/>
        <tr r="G15" s="4"/>
        <tr r="V14" s="4"/>
        <tr r="V14" s="4"/>
        <tr r="V14" s="4"/>
        <tr r="P25" s="4"/>
        <tr r="P25" s="4"/>
        <tr r="P25" s="4"/>
        <tr r="H29" s="4"/>
        <tr r="H29" s="4"/>
        <tr r="H29" s="4"/>
        <tr r="E25" s="4"/>
        <tr r="E25" s="4"/>
        <tr r="E25" s="4"/>
        <tr r="K19" s="4"/>
        <tr r="K19" s="4"/>
        <tr r="K19" s="4"/>
        <tr r="N22" s="4"/>
        <tr r="N22" s="4"/>
        <tr r="N22" s="4"/>
        <tr r="Q25" s="4"/>
        <tr r="Q25" s="4"/>
        <tr r="Q25" s="4"/>
        <tr r="E29" s="4"/>
        <tr r="E29" s="4"/>
        <tr r="E29" s="4"/>
        <tr r="N18" s="4"/>
        <tr r="N18" s="4"/>
        <tr r="N18" s="4"/>
        <tr r="O22" s="4"/>
        <tr r="O22" s="4"/>
        <tr r="O22" s="4"/>
        <tr r="O28" s="4"/>
        <tr r="O28" s="4"/>
        <tr r="O28" s="4"/>
        <tr r="Z16" s="4"/>
        <tr r="Z16" s="4"/>
        <tr r="Z16" s="4"/>
        <tr r="Y14" s="4"/>
        <tr r="Y14" s="4"/>
        <tr r="Y14" s="4"/>
        <tr r="AA16" s="4"/>
        <tr r="AA16" s="4"/>
        <tr r="AA16" s="4"/>
        <tr r="S15" s="4"/>
        <tr r="S15" s="4"/>
        <tr r="S15" s="4"/>
        <tr r="Z14" s="4"/>
        <tr r="Z14" s="4"/>
        <tr r="Z14" s="4"/>
        <tr r="T25" s="4"/>
        <tr r="T25" s="4"/>
        <tr r="T25" s="4"/>
        <tr r="E27" s="4"/>
        <tr r="E27" s="4"/>
        <tr r="E27" s="4"/>
        <tr r="AA24" s="4"/>
        <tr r="AA24" s="4"/>
        <tr r="AA24" s="4"/>
        <tr r="L21" s="4"/>
        <tr r="L21" s="4"/>
        <tr r="L21" s="4"/>
        <tr r="C16" s="4"/>
        <tr r="C16" s="4"/>
        <tr r="C16" s="4"/>
        <tr r="W21" s="4"/>
        <tr r="W21" s="4"/>
        <tr r="W21" s="4"/>
        <tr r="Q14" s="4"/>
        <tr r="Q14" s="4"/>
        <tr r="Q14" s="4"/>
        <tr r="Z21" s="4"/>
        <tr r="Z21" s="4"/>
        <tr r="Z21" s="4"/>
        <tr r="C13" s="4"/>
        <tr r="C13" s="4"/>
        <tr r="C13" s="4"/>
        <tr r="F29" s="4"/>
        <tr r="F29" s="4"/>
        <tr r="F29" s="4"/>
        <tr r="W22" s="4"/>
        <tr r="W22" s="4"/>
        <tr r="W22" s="4"/>
        <tr r="U28" s="4"/>
        <tr r="U28" s="4"/>
        <tr r="U28" s="4"/>
        <tr r="E21" s="4"/>
        <tr r="E21" s="4"/>
        <tr r="E21" s="4"/>
        <tr r="S17" s="4"/>
        <tr r="S17" s="4"/>
        <tr r="S17" s="4"/>
        <tr r="D18" s="4"/>
        <tr r="D18" s="4"/>
        <tr r="D18" s="4"/>
        <tr r="AA18" s="4"/>
        <tr r="AA18" s="4"/>
        <tr r="AA18" s="4"/>
        <tr r="S20" s="4"/>
        <tr r="S20" s="4"/>
        <tr r="S20" s="4"/>
        <tr r="Y20" s="4"/>
        <tr r="Y20" s="4"/>
        <tr r="Y20" s="4"/>
        <tr r="O27" s="4"/>
        <tr r="O27" s="4"/>
        <tr r="O27" s="4"/>
        <tr r="R14" s="4"/>
        <tr r="R14" s="4"/>
        <tr r="R14" s="4"/>
        <tr r="Q17" s="4"/>
        <tr r="Q17" s="4"/>
        <tr r="Q17" s="4"/>
        <tr r="D29" s="4"/>
        <tr r="D29" s="4"/>
        <tr r="D29" s="4"/>
        <tr r="P20" s="4"/>
        <tr r="P20" s="4"/>
        <tr r="P20" s="4"/>
        <tr r="D25" s="4"/>
        <tr r="D25" s="4"/>
        <tr r="D25" s="4"/>
        <tr r="X21" s="4"/>
        <tr r="X21" s="4"/>
        <tr r="X21" s="4"/>
        <tr r="R25" s="4"/>
        <tr r="R25" s="4"/>
        <tr r="R25" s="4"/>
        <tr r="E16" s="4"/>
        <tr r="E16" s="4"/>
        <tr r="E16" s="4"/>
        <tr r="Q21" s="4"/>
        <tr r="Q21" s="4"/>
        <tr r="Q21" s="4"/>
        <tr r="K17" s="4"/>
        <tr r="K17" s="4"/>
        <tr r="K17" s="4"/>
        <tr r="S25" s="4"/>
        <tr r="S25" s="4"/>
        <tr r="S25" s="4"/>
        <tr r="D16" s="4"/>
        <tr r="D16" s="4"/>
        <tr r="D16" s="4"/>
        <tr r="I21" s="4"/>
        <tr r="I21" s="4"/>
        <tr r="I21" s="4"/>
        <tr r="G29" s="4"/>
        <tr r="G29" s="4"/>
        <tr r="G29" s="4"/>
        <tr r="M20" s="4"/>
        <tr r="M20" s="4"/>
        <tr r="M20" s="4"/>
        <tr r="Q22" s="4"/>
        <tr r="Q22" s="4"/>
        <tr r="Q22" s="4"/>
        <tr r="T14" s="4"/>
        <tr r="T14" s="4"/>
        <tr r="T14" s="4"/>
        <tr r="V26" s="4"/>
        <tr r="V26" s="4"/>
        <tr r="V26" s="4"/>
        <tr r="H27" s="4"/>
        <tr r="H27" s="4"/>
        <tr r="H27" s="4"/>
        <tr r="Q15" s="4"/>
        <tr r="Q15" s="4"/>
        <tr r="Q15" s="4"/>
        <tr r="N21" s="4"/>
        <tr r="N21" s="4"/>
        <tr r="N21" s="4"/>
        <tr r="U20" s="4"/>
        <tr r="U20" s="4"/>
        <tr r="U20" s="4"/>
        <tr r="J14" s="4"/>
        <tr r="J14" s="4"/>
        <tr r="J14" s="4"/>
        <tr r="Q13" s="4"/>
        <tr r="Q13" s="4"/>
        <tr r="Q13" s="4"/>
        <tr r="I16" s="4"/>
        <tr r="I16" s="4"/>
        <tr r="I16" s="4"/>
        <tr r="P26" s="4"/>
        <tr r="P26" s="4"/>
        <tr r="P26" s="4"/>
        <tr r="L23" s="4"/>
        <tr r="L23" s="4"/>
        <tr r="L23" s="4"/>
        <tr r="T28" s="4"/>
        <tr r="T28" s="4"/>
        <tr r="T28" s="4"/>
        <tr r="O17" s="4"/>
        <tr r="O17" s="4"/>
        <tr r="O17" s="4"/>
        <tr r="V29" s="4"/>
        <tr r="V29" s="4"/>
        <tr r="V29" s="4"/>
        <tr r="J16" s="4"/>
        <tr r="J16" s="4"/>
        <tr r="J16" s="4"/>
        <tr r="J22" s="4"/>
        <tr r="J22" s="4"/>
        <tr r="J22" s="4"/>
        <tr r="H21" s="4"/>
        <tr r="H21" s="4"/>
        <tr r="H21" s="4"/>
        <tr r="Z19" s="4"/>
        <tr r="Z19" s="4"/>
        <tr r="Z19" s="4"/>
        <tr r="I13" s="4"/>
        <tr r="I13" s="4"/>
        <tr r="I13" s="4"/>
        <tr r="W24" s="4"/>
        <tr r="W24" s="4"/>
        <tr r="W24" s="4"/>
        <tr r="P15" s="4"/>
        <tr r="P15" s="4"/>
        <tr r="P15" s="4"/>
        <tr r="F13" s="4"/>
        <tr r="F13" s="4"/>
        <tr r="F13" s="4"/>
        <tr r="J24" s="4"/>
        <tr r="J24" s="4"/>
        <tr r="J24" s="4"/>
        <tr r="I20" s="4"/>
        <tr r="I20" s="4"/>
        <tr r="I20" s="4"/>
        <tr r="U13" s="4"/>
        <tr r="U13" s="4"/>
        <tr r="U13" s="4"/>
        <tr r="M13" s="4"/>
        <tr r="M13" s="4"/>
        <tr r="M13" s="4"/>
        <tr r="V28" s="4"/>
        <tr r="V28" s="4"/>
        <tr r="V28" s="4"/>
        <tr r="V19" s="4"/>
        <tr r="V19" s="4"/>
        <tr r="V19" s="4"/>
        <tr r="Q19" s="4"/>
        <tr r="Q19" s="4"/>
        <tr r="Q19" s="4"/>
        <tr r="U19" s="4"/>
        <tr r="U19" s="4"/>
        <tr r="U19" s="4"/>
        <tr r="L29" s="4"/>
        <tr r="L29" s="4"/>
        <tr r="L29" s="4"/>
        <tr r="K27" s="4"/>
        <tr r="K27" s="4"/>
        <tr r="K27" s="4"/>
        <tr r="D21" s="4"/>
        <tr r="D21" s="4"/>
        <tr r="D21" s="4"/>
        <tr r="F20" s="4"/>
        <tr r="F20" s="4"/>
        <tr r="F20" s="4"/>
        <tr r="H13" s="4"/>
        <tr r="H13" s="4"/>
        <tr r="H13" s="4"/>
        <tr r="Y18" s="4"/>
        <tr r="Y18" s="4"/>
        <tr r="Y18" s="4"/>
        <tr r="AA22" s="4"/>
        <tr r="AA22" s="4"/>
        <tr r="AA22" s="4"/>
        <tr r="J20" s="4"/>
        <tr r="J20" s="4"/>
        <tr r="J20" s="4"/>
        <tr r="V13" s="4"/>
        <tr r="V13" s="4"/>
        <tr r="V13" s="4"/>
        <tr r="M19" s="4"/>
        <tr r="M19" s="4"/>
        <tr r="M19" s="4"/>
        <tr r="W28" s="4"/>
        <tr r="W28" s="4"/>
        <tr r="W28" s="4"/>
        <tr r="T23" s="4"/>
        <tr r="T23" s="4"/>
        <tr r="T23" s="4"/>
        <tr r="Q26" s="4"/>
        <tr r="Q26" s="4"/>
        <tr r="Q26" s="4"/>
        <tr r="U22" s="4"/>
        <tr r="U22" s="4"/>
        <tr r="U22" s="4"/>
        <tr r="M29" s="4"/>
        <tr r="M29" s="4"/>
        <tr r="M29" s="4"/>
        <tr r="L27" s="4"/>
        <tr r="L27" s="4"/>
        <tr r="L27" s="4"/>
        <tr r="E20" s="4"/>
        <tr r="E20" s="4"/>
        <tr r="E20" s="4"/>
        <tr r="F23" s="4"/>
        <tr r="F23" s="4"/>
        <tr r="F23" s="4"/>
        <tr r="M24" s="4"/>
        <tr r="M24" s="4"/>
        <tr r="M24" s="4"/>
        <tr r="R21" s="4"/>
        <tr r="R21" s="4"/>
        <tr r="R21" s="4"/>
        <tr r="K20" s="4"/>
        <tr r="K20" s="4"/>
        <tr r="K20" s="4"/>
        <tr r="W13" s="4"/>
        <tr r="W13" s="4"/>
        <tr r="W13" s="4"/>
        <tr r="M15" s="4"/>
        <tr r="M15" s="4"/>
        <tr r="M15" s="4"/>
        <tr r="X28" s="4"/>
        <tr r="X28" s="4"/>
        <tr r="X28" s="4"/>
        <tr r="T20" s="4"/>
        <tr r="T20" s="4"/>
        <tr r="T20" s="4"/>
        <tr r="Q24" s="4"/>
        <tr r="Q24" s="4"/>
        <tr r="Q24" s="4"/>
        <tr r="L19" s="4"/>
        <tr r="L19" s="4"/>
        <tr r="L19" s="4"/>
        <tr r="N29" s="4"/>
        <tr r="N29" s="4"/>
        <tr r="N29" s="4"/>
        <tr r="M27" s="4"/>
        <tr r="M27" s="4"/>
        <tr r="M27" s="4"/>
        <tr r="D20" s="4"/>
        <tr r="D20" s="4"/>
        <tr r="D20" s="4"/>
        <tr r="Z23" s="4"/>
        <tr r="Z23" s="4"/>
        <tr r="Z23" s="4"/>
        <tr r="P14" s="4"/>
        <tr r="P14" s="4"/>
        <tr r="P14" s="4"/>
        <tr r="V24" s="4"/>
        <tr r="V24" s="4"/>
        <tr r="V24" s="4"/>
        <tr r="K23" s="4"/>
        <tr r="K23" s="4"/>
        <tr r="K23" s="4"/>
        <tr r="U21" s="4"/>
        <tr r="U21" s="4"/>
        <tr r="U21" s="4"/>
        <tr r="S18" s="4"/>
        <tr r="S18" s="4"/>
        <tr r="S18" s="4"/>
        <tr r="L20" s="4"/>
        <tr r="L20" s="4"/>
        <tr r="L20" s="4"/>
        <tr r="X13" s="4"/>
        <tr r="X13" s="4"/>
        <tr r="X13" s="4"/>
        <tr r="M18" s="4"/>
        <tr r="M18" s="4"/>
        <tr r="M18" s="4"/>
        <tr r="Y28" s="4"/>
        <tr r="Y28" s="4"/>
        <tr r="Y28" s="4"/>
        <tr r="T19" s="4"/>
        <tr r="T19" s="4"/>
        <tr r="T19" s="4"/>
        <tr r="F16" s="4"/>
        <tr r="F16" s="4"/>
        <tr r="F16" s="4"/>
        <tr r="L26" s="4"/>
        <tr r="L26" s="4"/>
        <tr r="L26" s="4"/>
        <tr r="O29" s="4"/>
        <tr r="O29" s="4"/>
        <tr r="O29" s="4"/>
        <tr r="G27" s="4"/>
        <tr r="G27" s="4"/>
        <tr r="G27" s="4"/>
        <tr r="E19" s="4"/>
        <tr r="E19" s="4"/>
        <tr r="E19" s="4"/>
        <tr r="J15" s="4"/>
        <tr r="J15" s="4"/>
        <tr r="J15" s="4"/>
        <tr r="X18" s="4"/>
        <tr r="X18" s="4"/>
        <tr r="X18" s="4"/>
        <tr r="K16" s="4"/>
        <tr r="K16" s="4"/>
        <tr r="K16" s="4"/>
        <tr r="V18" s="4"/>
        <tr r="V18" s="4"/>
        <tr r="V18" s="4"/>
        <tr r="T15" s="4"/>
        <tr r="T15" s="4"/>
        <tr r="T15" s="4"/>
        <tr r="F19" s="4"/>
        <tr r="F19" s="4"/>
        <tr r="F19" s="4"/>
        <tr r="Y13" s="4"/>
        <tr r="Y13" s="4"/>
        <tr r="Y13" s="4"/>
        <tr r="M23" s="4"/>
        <tr r="M23" s="4"/>
        <tr r="M23" s="4"/>
        <tr r="Z28" s="4"/>
        <tr r="Z28" s="4"/>
        <tr r="Z28" s="4"/>
        <tr r="T22" s="4"/>
        <tr r="T22" s="4"/>
        <tr r="T22" s="4"/>
        <tr r="G16" s="4"/>
        <tr r="G16" s="4"/>
        <tr r="G16" s="4"/>
        <tr r="L13" s="4"/>
        <tr r="L13" s="4"/>
        <tr r="L13" s="4"/>
        <tr r="P29" s="4"/>
        <tr r="P29" s="4"/>
        <tr r="P29" s="4"/>
        <tr r="N27" s="4"/>
        <tr r="N27" s="4"/>
        <tr r="N27" s="4"/>
        <tr r="D19" s="4"/>
        <tr r="D19" s="4"/>
        <tr r="D19" s="4"/>
        <tr r="P21" s="4"/>
        <tr r="P21" s="4"/>
        <tr r="P21" s="4"/>
        <tr r="J17" s="4"/>
        <tr r="J17" s="4"/>
        <tr r="J17" s="4"/>
        <tr r="Z24" s="4"/>
        <tr r="Z24" s="4"/>
        <tr r="Z24" s="4"/>
        <tr r="M17" s="4"/>
        <tr r="M17" s="4"/>
        <tr r="M17" s="4"/>
        <tr r="G19" s="4"/>
        <tr r="G19" s="4"/>
        <tr r="G19" s="4"/>
        <tr r="Z13" s="4"/>
        <tr r="Z13" s="4"/>
        <tr r="Z13" s="4"/>
        <tr r="M22" s="4"/>
        <tr r="M22" s="4"/>
        <tr r="M22" s="4"/>
        <tr r="AA28" s="4"/>
        <tr r="AA28" s="4"/>
        <tr r="AA28" s="4"/>
        <tr r="T24" s="4"/>
        <tr r="T24" s="4"/>
        <tr r="T24" s="4"/>
        <tr r="H16" s="4"/>
        <tr r="H16" s="4"/>
        <tr r="H16" s="4"/>
        <tr r="L15" s="4"/>
        <tr r="L15" s="4"/>
        <tr r="L15" s="4"/>
        <tr r="R29" s="4"/>
        <tr r="R29" s="4"/>
        <tr r="R29" s="4"/>
        <tr r="F27" s="4"/>
        <tr r="F27" s="4"/>
        <tr r="F27" s="4"/>
        <tr r="E18" s="4"/>
        <tr r="E18" s="4"/>
        <tr r="E18" s="4"/>
        <tr r="Y23" s="4"/>
        <tr r="Y23" s="4"/>
        <tr r="Y23" s="4"/>
        <tr r="I24" s="4"/>
        <tr r="I24" s="4"/>
        <tr r="I24" s="4"/>
        <tr r="K13" s="4"/>
        <tr r="K13" s="4"/>
        <tr r="K13" s="4"/>
        <tr r="R18" s="4"/>
        <tr r="R18" s="4"/>
        <tr r="R18" s="4"/>
        <tr r="B28" s="4"/>
        <tr r="B28" s="4"/>
        <tr r="B28" s="4"/>
        <tr r="O18" s="4"/>
        <tr r="O18" s="4"/>
        <tr r="O18" s="4"/>
        <tr r="W17" s="4"/>
        <tr r="W17" s="4"/>
        <tr r="W17" s="4"/>
        <tr r="J18" s="4"/>
        <tr r="J18" s="4"/>
        <tr r="J18" s="4"/>
        <tr r="Y25" s="4"/>
        <tr r="Y25" s="4"/>
        <tr r="Y25" s="4"/>
        <tr r="Y26" s="4"/>
        <tr r="Y26" s="4"/>
        <tr r="Y26" s="4"/>
        <tr r="P23" s="4"/>
        <tr r="P23" s="4"/>
        <tr r="P23" s="4"/>
        <tr r="E14" s="4"/>
        <tr r="E14" s="4"/>
        <tr r="E14" s="4"/>
        <tr r="P24" s="4"/>
        <tr r="P24" s="4"/>
        <tr r="P24" s="4"/>
      </tp>
    </main>
  </volType>
</volTypes>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55" Type="http://schemas.openxmlformats.org/officeDocument/2006/relationships/customXml" Target="../customXml/item31.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5.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8" Type="http://schemas.openxmlformats.org/officeDocument/2006/relationships/customXml" Target="../customXml/item34.xml"/><Relationship Id="rId5" Type="http://schemas.openxmlformats.org/officeDocument/2006/relationships/worksheet" Target="worksheets/sheet5.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56" Type="http://schemas.openxmlformats.org/officeDocument/2006/relationships/customXml" Target="../customXml/item32.xml"/><Relationship Id="rId8" Type="http://schemas.openxmlformats.org/officeDocument/2006/relationships/pivotCacheDefinition" Target="pivotCache/pivotCacheDefinition2.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59" Type="http://schemas.openxmlformats.org/officeDocument/2006/relationships/customXml" Target="../customXml/item35.xml"/><Relationship Id="rId20" Type="http://schemas.openxmlformats.org/officeDocument/2006/relationships/styles" Target="styles.xml"/><Relationship Id="rId41" Type="http://schemas.openxmlformats.org/officeDocument/2006/relationships/customXml" Target="../customXml/item17.xml"/><Relationship Id="rId54"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worksheet" Target="worksheets/sheet6.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57" Type="http://schemas.openxmlformats.org/officeDocument/2006/relationships/customXml" Target="../customXml/item33.xml"/><Relationship Id="rId10" Type="http://schemas.openxmlformats.org/officeDocument/2006/relationships/pivotCacheDefinition" Target="pivotCache/pivotCacheDefinition4.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60" Type="http://schemas.openxmlformats.org/officeDocument/2006/relationships/volatileDependencies" Target="volatileDependenci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[Actual vs Budget Financial DashboardNancyHamed.xlsx]📊 Pivot_Tables!PivotTable7</c:name>
    <c:fmtId val="9"/>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 Pivot_Tables'!$C$9</c:f>
              <c:strCache>
                <c:ptCount val="1"/>
                <c:pt idx="0">
                  <c:v>Budget</c:v>
                </c:pt>
              </c:strCache>
            </c:strRef>
          </c:tx>
          <c:spPr>
            <a:solidFill>
              <a:schemeClr val="accent1"/>
            </a:solidFill>
            <a:ln>
              <a:noFill/>
            </a:ln>
            <a:effectLst/>
          </c:spPr>
          <c:invertIfNegative val="0"/>
          <c:cat>
            <c:strRef>
              <c:f>'📊 Pivot_Tables'!$B$10:$B$17</c:f>
              <c:strCache>
                <c:ptCount val="7"/>
                <c:pt idx="0">
                  <c:v>Account</c:v>
                </c:pt>
                <c:pt idx="1">
                  <c:v>Corporate</c:v>
                </c:pt>
                <c:pt idx="2">
                  <c:v>Finance</c:v>
                </c:pt>
                <c:pt idx="3">
                  <c:v>General and Administration</c:v>
                </c:pt>
                <c:pt idx="4">
                  <c:v>Operations</c:v>
                </c:pt>
                <c:pt idx="5">
                  <c:v>Project</c:v>
                </c:pt>
                <c:pt idx="6">
                  <c:v>Sales &amp; Marketing</c:v>
                </c:pt>
              </c:strCache>
            </c:strRef>
          </c:cat>
          <c:val>
            <c:numRef>
              <c:f>'📊 Pivot_Tables'!$C$10:$C$17</c:f>
              <c:numCache>
                <c:formatCode>#,##0</c:formatCode>
                <c:ptCount val="7"/>
                <c:pt idx="0">
                  <c:v>-3373888.25</c:v>
                </c:pt>
                <c:pt idx="1">
                  <c:v>-3426187</c:v>
                </c:pt>
                <c:pt idx="2">
                  <c:v>-3406790</c:v>
                </c:pt>
                <c:pt idx="3">
                  <c:v>-3645893</c:v>
                </c:pt>
                <c:pt idx="4">
                  <c:v>-3442117</c:v>
                </c:pt>
                <c:pt idx="5">
                  <c:v>-3547120.75</c:v>
                </c:pt>
                <c:pt idx="6">
                  <c:v>99842775.25</c:v>
                </c:pt>
              </c:numCache>
            </c:numRef>
          </c:val>
          <c:extLst xmlns:c16r2="http://schemas.microsoft.com/office/drawing/2015/06/chart">
            <c:ext xmlns:c16="http://schemas.microsoft.com/office/drawing/2014/chart" uri="{C3380CC4-5D6E-409C-BE32-E72D297353CC}">
              <c16:uniqueId val="{00000000-72CE-4B69-AAC2-141A67679E8A}"/>
            </c:ext>
          </c:extLst>
        </c:ser>
        <c:ser>
          <c:idx val="1"/>
          <c:order val="1"/>
          <c:tx>
            <c:strRef>
              <c:f>'📊 Pivot_Tables'!$D$9</c:f>
              <c:strCache>
                <c:ptCount val="1"/>
                <c:pt idx="0">
                  <c:v>Actual</c:v>
                </c:pt>
              </c:strCache>
            </c:strRef>
          </c:tx>
          <c:spPr>
            <a:solidFill>
              <a:schemeClr val="accent2"/>
            </a:solidFill>
            <a:ln>
              <a:noFill/>
            </a:ln>
            <a:effectLst/>
          </c:spPr>
          <c:invertIfNegative val="0"/>
          <c:cat>
            <c:strRef>
              <c:f>'📊 Pivot_Tables'!$B$10:$B$17</c:f>
              <c:strCache>
                <c:ptCount val="7"/>
                <c:pt idx="0">
                  <c:v>Account</c:v>
                </c:pt>
                <c:pt idx="1">
                  <c:v>Corporate</c:v>
                </c:pt>
                <c:pt idx="2">
                  <c:v>Finance</c:v>
                </c:pt>
                <c:pt idx="3">
                  <c:v>General and Administration</c:v>
                </c:pt>
                <c:pt idx="4">
                  <c:v>Operations</c:v>
                </c:pt>
                <c:pt idx="5">
                  <c:v>Project</c:v>
                </c:pt>
                <c:pt idx="6">
                  <c:v>Sales &amp; Marketing</c:v>
                </c:pt>
              </c:strCache>
            </c:strRef>
          </c:cat>
          <c:val>
            <c:numRef>
              <c:f>'📊 Pivot_Tables'!$D$10:$D$17</c:f>
              <c:numCache>
                <c:formatCode>#,##0</c:formatCode>
                <c:ptCount val="7"/>
                <c:pt idx="0">
                  <c:v>-3161713</c:v>
                </c:pt>
                <c:pt idx="1">
                  <c:v>-4942350</c:v>
                </c:pt>
                <c:pt idx="2">
                  <c:v>-3149941</c:v>
                </c:pt>
                <c:pt idx="3">
                  <c:v>-2875664</c:v>
                </c:pt>
                <c:pt idx="4">
                  <c:v>-2831710</c:v>
                </c:pt>
                <c:pt idx="5">
                  <c:v>-4050364</c:v>
                </c:pt>
                <c:pt idx="6">
                  <c:v>103729797</c:v>
                </c:pt>
              </c:numCache>
            </c:numRef>
          </c:val>
          <c:extLst xmlns:c16r2="http://schemas.microsoft.com/office/drawing/2015/06/chart">
            <c:ext xmlns:c16="http://schemas.microsoft.com/office/drawing/2014/chart" uri="{C3380CC4-5D6E-409C-BE32-E72D297353CC}">
              <c16:uniqueId val="{00000001-72CE-4B69-AAC2-141A67679E8A}"/>
            </c:ext>
          </c:extLst>
        </c:ser>
        <c:dLbls>
          <c:showLegendKey val="0"/>
          <c:showVal val="0"/>
          <c:showCatName val="0"/>
          <c:showSerName val="0"/>
          <c:showPercent val="0"/>
          <c:showBubbleSize val="0"/>
        </c:dLbls>
        <c:gapWidth val="219"/>
        <c:overlap val="-27"/>
        <c:axId val="-141909584"/>
        <c:axId val="-141908496"/>
      </c:barChart>
      <c:catAx>
        <c:axId val="-14190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08496"/>
        <c:crosses val="autoZero"/>
        <c:auto val="1"/>
        <c:lblAlgn val="ctr"/>
        <c:lblOffset val="100"/>
        <c:noMultiLvlLbl val="0"/>
      </c:catAx>
      <c:valAx>
        <c:axId val="-1419084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095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[Actual vs Budget Financial DashboardNancyHamed.xlsx]📊 Pivot_Tables!PivotTable7</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Departments</a:t>
            </a:r>
          </a:p>
          <a:p>
            <a:pPr>
              <a:defRPr/>
            </a:pP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 Pivot_Tables'!$C$9</c:f>
              <c:strCache>
                <c:ptCount val="1"/>
                <c:pt idx="0">
                  <c:v>Budget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1-9105-46D5-8D81-287A6059050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3-9105-46D5-8D81-287A6059050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5-9105-46D5-8D81-287A6059050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7-9105-46D5-8D81-287A6059050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9-9105-46D5-8D81-287A6059050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B-9105-46D5-8D81-287A6059050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D-9105-46D5-8D81-287A605905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 Pivot_Tables'!$B$10:$B$17</c:f>
              <c:strCache>
                <c:ptCount val="7"/>
                <c:pt idx="0">
                  <c:v>Account</c:v>
                </c:pt>
                <c:pt idx="1">
                  <c:v>Corporate</c:v>
                </c:pt>
                <c:pt idx="2">
                  <c:v>Finance</c:v>
                </c:pt>
                <c:pt idx="3">
                  <c:v>General and Administration</c:v>
                </c:pt>
                <c:pt idx="4">
                  <c:v>Operations</c:v>
                </c:pt>
                <c:pt idx="5">
                  <c:v>Project</c:v>
                </c:pt>
                <c:pt idx="6">
                  <c:v>Sales &amp; Marketing</c:v>
                </c:pt>
              </c:strCache>
            </c:strRef>
          </c:cat>
          <c:val>
            <c:numRef>
              <c:f>'📊 Pivot_Tables'!$C$10:$C$17</c:f>
              <c:numCache>
                <c:formatCode>#,##0</c:formatCode>
                <c:ptCount val="7"/>
                <c:pt idx="0">
                  <c:v>-3373888.25</c:v>
                </c:pt>
                <c:pt idx="1">
                  <c:v>-3426187</c:v>
                </c:pt>
                <c:pt idx="2">
                  <c:v>-3406790</c:v>
                </c:pt>
                <c:pt idx="3">
                  <c:v>-3645893</c:v>
                </c:pt>
                <c:pt idx="4">
                  <c:v>-3442117</c:v>
                </c:pt>
                <c:pt idx="5">
                  <c:v>-3547120.75</c:v>
                </c:pt>
                <c:pt idx="6">
                  <c:v>99842775.25</c:v>
                </c:pt>
              </c:numCache>
            </c:numRef>
          </c:val>
          <c:extLst xmlns:c16r2="http://schemas.microsoft.com/office/drawing/2015/06/chart">
            <c:ext xmlns:c16="http://schemas.microsoft.com/office/drawing/2014/chart" uri="{C3380CC4-5D6E-409C-BE32-E72D297353CC}">
              <c16:uniqueId val="{0000000E-9105-46D5-8D81-287A60590500}"/>
            </c:ext>
          </c:extLst>
        </c:ser>
        <c:ser>
          <c:idx val="1"/>
          <c:order val="1"/>
          <c:tx>
            <c:strRef>
              <c:f>'📊 Pivot_Tables'!$D$9</c:f>
              <c:strCache>
                <c:ptCount val="1"/>
                <c:pt idx="0">
                  <c:v>Actual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10-9105-46D5-8D81-287A6059050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12-9105-46D5-8D81-287A6059050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14-9105-46D5-8D81-287A6059050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16-9105-46D5-8D81-287A6059050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18-9105-46D5-8D81-287A6059050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1A-9105-46D5-8D81-287A6059050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1C-9105-46D5-8D81-287A60590500}"/>
              </c:ext>
            </c:extLst>
          </c:dPt>
          <c:cat>
            <c:strRef>
              <c:f>'📊 Pivot_Tables'!$B$10:$B$17</c:f>
              <c:strCache>
                <c:ptCount val="7"/>
                <c:pt idx="0">
                  <c:v>Account</c:v>
                </c:pt>
                <c:pt idx="1">
                  <c:v>Corporate</c:v>
                </c:pt>
                <c:pt idx="2">
                  <c:v>Finance</c:v>
                </c:pt>
                <c:pt idx="3">
                  <c:v>General and Administration</c:v>
                </c:pt>
                <c:pt idx="4">
                  <c:v>Operations</c:v>
                </c:pt>
                <c:pt idx="5">
                  <c:v>Project</c:v>
                </c:pt>
                <c:pt idx="6">
                  <c:v>Sales &amp; Marketing</c:v>
                </c:pt>
              </c:strCache>
            </c:strRef>
          </c:cat>
          <c:val>
            <c:numRef>
              <c:f>'📊 Pivot_Tables'!$D$10:$D$17</c:f>
              <c:numCache>
                <c:formatCode>#,##0</c:formatCode>
                <c:ptCount val="7"/>
                <c:pt idx="0">
                  <c:v>-3161713</c:v>
                </c:pt>
                <c:pt idx="1">
                  <c:v>-4942350</c:v>
                </c:pt>
                <c:pt idx="2">
                  <c:v>-3149941</c:v>
                </c:pt>
                <c:pt idx="3">
                  <c:v>-2875664</c:v>
                </c:pt>
                <c:pt idx="4">
                  <c:v>-2831710</c:v>
                </c:pt>
                <c:pt idx="5">
                  <c:v>-4050364</c:v>
                </c:pt>
                <c:pt idx="6">
                  <c:v>103729797</c:v>
                </c:pt>
              </c:numCache>
            </c:numRef>
          </c:val>
          <c:extLst xmlns:c16r2="http://schemas.microsoft.com/office/drawing/2015/06/chart">
            <c:ext xmlns:c16="http://schemas.microsoft.com/office/drawing/2014/chart" uri="{C3380CC4-5D6E-409C-BE32-E72D297353CC}">
              <c16:uniqueId val="{0000001D-9105-46D5-8D81-287A6059050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[Actual vs Budget Financial DashboardNancyHamed.xlsx]📊 Pivot_Tables!PivotTable9</c:name>
    <c:fmtId val="18"/>
  </c:pivotSource>
  <c:chart>
    <c:autoTitleDeleted val="1"/>
    <c:pivotFmts>
      <c:pivotFmt>
        <c:idx val="0"/>
      </c:pivotFmt>
      <c:pivotFmt>
        <c:idx val="1"/>
      </c:pivotFmt>
      <c:pivotFmt>
        <c:idx val="2"/>
      </c:pivotFmt>
      <c:pivotFmt>
        <c:idx val="3"/>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bar"/>
        <c:grouping val="clustered"/>
        <c:varyColors val="0"/>
        <c:ser>
          <c:idx val="0"/>
          <c:order val="0"/>
          <c:tx>
            <c:strRef>
              <c:f>'📊 Pivot_Tables'!$C$37</c:f>
              <c:strCache>
                <c:ptCount val="1"/>
                <c:pt idx="0">
                  <c:v>Budget</c:v>
                </c:pt>
              </c:strCache>
            </c:strRef>
          </c:tx>
          <c:spPr>
            <a:solidFill>
              <a:schemeClr val="accent1"/>
            </a:solidFill>
            <a:ln>
              <a:noFill/>
            </a:ln>
            <a:effectLst/>
          </c:spPr>
          <c:invertIfNegative val="0"/>
          <c:cat>
            <c:strRef>
              <c:f>'📊 Pivot_Tables'!$B$38:$B$54</c:f>
              <c:strCache>
                <c:ptCount val="16"/>
                <c:pt idx="0">
                  <c:v>Sales</c:v>
                </c:pt>
                <c:pt idx="1">
                  <c:v>Discounts</c:v>
                </c:pt>
                <c:pt idx="2">
                  <c:v>Cost of Sales</c:v>
                </c:pt>
                <c:pt idx="3">
                  <c:v>Commissions</c:v>
                </c:pt>
                <c:pt idx="4">
                  <c:v>Conferences</c:v>
                </c:pt>
                <c:pt idx="5">
                  <c:v>Employee Benefits</c:v>
                </c:pt>
                <c:pt idx="6">
                  <c:v>Furniture, Fixtures, and Equipment</c:v>
                </c:pt>
                <c:pt idx="7">
                  <c:v>Marketing Materials</c:v>
                </c:pt>
                <c:pt idx="8">
                  <c:v>Office Supplies</c:v>
                </c:pt>
                <c:pt idx="9">
                  <c:v>Professional Services</c:v>
                </c:pt>
                <c:pt idx="10">
                  <c:v>Rent</c:v>
                </c:pt>
                <c:pt idx="11">
                  <c:v>Salaries</c:v>
                </c:pt>
                <c:pt idx="12">
                  <c:v>Vehicles</c:v>
                </c:pt>
                <c:pt idx="13">
                  <c:v>Telephone</c:v>
                </c:pt>
                <c:pt idx="14">
                  <c:v>Travel</c:v>
                </c:pt>
                <c:pt idx="15">
                  <c:v>Utilities</c:v>
                </c:pt>
              </c:strCache>
            </c:strRef>
          </c:cat>
          <c:val>
            <c:numRef>
              <c:f>'📊 Pivot_Tables'!$C$38:$C$54</c:f>
              <c:numCache>
                <c:formatCode>#,##0</c:formatCode>
                <c:ptCount val="16"/>
                <c:pt idx="0">
                  <c:v>105300402</c:v>
                </c:pt>
                <c:pt idx="1">
                  <c:v>-89075.5</c:v>
                </c:pt>
                <c:pt idx="2">
                  <c:v>-1554236</c:v>
                </c:pt>
                <c:pt idx="3">
                  <c:v>-471142</c:v>
                </c:pt>
                <c:pt idx="4">
                  <c:v>-44537</c:v>
                </c:pt>
                <c:pt idx="5">
                  <c:v>-1493626.25</c:v>
                </c:pt>
                <c:pt idx="6">
                  <c:v>-102029.75</c:v>
                </c:pt>
                <c:pt idx="7">
                  <c:v>-24385.75</c:v>
                </c:pt>
                <c:pt idx="8">
                  <c:v>-192502.5</c:v>
                </c:pt>
                <c:pt idx="9">
                  <c:v>-52731.5</c:v>
                </c:pt>
                <c:pt idx="10">
                  <c:v>-381818.75</c:v>
                </c:pt>
                <c:pt idx="11">
                  <c:v>-19507681</c:v>
                </c:pt>
                <c:pt idx="12">
                  <c:v>-435654.25</c:v>
                </c:pt>
                <c:pt idx="13">
                  <c:v>-1029449</c:v>
                </c:pt>
                <c:pt idx="14">
                  <c:v>-520583</c:v>
                </c:pt>
                <c:pt idx="15">
                  <c:v>-400170.5</c:v>
                </c:pt>
              </c:numCache>
            </c:numRef>
          </c:val>
          <c:extLst xmlns:c16r2="http://schemas.microsoft.com/office/drawing/2015/06/chart">
            <c:ext xmlns:c16="http://schemas.microsoft.com/office/drawing/2014/chart" uri="{C3380CC4-5D6E-409C-BE32-E72D297353CC}">
              <c16:uniqueId val="{00000000-CAB6-4745-BBB3-2E8F5593C65A}"/>
            </c:ext>
          </c:extLst>
        </c:ser>
        <c:ser>
          <c:idx val="1"/>
          <c:order val="1"/>
          <c:tx>
            <c:strRef>
              <c:f>'📊 Pivot_Tables'!$D$37</c:f>
              <c:strCache>
                <c:ptCount val="1"/>
                <c:pt idx="0">
                  <c:v>Actual</c:v>
                </c:pt>
              </c:strCache>
            </c:strRef>
          </c:tx>
          <c:spPr>
            <a:solidFill>
              <a:schemeClr val="accent2"/>
            </a:solidFill>
            <a:ln>
              <a:noFill/>
            </a:ln>
            <a:effectLst/>
          </c:spPr>
          <c:invertIfNegative val="0"/>
          <c:cat>
            <c:strRef>
              <c:f>'📊 Pivot_Tables'!$B$38:$B$54</c:f>
              <c:strCache>
                <c:ptCount val="16"/>
                <c:pt idx="0">
                  <c:v>Sales</c:v>
                </c:pt>
                <c:pt idx="1">
                  <c:v>Discounts</c:v>
                </c:pt>
                <c:pt idx="2">
                  <c:v>Cost of Sales</c:v>
                </c:pt>
                <c:pt idx="3">
                  <c:v>Commissions</c:v>
                </c:pt>
                <c:pt idx="4">
                  <c:v>Conferences</c:v>
                </c:pt>
                <c:pt idx="5">
                  <c:v>Employee Benefits</c:v>
                </c:pt>
                <c:pt idx="6">
                  <c:v>Furniture, Fixtures, and Equipment</c:v>
                </c:pt>
                <c:pt idx="7">
                  <c:v>Marketing Materials</c:v>
                </c:pt>
                <c:pt idx="8">
                  <c:v>Office Supplies</c:v>
                </c:pt>
                <c:pt idx="9">
                  <c:v>Professional Services</c:v>
                </c:pt>
                <c:pt idx="10">
                  <c:v>Rent</c:v>
                </c:pt>
                <c:pt idx="11">
                  <c:v>Salaries</c:v>
                </c:pt>
                <c:pt idx="12">
                  <c:v>Vehicles</c:v>
                </c:pt>
                <c:pt idx="13">
                  <c:v>Telephone</c:v>
                </c:pt>
                <c:pt idx="14">
                  <c:v>Travel</c:v>
                </c:pt>
                <c:pt idx="15">
                  <c:v>Utilities</c:v>
                </c:pt>
              </c:strCache>
            </c:strRef>
          </c:cat>
          <c:val>
            <c:numRef>
              <c:f>'📊 Pivot_Tables'!$D$38:$D$54</c:f>
              <c:numCache>
                <c:formatCode>#,##0</c:formatCode>
                <c:ptCount val="16"/>
                <c:pt idx="0">
                  <c:v>159872424</c:v>
                </c:pt>
                <c:pt idx="1">
                  <c:v>-5345940</c:v>
                </c:pt>
                <c:pt idx="2">
                  <c:v>-33461754</c:v>
                </c:pt>
                <c:pt idx="3">
                  <c:v>-6129087</c:v>
                </c:pt>
                <c:pt idx="4">
                  <c:v>-58022</c:v>
                </c:pt>
                <c:pt idx="5">
                  <c:v>-1966364</c:v>
                </c:pt>
                <c:pt idx="6">
                  <c:v>-130343</c:v>
                </c:pt>
                <c:pt idx="7">
                  <c:v>-285944</c:v>
                </c:pt>
                <c:pt idx="8">
                  <c:v>-236514</c:v>
                </c:pt>
                <c:pt idx="9">
                  <c:v>-49586</c:v>
                </c:pt>
                <c:pt idx="10">
                  <c:v>-154750</c:v>
                </c:pt>
                <c:pt idx="11">
                  <c:v>-25754842</c:v>
                </c:pt>
                <c:pt idx="12">
                  <c:v>-501273</c:v>
                </c:pt>
                <c:pt idx="13">
                  <c:v>-2208714</c:v>
                </c:pt>
                <c:pt idx="14">
                  <c:v>-368939</c:v>
                </c:pt>
                <c:pt idx="15">
                  <c:v>-502297</c:v>
                </c:pt>
              </c:numCache>
            </c:numRef>
          </c:val>
          <c:extLst xmlns:c16r2="http://schemas.microsoft.com/office/drawing/2015/06/chart">
            <c:ext xmlns:c16="http://schemas.microsoft.com/office/drawing/2014/chart" uri="{C3380CC4-5D6E-409C-BE32-E72D297353CC}">
              <c16:uniqueId val="{00000001-CAB6-4745-BBB3-2E8F5593C65A}"/>
            </c:ext>
          </c:extLst>
        </c:ser>
        <c:dLbls>
          <c:showLegendKey val="0"/>
          <c:showVal val="0"/>
          <c:showCatName val="0"/>
          <c:showSerName val="0"/>
          <c:showPercent val="0"/>
          <c:showBubbleSize val="0"/>
        </c:dLbls>
        <c:gapWidth val="182"/>
        <c:axId val="-141905232"/>
        <c:axId val="-141907952"/>
      </c:barChart>
      <c:catAx>
        <c:axId val="-141905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07952"/>
        <c:crosses val="autoZero"/>
        <c:auto val="1"/>
        <c:lblAlgn val="ctr"/>
        <c:lblOffset val="100"/>
        <c:noMultiLvlLbl val="0"/>
      </c:catAx>
      <c:valAx>
        <c:axId val="-14190795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052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a:p>
            <a:pPr>
              <a:defRPr/>
            </a:pP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 Pivot_Tables'!$J$9</c:f>
              <c:strCache>
                <c:ptCount val="1"/>
                <c:pt idx="0">
                  <c:v>Sum of Budget Amount</c:v>
                </c:pt>
              </c:strCache>
            </c:strRef>
          </c:tx>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Pivot_Tables'!$H$10:$H$21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Pivot_Tables'!$J$10:$J$21</c:f>
              <c:numCache>
                <c:formatCode>General</c:formatCode>
                <c:ptCount val="12"/>
                <c:pt idx="0">
                  <c:v>5869102.6666666698</c:v>
                </c:pt>
                <c:pt idx="1">
                  <c:v>5012000.166666667</c:v>
                </c:pt>
                <c:pt idx="2">
                  <c:v>5642143.583333333</c:v>
                </c:pt>
                <c:pt idx="3">
                  <c:v>6623501.25</c:v>
                </c:pt>
                <c:pt idx="4">
                  <c:v>5930284.083333333</c:v>
                </c:pt>
                <c:pt idx="5">
                  <c:v>6726556.916666666</c:v>
                </c:pt>
                <c:pt idx="6">
                  <c:v>7624683.25</c:v>
                </c:pt>
                <c:pt idx="7">
                  <c:v>7002842.416666666</c:v>
                </c:pt>
                <c:pt idx="8">
                  <c:v>6907979.75</c:v>
                </c:pt>
                <c:pt idx="9">
                  <c:v>6686251.25</c:v>
                </c:pt>
                <c:pt idx="10">
                  <c:v>7566332.166666666</c:v>
                </c:pt>
                <c:pt idx="11">
                  <c:v>7409101.75</c:v>
                </c:pt>
              </c:numCache>
            </c:numRef>
          </c:val>
          <c:extLst xmlns:c16r2="http://schemas.microsoft.com/office/drawing/2015/06/chart">
            <c:ext xmlns:c16="http://schemas.microsoft.com/office/drawing/2014/chart" uri="{C3380CC4-5D6E-409C-BE32-E72D297353CC}">
              <c16:uniqueId val="{00000001-7731-49DC-A508-88FAB286CE7B}"/>
            </c:ext>
          </c:extLst>
        </c:ser>
        <c:dLbls>
          <c:showLegendKey val="0"/>
          <c:showVal val="0"/>
          <c:showCatName val="0"/>
          <c:showSerName val="0"/>
          <c:showPercent val="0"/>
          <c:showBubbleSize val="0"/>
        </c:dLbls>
        <c:gapWidth val="219"/>
        <c:axId val="-141907408"/>
        <c:axId val="-141910128"/>
        <c:extLst xmlns:c16r2="http://schemas.microsoft.com/office/drawing/2015/06/chart">
          <c:ext xmlns:c15="http://schemas.microsoft.com/office/drawing/2012/chart" uri="{02D57815-91ED-43cb-92C2-25804820EDAC}">
            <c15:filteredBarSeries>
              <c15:ser>
                <c:idx val="0"/>
                <c:order val="0"/>
                <c:tx>
                  <c:strRef>
                    <c:extLst xmlns:c16r2="http://schemas.microsoft.com/office/drawing/2015/06/chart">
                      <c:ext uri="{02D57815-91ED-43cb-92C2-25804820EDAC}">
                        <c15:formulaRef>
                          <c15:sqref>'📊 Pivot_Tables'!$I$9</c15:sqref>
                        </c15:formulaRef>
                      </c:ext>
                    </c:extLst>
                    <c:strCache>
                      <c:ptCount val="1"/>
                      <c:pt idx="0">
                        <c:v>Sum of Actual Amount</c:v>
                      </c:pt>
                    </c:strCache>
                  </c:strRef>
                </c:tx>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6r2="http://schemas.microsoft.com/office/drawing/2015/06/chart">
                      <c:ext uri="{02D57815-91ED-43cb-92C2-25804820EDAC}">
                        <c15:formulaRef>
                          <c15:sqref>'📊 Pivot_Tables'!$H$10:$H$21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6r2="http://schemas.microsoft.com/office/drawing/2015/06/chart">
                      <c:ext uri="{02D57815-91ED-43cb-92C2-25804820EDAC}">
                        <c15:formulaRef>
                          <c15:sqref>'📊 Pivot_Tables'!$I$10:$I$21</c15:sqref>
                        </c15:formulaRef>
                      </c:ext>
                    </c:extLst>
                    <c:numCache>
                      <c:formatCode>General</c:formatCode>
                      <c:ptCount val="12"/>
                      <c:pt idx="0">
                        <c:v>9923912</c:v>
                      </c:pt>
                      <c:pt idx="1">
                        <c:v>6072415</c:v>
                      </c:pt>
                      <c:pt idx="2">
                        <c:v>7396807</c:v>
                      </c:pt>
                      <c:pt idx="3">
                        <c:v>2711694</c:v>
                      </c:pt>
                      <c:pt idx="4">
                        <c:v>6722616</c:v>
                      </c:pt>
                      <c:pt idx="5">
                        <c:v>715465</c:v>
                      </c:pt>
                      <c:pt idx="6">
                        <c:v>10721573</c:v>
                      </c:pt>
                      <c:pt idx="7">
                        <c:v>763011</c:v>
                      </c:pt>
                      <c:pt idx="8">
                        <c:v>5726331</c:v>
                      </c:pt>
                      <c:pt idx="9">
                        <c:v>14830656</c:v>
                      </c:pt>
                      <c:pt idx="10">
                        <c:v>7943600</c:v>
                      </c:pt>
                      <c:pt idx="11">
                        <c:v>9189975</c:v>
                      </c:pt>
                    </c:numCache>
                  </c:numRef>
                </c:val>
                <c:extLst xmlns:c16r2="http://schemas.microsoft.com/office/drawing/2015/06/chart">
                  <c:ext xmlns:c16="http://schemas.microsoft.com/office/drawing/2014/chart" uri="{C3380CC4-5D6E-409C-BE32-E72D297353CC}">
                    <c16:uniqueId val="{00000000-7731-49DC-A508-88FAB286CE7B}"/>
                  </c:ext>
                </c:extLst>
              </c15:ser>
            </c15:filteredBarSeries>
            <c15:filteredBarSeries>
              <c15:ser>
                <c:idx val="2"/>
                <c:order val="2"/>
                <c:tx>
                  <c:strRef>
                    <c:extLst xmlns:c16r2="http://schemas.microsoft.com/office/drawing/2015/06/chart" xmlns:c15="http://schemas.microsoft.com/office/drawing/2012/chart">
                      <c:ext xmlns:c15="http://schemas.microsoft.com/office/drawing/2012/chart" uri="{02D57815-91ED-43cb-92C2-25804820EDAC}">
                        <c15:formulaRef>
                          <c15:sqref>'📊 Pivot_Tables'!$K$9</c15:sqref>
                        </c15:formulaRef>
                      </c:ext>
                    </c:extLst>
                    <c:strCache>
                      <c:ptCount val="1"/>
                      <c:pt idx="0">
                        <c:v>Variance 
Budget - Actual</c:v>
                      </c:pt>
                    </c:strCache>
                  </c:strRef>
                </c:tx>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6r2="http://schemas.microsoft.com/office/drawing/2015/06/chart" xmlns:c15="http://schemas.microsoft.com/office/drawing/2012/chart">
                      <c:ext xmlns:c15="http://schemas.microsoft.com/office/drawing/2012/chart" uri="{02D57815-91ED-43cb-92C2-25804820EDAC}">
                        <c15:formulaRef>
                          <c15:sqref>'📊 Pivot_Tables'!$H$10:$H$21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6r2="http://schemas.microsoft.com/office/drawing/2015/06/chart" xmlns:c15="http://schemas.microsoft.com/office/drawing/2012/chart">
                      <c:ext xmlns:c15="http://schemas.microsoft.com/office/drawing/2012/chart" uri="{02D57815-91ED-43cb-92C2-25804820EDAC}">
                        <c15:formulaRef>
                          <c15:sqref>'📊 Pivot_Tables'!$K$10:$K$21</c15:sqref>
                        </c15:formulaRef>
                      </c:ext>
                    </c:extLst>
                    <c:numCache>
                      <c:formatCode>General</c:formatCode>
                      <c:ptCount val="12"/>
                      <c:pt idx="0">
                        <c:v>-4054809.3333333302</c:v>
                      </c:pt>
                      <c:pt idx="1">
                        <c:v>-1060414.833333333</c:v>
                      </c:pt>
                      <c:pt idx="2">
                        <c:v>-1754663.416666667</c:v>
                      </c:pt>
                      <c:pt idx="3">
                        <c:v>3911807.25</c:v>
                      </c:pt>
                      <c:pt idx="4">
                        <c:v>-792331.91666666698</c:v>
                      </c:pt>
                      <c:pt idx="5">
                        <c:v>6011091.916666666</c:v>
                      </c:pt>
                      <c:pt idx="6">
                        <c:v>-3096889.75</c:v>
                      </c:pt>
                      <c:pt idx="7">
                        <c:v>6239831.416666666</c:v>
                      </c:pt>
                      <c:pt idx="8">
                        <c:v>1181648.75</c:v>
                      </c:pt>
                      <c:pt idx="9">
                        <c:v>-8144404.75</c:v>
                      </c:pt>
                      <c:pt idx="10">
                        <c:v>-377267.83333333395</c:v>
                      </c:pt>
                      <c:pt idx="11">
                        <c:v>-1780873.25</c:v>
                      </c:pt>
                    </c:numCache>
                  </c:numRef>
                </c:val>
                <c:extLst xmlns:c16r2="http://schemas.microsoft.com/office/drawing/2015/06/chart" xmlns:c15="http://schemas.microsoft.com/office/drawing/2012/chart">
                  <c:ext xmlns:c16="http://schemas.microsoft.com/office/drawing/2014/chart" uri="{C3380CC4-5D6E-409C-BE32-E72D297353CC}">
                    <c16:uniqueId val="{00000002-7731-49DC-A508-88FAB286CE7B}"/>
                  </c:ext>
                </c:extLst>
              </c15:ser>
            </c15:filteredBarSeries>
          </c:ext>
        </c:extLst>
      </c:barChart>
      <c:lineChart>
        <c:grouping val="standard"/>
        <c:varyColors val="0"/>
        <c:ser>
          <c:idx val="3"/>
          <c:order val="3"/>
          <c:tx>
            <c:strRef>
              <c:f>'📊 Pivot_Tables'!$L$9</c:f>
              <c:strCache>
                <c:ptCount val="1"/>
                <c:pt idx="0">
                  <c:v>Variance %
Variance/Budget</c:v>
                </c:pt>
              </c:strCache>
            </c:strRef>
          </c:tx>
          <c:spPr>
            <a:ln w="34925" cap="rnd">
              <a:solidFill>
                <a:schemeClr val="accent1">
                  <a:tint val="58000"/>
                </a:schemeClr>
              </a:solidFill>
              <a:round/>
            </a:ln>
            <a:effectLst>
              <a:outerShdw blurRad="57150" dist="19050" dir="5400000" algn="ctr" rotWithShape="0">
                <a:srgbClr val="000000">
                  <a:alpha val="63000"/>
                </a:srgbClr>
              </a:outerShdw>
            </a:effectLst>
          </c:spPr>
          <c:marker>
            <c:symbol val="none"/>
          </c:marker>
          <c:cat>
            <c:strRef>
              <c:f>'📊 Pivot_Tables'!$H$10:$H$21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Pivot_Tables'!$L$10:$L$21</c:f>
              <c:numCache>
                <c:formatCode>0%</c:formatCode>
                <c:ptCount val="12"/>
                <c:pt idx="0">
                  <c:v>-0.69087381216935517</c:v>
                </c:pt>
                <c:pt idx="1">
                  <c:v>-0.21157517918411872</c:v>
                </c:pt>
                <c:pt idx="2">
                  <c:v>-0.31099233664486536</c:v>
                </c:pt>
                <c:pt idx="3">
                  <c:v>0.59059507990581261</c:v>
                </c:pt>
                <c:pt idx="4">
                  <c:v>-0.13360775057867175</c:v>
                </c:pt>
                <c:pt idx="5">
                  <c:v>0.89363577698610364</c:v>
                </c:pt>
                <c:pt idx="6">
                  <c:v>-0.40616634795943818</c:v>
                </c:pt>
                <c:pt idx="7">
                  <c:v>0.89104267173226048</c:v>
                </c:pt>
                <c:pt idx="8">
                  <c:v>0.17105561868504318</c:v>
                </c:pt>
                <c:pt idx="9">
                  <c:v>-1.2180823671560352</c:v>
                </c:pt>
                <c:pt idx="10">
                  <c:v>-4.9861389246877143E-2</c:v>
                </c:pt>
                <c:pt idx="11">
                  <c:v>-0.24036290903954721</c:v>
                </c:pt>
              </c:numCache>
            </c:numRef>
          </c:val>
          <c:smooth val="0"/>
          <c:extLst xmlns:c16r2="http://schemas.microsoft.com/office/drawing/2015/06/chart">
            <c:ext xmlns:c16="http://schemas.microsoft.com/office/drawing/2014/chart" uri="{C3380CC4-5D6E-409C-BE32-E72D297353CC}">
              <c16:uniqueId val="{00000003-7731-49DC-A508-88FAB286CE7B}"/>
            </c:ext>
          </c:extLst>
        </c:ser>
        <c:dLbls>
          <c:showLegendKey val="0"/>
          <c:showVal val="0"/>
          <c:showCatName val="0"/>
          <c:showSerName val="0"/>
          <c:showPercent val="0"/>
          <c:showBubbleSize val="0"/>
        </c:dLbls>
        <c:marker val="1"/>
        <c:smooth val="0"/>
        <c:axId val="-141904688"/>
        <c:axId val="-141915024"/>
      </c:lineChart>
      <c:catAx>
        <c:axId val="-1419074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10128"/>
        <c:crosses val="autoZero"/>
        <c:auto val="1"/>
        <c:lblAlgn val="ctr"/>
        <c:lblOffset val="100"/>
        <c:noMultiLvlLbl val="0"/>
      </c:catAx>
      <c:valAx>
        <c:axId val="-141910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07408"/>
        <c:crosses val="autoZero"/>
        <c:crossBetween val="between"/>
      </c:valAx>
      <c:valAx>
        <c:axId val="-14191502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04688"/>
        <c:crosses val="max"/>
        <c:crossBetween val="between"/>
      </c:valAx>
      <c:catAx>
        <c:axId val="-141904688"/>
        <c:scaling>
          <c:orientation val="minMax"/>
        </c:scaling>
        <c:delete val="1"/>
        <c:axPos val="b"/>
        <c:numFmt formatCode="General" sourceLinked="1"/>
        <c:majorTickMark val="none"/>
        <c:minorTickMark val="none"/>
        <c:tickLblPos val="nextTo"/>
        <c:crossAx val="-141915024"/>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[Actual vs Budget Financial DashboardNancyHamed.xlsx]📊 Pivot_Tables!PivotTable25</c:name>
    <c:fmtId val="1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 Pivot_Tables'!$C$62</c:f>
              <c:strCache>
                <c:ptCount val="1"/>
                <c:pt idx="0">
                  <c:v>Actual</c:v>
                </c:pt>
              </c:strCache>
            </c:strRef>
          </c:tx>
          <c:spPr>
            <a:solidFill>
              <a:schemeClr val="accent1"/>
            </a:solidFill>
            <a:ln>
              <a:noFill/>
            </a:ln>
            <a:effectLst/>
          </c:spPr>
          <c:invertIfNegative val="0"/>
          <c:cat>
            <c:strRef>
              <c:f>'📊 Pivot_Tables'!$B$63:$B$75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Pivot_Tables'!$C$63:$C$75</c:f>
              <c:numCache>
                <c:formatCode>#,##0</c:formatCode>
                <c:ptCount val="12"/>
                <c:pt idx="0">
                  <c:v>9923912</c:v>
                </c:pt>
                <c:pt idx="1">
                  <c:v>6072415</c:v>
                </c:pt>
                <c:pt idx="2">
                  <c:v>7396807</c:v>
                </c:pt>
                <c:pt idx="3">
                  <c:v>2711694</c:v>
                </c:pt>
                <c:pt idx="4">
                  <c:v>6722616</c:v>
                </c:pt>
                <c:pt idx="5">
                  <c:v>715465</c:v>
                </c:pt>
                <c:pt idx="6">
                  <c:v>10721573</c:v>
                </c:pt>
                <c:pt idx="7">
                  <c:v>763011</c:v>
                </c:pt>
                <c:pt idx="8">
                  <c:v>5726331</c:v>
                </c:pt>
                <c:pt idx="9">
                  <c:v>14830656</c:v>
                </c:pt>
                <c:pt idx="10">
                  <c:v>7943600</c:v>
                </c:pt>
                <c:pt idx="11">
                  <c:v>9189975</c:v>
                </c:pt>
              </c:numCache>
            </c:numRef>
          </c:val>
          <c:extLst xmlns:c16r2="http://schemas.microsoft.com/office/drawing/2015/06/chart">
            <c:ext xmlns:c16="http://schemas.microsoft.com/office/drawing/2014/chart" uri="{C3380CC4-5D6E-409C-BE32-E72D297353CC}">
              <c16:uniqueId val="{00000000-D64D-4023-A354-3F4FEECE6282}"/>
            </c:ext>
          </c:extLst>
        </c:ser>
        <c:ser>
          <c:idx val="1"/>
          <c:order val="1"/>
          <c:tx>
            <c:strRef>
              <c:f>'📊 Pivot_Tables'!$D$62</c:f>
              <c:strCache>
                <c:ptCount val="1"/>
                <c:pt idx="0">
                  <c:v>Budget</c:v>
                </c:pt>
              </c:strCache>
            </c:strRef>
          </c:tx>
          <c:spPr>
            <a:solidFill>
              <a:schemeClr val="accent2"/>
            </a:solidFill>
            <a:ln>
              <a:noFill/>
            </a:ln>
            <a:effectLst/>
          </c:spPr>
          <c:invertIfNegative val="0"/>
          <c:cat>
            <c:strRef>
              <c:f>'📊 Pivot_Tables'!$B$63:$B$75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Pivot_Tables'!$D$63:$D$75</c:f>
              <c:numCache>
                <c:formatCode>#,##0</c:formatCode>
                <c:ptCount val="12"/>
                <c:pt idx="0">
                  <c:v>5869102.666666667</c:v>
                </c:pt>
                <c:pt idx="1">
                  <c:v>5012000.166666667</c:v>
                </c:pt>
                <c:pt idx="2">
                  <c:v>5642143.583333333</c:v>
                </c:pt>
                <c:pt idx="3">
                  <c:v>6623501.25</c:v>
                </c:pt>
                <c:pt idx="4">
                  <c:v>5930284.083333333</c:v>
                </c:pt>
                <c:pt idx="5">
                  <c:v>6726556.916666666</c:v>
                </c:pt>
                <c:pt idx="6">
                  <c:v>7624683.25</c:v>
                </c:pt>
                <c:pt idx="7">
                  <c:v>7002842.416666666</c:v>
                </c:pt>
                <c:pt idx="8">
                  <c:v>6907979.75</c:v>
                </c:pt>
                <c:pt idx="9">
                  <c:v>6686251.25</c:v>
                </c:pt>
                <c:pt idx="10">
                  <c:v>7566332.166666666</c:v>
                </c:pt>
                <c:pt idx="11">
                  <c:v>7409101.75</c:v>
                </c:pt>
              </c:numCache>
            </c:numRef>
          </c:val>
          <c:extLst xmlns:c16r2="http://schemas.microsoft.com/office/drawing/2015/06/chart">
            <c:ext xmlns:c16="http://schemas.microsoft.com/office/drawing/2014/chart" uri="{C3380CC4-5D6E-409C-BE32-E72D297353CC}">
              <c16:uniqueId val="{00000001-D64D-4023-A354-3F4FEECE6282}"/>
            </c:ext>
          </c:extLst>
        </c:ser>
        <c:dLbls>
          <c:showLegendKey val="0"/>
          <c:showVal val="0"/>
          <c:showCatName val="0"/>
          <c:showSerName val="0"/>
          <c:showPercent val="0"/>
          <c:showBubbleSize val="0"/>
        </c:dLbls>
        <c:gapWidth val="219"/>
        <c:overlap val="-27"/>
        <c:axId val="-141904144"/>
        <c:axId val="-141914480"/>
      </c:barChart>
      <c:catAx>
        <c:axId val="-14190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14480"/>
        <c:crosses val="autoZero"/>
        <c:auto val="1"/>
        <c:lblAlgn val="ctr"/>
        <c:lblOffset val="100"/>
        <c:noMultiLvlLbl val="0"/>
      </c:catAx>
      <c:valAx>
        <c:axId val="-1419144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041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[Actual vs Budget Financial DashboardNancyHamed.xlsx]📊 Pivot_Tables!PivotTable7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Analysis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 Pivot_Tables'!$C$9</c:f>
              <c:strCache>
                <c:ptCount val="1"/>
                <c:pt idx="0">
                  <c:v>Budget</c:v>
                </c:pt>
              </c:strCache>
            </c:strRef>
          </c:tx>
          <c:spPr>
            <a:solidFill>
              <a:schemeClr val="accent1"/>
            </a:solidFill>
            <a:ln>
              <a:noFill/>
            </a:ln>
            <a:effectLst/>
          </c:spPr>
          <c:invertIfNegative val="0"/>
          <c:cat>
            <c:strRef>
              <c:f>'📊 Pivot_Tables'!$B$10:$B$17</c:f>
              <c:strCache>
                <c:ptCount val="7"/>
                <c:pt idx="0">
                  <c:v>Account</c:v>
                </c:pt>
                <c:pt idx="1">
                  <c:v>Corporate</c:v>
                </c:pt>
                <c:pt idx="2">
                  <c:v>Finance</c:v>
                </c:pt>
                <c:pt idx="3">
                  <c:v>General and Administration</c:v>
                </c:pt>
                <c:pt idx="4">
                  <c:v>Operations</c:v>
                </c:pt>
                <c:pt idx="5">
                  <c:v>Project</c:v>
                </c:pt>
                <c:pt idx="6">
                  <c:v>Sales &amp; Marketing</c:v>
                </c:pt>
              </c:strCache>
            </c:strRef>
          </c:cat>
          <c:val>
            <c:numRef>
              <c:f>'📊 Pivot_Tables'!$C$10:$C$17</c:f>
              <c:numCache>
                <c:formatCode>#,##0</c:formatCode>
                <c:ptCount val="7"/>
                <c:pt idx="0">
                  <c:v>-3373888.25</c:v>
                </c:pt>
                <c:pt idx="1">
                  <c:v>-3426187</c:v>
                </c:pt>
                <c:pt idx="2">
                  <c:v>-3406790</c:v>
                </c:pt>
                <c:pt idx="3">
                  <c:v>-3645893</c:v>
                </c:pt>
                <c:pt idx="4">
                  <c:v>-3442117</c:v>
                </c:pt>
                <c:pt idx="5">
                  <c:v>-3547120.75</c:v>
                </c:pt>
                <c:pt idx="6">
                  <c:v>99842775.25</c:v>
                </c:pt>
              </c:numCache>
            </c:numRef>
          </c:val>
          <c:extLst xmlns:c16r2="http://schemas.microsoft.com/office/drawing/2015/06/chart">
            <c:ext xmlns:c16="http://schemas.microsoft.com/office/drawing/2014/chart" uri="{C3380CC4-5D6E-409C-BE32-E72D297353CC}">
              <c16:uniqueId val="{00000000-32C5-4938-B8D6-70202AB8398F}"/>
            </c:ext>
          </c:extLst>
        </c:ser>
        <c:ser>
          <c:idx val="1"/>
          <c:order val="1"/>
          <c:tx>
            <c:strRef>
              <c:f>'📊 Pivot_Tables'!$D$9</c:f>
              <c:strCache>
                <c:ptCount val="1"/>
                <c:pt idx="0">
                  <c:v>Actual</c:v>
                </c:pt>
              </c:strCache>
            </c:strRef>
          </c:tx>
          <c:spPr>
            <a:solidFill>
              <a:schemeClr val="accent2"/>
            </a:solidFill>
            <a:ln>
              <a:noFill/>
            </a:ln>
            <a:effectLst/>
          </c:spPr>
          <c:invertIfNegative val="0"/>
          <c:cat>
            <c:strRef>
              <c:f>'📊 Pivot_Tables'!$B$10:$B$17</c:f>
              <c:strCache>
                <c:ptCount val="7"/>
                <c:pt idx="0">
                  <c:v>Account</c:v>
                </c:pt>
                <c:pt idx="1">
                  <c:v>Corporate</c:v>
                </c:pt>
                <c:pt idx="2">
                  <c:v>Finance</c:v>
                </c:pt>
                <c:pt idx="3">
                  <c:v>General and Administration</c:v>
                </c:pt>
                <c:pt idx="4">
                  <c:v>Operations</c:v>
                </c:pt>
                <c:pt idx="5">
                  <c:v>Project</c:v>
                </c:pt>
                <c:pt idx="6">
                  <c:v>Sales &amp; Marketing</c:v>
                </c:pt>
              </c:strCache>
            </c:strRef>
          </c:cat>
          <c:val>
            <c:numRef>
              <c:f>'📊 Pivot_Tables'!$D$10:$D$17</c:f>
              <c:numCache>
                <c:formatCode>#,##0</c:formatCode>
                <c:ptCount val="7"/>
                <c:pt idx="0">
                  <c:v>-3161713</c:v>
                </c:pt>
                <c:pt idx="1">
                  <c:v>-4942350</c:v>
                </c:pt>
                <c:pt idx="2">
                  <c:v>-3149941</c:v>
                </c:pt>
                <c:pt idx="3">
                  <c:v>-2875664</c:v>
                </c:pt>
                <c:pt idx="4">
                  <c:v>-2831710</c:v>
                </c:pt>
                <c:pt idx="5">
                  <c:v>-4050364</c:v>
                </c:pt>
                <c:pt idx="6">
                  <c:v>103729797</c:v>
                </c:pt>
              </c:numCache>
            </c:numRef>
          </c:val>
          <c:extLst xmlns:c16r2="http://schemas.microsoft.com/office/drawing/2015/06/chart">
            <c:ext xmlns:c16="http://schemas.microsoft.com/office/drawing/2014/chart" uri="{C3380CC4-5D6E-409C-BE32-E72D297353CC}">
              <c16:uniqueId val="{00000001-32C5-4938-B8D6-70202AB8398F}"/>
            </c:ext>
          </c:extLst>
        </c:ser>
        <c:dLbls>
          <c:showLegendKey val="0"/>
          <c:showVal val="0"/>
          <c:showCatName val="0"/>
          <c:showSerName val="0"/>
          <c:showPercent val="0"/>
          <c:showBubbleSize val="0"/>
        </c:dLbls>
        <c:gapWidth val="219"/>
        <c:overlap val="-27"/>
        <c:axId val="-340273632"/>
        <c:axId val="-340283424"/>
      </c:barChart>
      <c:catAx>
        <c:axId val="-34027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283424"/>
        <c:crosses val="autoZero"/>
        <c:auto val="1"/>
        <c:lblAlgn val="ctr"/>
        <c:lblOffset val="100"/>
        <c:noMultiLvlLbl val="0"/>
      </c:catAx>
      <c:valAx>
        <c:axId val="-3402834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2736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[Actual vs Budget Financial DashboardNancyHamed.xlsx]📊 Pivot_Tables!PivotTable9</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Department Analysis</a:t>
            </a:r>
          </a:p>
          <a:p>
            <a:pPr>
              <a:defRPr/>
            </a:pP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 Pivot_Tables'!$C$37</c:f>
              <c:strCache>
                <c:ptCount val="1"/>
                <c:pt idx="0">
                  <c:v>Budget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Pivot_Tables'!$B$38:$B$54</c:f>
              <c:strCache>
                <c:ptCount val="16"/>
                <c:pt idx="0">
                  <c:v>Sales</c:v>
                </c:pt>
                <c:pt idx="1">
                  <c:v>Discounts</c:v>
                </c:pt>
                <c:pt idx="2">
                  <c:v>Cost of Sales</c:v>
                </c:pt>
                <c:pt idx="3">
                  <c:v>Commissions</c:v>
                </c:pt>
                <c:pt idx="4">
                  <c:v>Conferences</c:v>
                </c:pt>
                <c:pt idx="5">
                  <c:v>Employee Benefits</c:v>
                </c:pt>
                <c:pt idx="6">
                  <c:v>Furniture, Fixtures, and Equipment</c:v>
                </c:pt>
                <c:pt idx="7">
                  <c:v>Marketing Materials</c:v>
                </c:pt>
                <c:pt idx="8">
                  <c:v>Office Supplies</c:v>
                </c:pt>
                <c:pt idx="9">
                  <c:v>Professional Services</c:v>
                </c:pt>
                <c:pt idx="10">
                  <c:v>Rent</c:v>
                </c:pt>
                <c:pt idx="11">
                  <c:v>Salaries</c:v>
                </c:pt>
                <c:pt idx="12">
                  <c:v>Vehicles</c:v>
                </c:pt>
                <c:pt idx="13">
                  <c:v>Telephone</c:v>
                </c:pt>
                <c:pt idx="14">
                  <c:v>Travel</c:v>
                </c:pt>
                <c:pt idx="15">
                  <c:v>Utilities</c:v>
                </c:pt>
              </c:strCache>
            </c:strRef>
          </c:cat>
          <c:val>
            <c:numRef>
              <c:f>'📊 Pivot_Tables'!$C$38:$C$54</c:f>
              <c:numCache>
                <c:formatCode>#,##0</c:formatCode>
                <c:ptCount val="16"/>
                <c:pt idx="0">
                  <c:v>105300402</c:v>
                </c:pt>
                <c:pt idx="1">
                  <c:v>-89075.5</c:v>
                </c:pt>
                <c:pt idx="2">
                  <c:v>-1554236</c:v>
                </c:pt>
                <c:pt idx="3">
                  <c:v>-471142</c:v>
                </c:pt>
                <c:pt idx="4">
                  <c:v>-44537</c:v>
                </c:pt>
                <c:pt idx="5">
                  <c:v>-1493626.25</c:v>
                </c:pt>
                <c:pt idx="6">
                  <c:v>-102029.75</c:v>
                </c:pt>
                <c:pt idx="7">
                  <c:v>-24385.75</c:v>
                </c:pt>
                <c:pt idx="8">
                  <c:v>-192502.5</c:v>
                </c:pt>
                <c:pt idx="9">
                  <c:v>-52731.5</c:v>
                </c:pt>
                <c:pt idx="10">
                  <c:v>-381818.75</c:v>
                </c:pt>
                <c:pt idx="11">
                  <c:v>-19507681</c:v>
                </c:pt>
                <c:pt idx="12">
                  <c:v>-435654.25</c:v>
                </c:pt>
                <c:pt idx="13">
                  <c:v>-1029449</c:v>
                </c:pt>
                <c:pt idx="14">
                  <c:v>-520583</c:v>
                </c:pt>
                <c:pt idx="15">
                  <c:v>-400170.5</c:v>
                </c:pt>
              </c:numCache>
            </c:numRef>
          </c:val>
          <c:extLst xmlns:c16r2="http://schemas.microsoft.com/office/drawing/2015/06/chart">
            <c:ext xmlns:c16="http://schemas.microsoft.com/office/drawing/2014/chart" uri="{C3380CC4-5D6E-409C-BE32-E72D297353CC}">
              <c16:uniqueId val="{00000000-5DF4-4895-BFC7-B4213E830E2F}"/>
            </c:ext>
          </c:extLst>
        </c:ser>
        <c:ser>
          <c:idx val="1"/>
          <c:order val="1"/>
          <c:tx>
            <c:strRef>
              <c:f>'📊 Pivot_Tables'!$D$37</c:f>
              <c:strCache>
                <c:ptCount val="1"/>
                <c:pt idx="0">
                  <c:v>Actual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Pivot_Tables'!$B$38:$B$54</c:f>
              <c:strCache>
                <c:ptCount val="16"/>
                <c:pt idx="0">
                  <c:v>Sales</c:v>
                </c:pt>
                <c:pt idx="1">
                  <c:v>Discounts</c:v>
                </c:pt>
                <c:pt idx="2">
                  <c:v>Cost of Sales</c:v>
                </c:pt>
                <c:pt idx="3">
                  <c:v>Commissions</c:v>
                </c:pt>
                <c:pt idx="4">
                  <c:v>Conferences</c:v>
                </c:pt>
                <c:pt idx="5">
                  <c:v>Employee Benefits</c:v>
                </c:pt>
                <c:pt idx="6">
                  <c:v>Furniture, Fixtures, and Equipment</c:v>
                </c:pt>
                <c:pt idx="7">
                  <c:v>Marketing Materials</c:v>
                </c:pt>
                <c:pt idx="8">
                  <c:v>Office Supplies</c:v>
                </c:pt>
                <c:pt idx="9">
                  <c:v>Professional Services</c:v>
                </c:pt>
                <c:pt idx="10">
                  <c:v>Rent</c:v>
                </c:pt>
                <c:pt idx="11">
                  <c:v>Salaries</c:v>
                </c:pt>
                <c:pt idx="12">
                  <c:v>Vehicles</c:v>
                </c:pt>
                <c:pt idx="13">
                  <c:v>Telephone</c:v>
                </c:pt>
                <c:pt idx="14">
                  <c:v>Travel</c:v>
                </c:pt>
                <c:pt idx="15">
                  <c:v>Utilities</c:v>
                </c:pt>
              </c:strCache>
            </c:strRef>
          </c:cat>
          <c:val>
            <c:numRef>
              <c:f>'📊 Pivot_Tables'!$D$38:$D$54</c:f>
              <c:numCache>
                <c:formatCode>#,##0</c:formatCode>
                <c:ptCount val="16"/>
                <c:pt idx="0">
                  <c:v>159872424</c:v>
                </c:pt>
                <c:pt idx="1">
                  <c:v>-5345940</c:v>
                </c:pt>
                <c:pt idx="2">
                  <c:v>-33461754</c:v>
                </c:pt>
                <c:pt idx="3">
                  <c:v>-6129087</c:v>
                </c:pt>
                <c:pt idx="4">
                  <c:v>-58022</c:v>
                </c:pt>
                <c:pt idx="5">
                  <c:v>-1966364</c:v>
                </c:pt>
                <c:pt idx="6">
                  <c:v>-130343</c:v>
                </c:pt>
                <c:pt idx="7">
                  <c:v>-285944</c:v>
                </c:pt>
                <c:pt idx="8">
                  <c:v>-236514</c:v>
                </c:pt>
                <c:pt idx="9">
                  <c:v>-49586</c:v>
                </c:pt>
                <c:pt idx="10">
                  <c:v>-154750</c:v>
                </c:pt>
                <c:pt idx="11">
                  <c:v>-25754842</c:v>
                </c:pt>
                <c:pt idx="12">
                  <c:v>-501273</c:v>
                </c:pt>
                <c:pt idx="13">
                  <c:v>-2208714</c:v>
                </c:pt>
                <c:pt idx="14">
                  <c:v>-368939</c:v>
                </c:pt>
                <c:pt idx="15">
                  <c:v>-502297</c:v>
                </c:pt>
              </c:numCache>
            </c:numRef>
          </c:val>
          <c:extLst xmlns:c16r2="http://schemas.microsoft.com/office/drawing/2015/06/chart">
            <c:ext xmlns:c16="http://schemas.microsoft.com/office/drawing/2014/chart" uri="{C3380CC4-5D6E-409C-BE32-E72D297353CC}">
              <c16:uniqueId val="{00000001-5DF4-4895-BFC7-B4213E830E2F}"/>
            </c:ext>
          </c:extLst>
        </c:ser>
        <c:dLbls>
          <c:showLegendKey val="0"/>
          <c:showVal val="0"/>
          <c:showCatName val="0"/>
          <c:showSerName val="0"/>
          <c:showPercent val="0"/>
          <c:showBubbleSize val="0"/>
        </c:dLbls>
        <c:gapWidth val="115"/>
        <c:overlap val="-20"/>
        <c:axId val="-340282880"/>
        <c:axId val="-48323152"/>
      </c:barChart>
      <c:catAx>
        <c:axId val="-34028288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23152"/>
        <c:crosses val="autoZero"/>
        <c:auto val="1"/>
        <c:lblAlgn val="ctr"/>
        <c:lblOffset val="100"/>
        <c:noMultiLvlLbl val="0"/>
      </c:catAx>
      <c:valAx>
        <c:axId val="-4832315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2828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 Pivot_Tables'!$I$9</c:f>
              <c:strCache>
                <c:ptCount val="1"/>
                <c:pt idx="0">
                  <c:v>Sum of Actual 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 Pivot_Tables'!$H$10:$H$21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Pivot_Tables'!$I$10:$I$21</c:f>
              <c:numCache>
                <c:formatCode>General</c:formatCode>
                <c:ptCount val="12"/>
                <c:pt idx="0">
                  <c:v>9923912</c:v>
                </c:pt>
                <c:pt idx="1">
                  <c:v>6072415</c:v>
                </c:pt>
                <c:pt idx="2">
                  <c:v>7396807</c:v>
                </c:pt>
                <c:pt idx="3">
                  <c:v>2711694</c:v>
                </c:pt>
                <c:pt idx="4">
                  <c:v>6722616</c:v>
                </c:pt>
                <c:pt idx="5">
                  <c:v>715465</c:v>
                </c:pt>
                <c:pt idx="6">
                  <c:v>10721573</c:v>
                </c:pt>
                <c:pt idx="7">
                  <c:v>763011</c:v>
                </c:pt>
                <c:pt idx="8">
                  <c:v>5726331</c:v>
                </c:pt>
                <c:pt idx="9">
                  <c:v>14830656</c:v>
                </c:pt>
                <c:pt idx="10">
                  <c:v>7943600</c:v>
                </c:pt>
                <c:pt idx="11">
                  <c:v>9189975</c:v>
                </c:pt>
              </c:numCache>
            </c:numRef>
          </c:val>
          <c:smooth val="0"/>
          <c:extLst xmlns:c16r2="http://schemas.microsoft.com/office/drawing/2015/06/chart">
            <c:ext xmlns:c16="http://schemas.microsoft.com/office/drawing/2014/chart" uri="{C3380CC4-5D6E-409C-BE32-E72D297353CC}">
              <c16:uniqueId val="{00000000-5ECA-4D8E-AED2-F12067D4E23D}"/>
            </c:ext>
          </c:extLst>
        </c:ser>
        <c:ser>
          <c:idx val="1"/>
          <c:order val="1"/>
          <c:tx>
            <c:strRef>
              <c:f>'📊 Pivot_Tables'!$J$9</c:f>
              <c:strCache>
                <c:ptCount val="1"/>
                <c:pt idx="0">
                  <c:v>Sum of Budget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 Pivot_Tables'!$H$10:$H$21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Pivot_Tables'!$J$10:$J$21</c:f>
              <c:numCache>
                <c:formatCode>General</c:formatCode>
                <c:ptCount val="12"/>
                <c:pt idx="0">
                  <c:v>5869102.6666666698</c:v>
                </c:pt>
                <c:pt idx="1">
                  <c:v>5012000.166666667</c:v>
                </c:pt>
                <c:pt idx="2">
                  <c:v>5642143.583333333</c:v>
                </c:pt>
                <c:pt idx="3">
                  <c:v>6623501.25</c:v>
                </c:pt>
                <c:pt idx="4">
                  <c:v>5930284.083333333</c:v>
                </c:pt>
                <c:pt idx="5">
                  <c:v>6726556.916666666</c:v>
                </c:pt>
                <c:pt idx="6">
                  <c:v>7624683.25</c:v>
                </c:pt>
                <c:pt idx="7">
                  <c:v>7002842.416666666</c:v>
                </c:pt>
                <c:pt idx="8">
                  <c:v>6907979.75</c:v>
                </c:pt>
                <c:pt idx="9">
                  <c:v>6686251.25</c:v>
                </c:pt>
                <c:pt idx="10">
                  <c:v>7566332.166666666</c:v>
                </c:pt>
                <c:pt idx="11">
                  <c:v>7409101.75</c:v>
                </c:pt>
              </c:numCache>
            </c:numRef>
          </c:val>
          <c:smooth val="0"/>
          <c:extLst xmlns:c16r2="http://schemas.microsoft.com/office/drawing/2015/06/chart">
            <c:ext xmlns:c16="http://schemas.microsoft.com/office/drawing/2014/chart" uri="{C3380CC4-5D6E-409C-BE32-E72D297353CC}">
              <c16:uniqueId val="{00000001-5ECA-4D8E-AED2-F12067D4E23D}"/>
            </c:ext>
          </c:extLst>
        </c:ser>
        <c:ser>
          <c:idx val="2"/>
          <c:order val="2"/>
          <c:tx>
            <c:strRef>
              <c:f>'📊 Pivot_Tables'!$K$9</c:f>
              <c:strCache>
                <c:ptCount val="1"/>
                <c:pt idx="0">
                  <c:v>Variance 
Budget - Actual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 Pivot_Tables'!$H$10:$H$21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Pivot_Tables'!$K$10:$K$21</c:f>
              <c:numCache>
                <c:formatCode>General</c:formatCode>
                <c:ptCount val="12"/>
                <c:pt idx="0">
                  <c:v>-4054809.3333333302</c:v>
                </c:pt>
                <c:pt idx="1">
                  <c:v>-1060414.833333333</c:v>
                </c:pt>
                <c:pt idx="2">
                  <c:v>-1754663.416666667</c:v>
                </c:pt>
                <c:pt idx="3">
                  <c:v>3911807.25</c:v>
                </c:pt>
                <c:pt idx="4">
                  <c:v>-792331.91666666698</c:v>
                </c:pt>
                <c:pt idx="5">
                  <c:v>6011091.916666666</c:v>
                </c:pt>
                <c:pt idx="6">
                  <c:v>-3096889.75</c:v>
                </c:pt>
                <c:pt idx="7">
                  <c:v>6239831.416666666</c:v>
                </c:pt>
                <c:pt idx="8">
                  <c:v>1181648.75</c:v>
                </c:pt>
                <c:pt idx="9">
                  <c:v>-8144404.75</c:v>
                </c:pt>
                <c:pt idx="10">
                  <c:v>-377267.83333333395</c:v>
                </c:pt>
                <c:pt idx="11">
                  <c:v>-1780873.25</c:v>
                </c:pt>
              </c:numCache>
            </c:numRef>
          </c:val>
          <c:smooth val="0"/>
          <c:extLst xmlns:c16r2="http://schemas.microsoft.com/office/drawing/2015/06/chart">
            <c:ext xmlns:c16="http://schemas.microsoft.com/office/drawing/2014/chart" uri="{C3380CC4-5D6E-409C-BE32-E72D297353CC}">
              <c16:uniqueId val="{00000002-5ECA-4D8E-AED2-F12067D4E23D}"/>
            </c:ext>
          </c:extLst>
        </c:ser>
        <c:ser>
          <c:idx val="3"/>
          <c:order val="3"/>
          <c:tx>
            <c:strRef>
              <c:f>'📊 Pivot_Tables'!$L$9</c:f>
              <c:strCache>
                <c:ptCount val="1"/>
                <c:pt idx="0">
                  <c:v>Variance %
Variance/Budget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 Pivot_Tables'!$H$10:$H$21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Pivot_Tables'!$L$10:$L$21</c:f>
              <c:numCache>
                <c:formatCode>0%</c:formatCode>
                <c:ptCount val="12"/>
                <c:pt idx="0">
                  <c:v>-0.69087381216935517</c:v>
                </c:pt>
                <c:pt idx="1">
                  <c:v>-0.21157517918411872</c:v>
                </c:pt>
                <c:pt idx="2">
                  <c:v>-0.31099233664486536</c:v>
                </c:pt>
                <c:pt idx="3">
                  <c:v>0.59059507990581261</c:v>
                </c:pt>
                <c:pt idx="4">
                  <c:v>-0.13360775057867175</c:v>
                </c:pt>
                <c:pt idx="5">
                  <c:v>0.89363577698610364</c:v>
                </c:pt>
                <c:pt idx="6">
                  <c:v>-0.40616634795943818</c:v>
                </c:pt>
                <c:pt idx="7">
                  <c:v>0.89104267173226048</c:v>
                </c:pt>
                <c:pt idx="8">
                  <c:v>0.17105561868504318</c:v>
                </c:pt>
                <c:pt idx="9">
                  <c:v>-1.2180823671560352</c:v>
                </c:pt>
                <c:pt idx="10">
                  <c:v>-4.9861389246877143E-2</c:v>
                </c:pt>
                <c:pt idx="11">
                  <c:v>-0.24036290903954721</c:v>
                </c:pt>
              </c:numCache>
            </c:numRef>
          </c:val>
          <c:smooth val="0"/>
          <c:extLst xmlns:c16r2="http://schemas.microsoft.com/office/drawing/2015/06/chart">
            <c:ext xmlns:c16="http://schemas.microsoft.com/office/drawing/2014/chart" uri="{C3380CC4-5D6E-409C-BE32-E72D297353CC}">
              <c16:uniqueId val="{00000003-5ECA-4D8E-AED2-F12067D4E23D}"/>
            </c:ext>
          </c:extLst>
        </c:ser>
        <c:dLbls>
          <c:showLegendKey val="0"/>
          <c:showVal val="0"/>
          <c:showCatName val="0"/>
          <c:showSerName val="0"/>
          <c:showPercent val="0"/>
          <c:showBubbleSize val="0"/>
        </c:dLbls>
        <c:marker val="1"/>
        <c:smooth val="0"/>
        <c:axId val="-48324784"/>
        <c:axId val="-48326960"/>
      </c:lineChart>
      <c:catAx>
        <c:axId val="-4832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26960"/>
        <c:crosses val="autoZero"/>
        <c:auto val="1"/>
        <c:lblAlgn val="ctr"/>
        <c:lblOffset val="100"/>
        <c:noMultiLvlLbl val="0"/>
      </c:catAx>
      <c:valAx>
        <c:axId val="-48326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2478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[Actual vs Budget Financial DashboardNancyHamed.xlsx]📊 Pivot_Tables!PivotTable25</c:name>
    <c:fmtId val="1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 Pivot_Tables'!$C$62</c:f>
              <c:strCache>
                <c:ptCount val="1"/>
                <c:pt idx="0">
                  <c:v>Actual</c:v>
                </c:pt>
              </c:strCache>
            </c:strRef>
          </c:tx>
          <c:spPr>
            <a:solidFill>
              <a:schemeClr val="accent1"/>
            </a:solidFill>
            <a:ln>
              <a:noFill/>
            </a:ln>
            <a:effectLst/>
          </c:spPr>
          <c:invertIfNegative val="0"/>
          <c:cat>
            <c:strRef>
              <c:f>'📊 Pivot_Tables'!$B$63:$B$75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Pivot_Tables'!$C$63:$C$75</c:f>
              <c:numCache>
                <c:formatCode>#,##0</c:formatCode>
                <c:ptCount val="12"/>
                <c:pt idx="0">
                  <c:v>9923912</c:v>
                </c:pt>
                <c:pt idx="1">
                  <c:v>6072415</c:v>
                </c:pt>
                <c:pt idx="2">
                  <c:v>7396807</c:v>
                </c:pt>
                <c:pt idx="3">
                  <c:v>2711694</c:v>
                </c:pt>
                <c:pt idx="4">
                  <c:v>6722616</c:v>
                </c:pt>
                <c:pt idx="5">
                  <c:v>715465</c:v>
                </c:pt>
                <c:pt idx="6">
                  <c:v>10721573</c:v>
                </c:pt>
                <c:pt idx="7">
                  <c:v>763011</c:v>
                </c:pt>
                <c:pt idx="8">
                  <c:v>5726331</c:v>
                </c:pt>
                <c:pt idx="9">
                  <c:v>14830656</c:v>
                </c:pt>
                <c:pt idx="10">
                  <c:v>7943600</c:v>
                </c:pt>
                <c:pt idx="11">
                  <c:v>9189975</c:v>
                </c:pt>
              </c:numCache>
            </c:numRef>
          </c:val>
          <c:extLst xmlns:c16r2="http://schemas.microsoft.com/office/drawing/2015/06/chart">
            <c:ext xmlns:c16="http://schemas.microsoft.com/office/drawing/2014/chart" uri="{C3380CC4-5D6E-409C-BE32-E72D297353CC}">
              <c16:uniqueId val="{00000000-29F4-448C-9EF0-69FDD6728085}"/>
            </c:ext>
          </c:extLst>
        </c:ser>
        <c:ser>
          <c:idx val="1"/>
          <c:order val="1"/>
          <c:tx>
            <c:strRef>
              <c:f>'📊 Pivot_Tables'!$D$62</c:f>
              <c:strCache>
                <c:ptCount val="1"/>
                <c:pt idx="0">
                  <c:v>Budget</c:v>
                </c:pt>
              </c:strCache>
            </c:strRef>
          </c:tx>
          <c:spPr>
            <a:solidFill>
              <a:schemeClr val="accent2"/>
            </a:solidFill>
            <a:ln>
              <a:noFill/>
            </a:ln>
            <a:effectLst/>
          </c:spPr>
          <c:invertIfNegative val="0"/>
          <c:cat>
            <c:strRef>
              <c:f>'📊 Pivot_Tables'!$B$63:$B$75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Pivot_Tables'!$D$63:$D$75</c:f>
              <c:numCache>
                <c:formatCode>#,##0</c:formatCode>
                <c:ptCount val="12"/>
                <c:pt idx="0">
                  <c:v>5869102.666666667</c:v>
                </c:pt>
                <c:pt idx="1">
                  <c:v>5012000.166666667</c:v>
                </c:pt>
                <c:pt idx="2">
                  <c:v>5642143.583333333</c:v>
                </c:pt>
                <c:pt idx="3">
                  <c:v>6623501.25</c:v>
                </c:pt>
                <c:pt idx="4">
                  <c:v>5930284.083333333</c:v>
                </c:pt>
                <c:pt idx="5">
                  <c:v>6726556.916666666</c:v>
                </c:pt>
                <c:pt idx="6">
                  <c:v>7624683.25</c:v>
                </c:pt>
                <c:pt idx="7">
                  <c:v>7002842.416666666</c:v>
                </c:pt>
                <c:pt idx="8">
                  <c:v>6907979.75</c:v>
                </c:pt>
                <c:pt idx="9">
                  <c:v>6686251.25</c:v>
                </c:pt>
                <c:pt idx="10">
                  <c:v>7566332.166666666</c:v>
                </c:pt>
                <c:pt idx="11">
                  <c:v>7409101.75</c:v>
                </c:pt>
              </c:numCache>
            </c:numRef>
          </c:val>
          <c:extLst xmlns:c16r2="http://schemas.microsoft.com/office/drawing/2015/06/chart">
            <c:ext xmlns:c16="http://schemas.microsoft.com/office/drawing/2014/chart" uri="{C3380CC4-5D6E-409C-BE32-E72D297353CC}">
              <c16:uniqueId val="{00000001-29F4-448C-9EF0-69FDD6728085}"/>
            </c:ext>
          </c:extLst>
        </c:ser>
        <c:dLbls>
          <c:showLegendKey val="0"/>
          <c:showVal val="0"/>
          <c:showCatName val="0"/>
          <c:showSerName val="0"/>
          <c:showPercent val="0"/>
          <c:showBubbleSize val="0"/>
        </c:dLbls>
        <c:gapWidth val="219"/>
        <c:overlap val="-27"/>
        <c:axId val="-48327504"/>
        <c:axId val="-48325328"/>
      </c:barChart>
      <c:catAx>
        <c:axId val="-4832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25328"/>
        <c:crosses val="autoZero"/>
        <c:auto val="1"/>
        <c:lblAlgn val="ctr"/>
        <c:lblOffset val="100"/>
        <c:noMultiLvlLbl val="0"/>
      </c:catAx>
      <c:valAx>
        <c:axId val="-483253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275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[Actual vs Budget Financial DashboardNancyHamed.xlsx]📊 Pivot_Tables!PivotTable7</c:name>
    <c:fmtId val="2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Departments</a:t>
            </a:r>
          </a:p>
          <a:p>
            <a:pPr>
              <a:defRPr/>
            </a:pP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 Pivot_Tables'!$C$9</c:f>
              <c:strCache>
                <c:ptCount val="1"/>
                <c:pt idx="0">
                  <c:v>Budget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1-52AB-4D02-922C-A4B0156CA97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3-52AB-4D02-922C-A4B0156CA97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5-52AB-4D02-922C-A4B0156CA97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7-52AB-4D02-922C-A4B0156CA97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9-52AB-4D02-922C-A4B0156CA97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B-52AB-4D02-922C-A4B0156CA97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D-52AB-4D02-922C-A4B0156CA97E}"/>
              </c:ext>
            </c:extLst>
          </c:dPt>
          <c:cat>
            <c:strRef>
              <c:f>'📊 Pivot_Tables'!$B$10:$B$17</c:f>
              <c:strCache>
                <c:ptCount val="7"/>
                <c:pt idx="0">
                  <c:v>Account</c:v>
                </c:pt>
                <c:pt idx="1">
                  <c:v>Corporate</c:v>
                </c:pt>
                <c:pt idx="2">
                  <c:v>Finance</c:v>
                </c:pt>
                <c:pt idx="3">
                  <c:v>General and Administration</c:v>
                </c:pt>
                <c:pt idx="4">
                  <c:v>Operations</c:v>
                </c:pt>
                <c:pt idx="5">
                  <c:v>Project</c:v>
                </c:pt>
                <c:pt idx="6">
                  <c:v>Sales &amp; Marketing</c:v>
                </c:pt>
              </c:strCache>
            </c:strRef>
          </c:cat>
          <c:val>
            <c:numRef>
              <c:f>'📊 Pivot_Tables'!$C$10:$C$17</c:f>
              <c:numCache>
                <c:formatCode>#,##0</c:formatCode>
                <c:ptCount val="7"/>
                <c:pt idx="0">
                  <c:v>-3373888.25</c:v>
                </c:pt>
                <c:pt idx="1">
                  <c:v>-3426187</c:v>
                </c:pt>
                <c:pt idx="2">
                  <c:v>-3406790</c:v>
                </c:pt>
                <c:pt idx="3">
                  <c:v>-3645893</c:v>
                </c:pt>
                <c:pt idx="4">
                  <c:v>-3442117</c:v>
                </c:pt>
                <c:pt idx="5">
                  <c:v>-3547120.75</c:v>
                </c:pt>
                <c:pt idx="6">
                  <c:v>99842775.25</c:v>
                </c:pt>
              </c:numCache>
            </c:numRef>
          </c:val>
          <c:extLst xmlns:c16r2="http://schemas.microsoft.com/office/drawing/2015/06/chart">
            <c:ext xmlns:c16="http://schemas.microsoft.com/office/drawing/2014/chart" uri="{C3380CC4-5D6E-409C-BE32-E72D297353CC}">
              <c16:uniqueId val="{0000000E-52AB-4D02-922C-A4B0156CA97E}"/>
            </c:ext>
          </c:extLst>
        </c:ser>
        <c:ser>
          <c:idx val="1"/>
          <c:order val="1"/>
          <c:tx>
            <c:strRef>
              <c:f>'📊 Pivot_Tables'!$D$9</c:f>
              <c:strCache>
                <c:ptCount val="1"/>
                <c:pt idx="0">
                  <c:v>Actual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10-52AB-4D02-922C-A4B0156CA97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12-52AB-4D02-922C-A4B0156CA97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14-52AB-4D02-922C-A4B0156CA97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16-52AB-4D02-922C-A4B0156CA97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18-52AB-4D02-922C-A4B0156CA97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1A-52AB-4D02-922C-A4B0156CA97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1C-52AB-4D02-922C-A4B0156CA97E}"/>
              </c:ext>
            </c:extLst>
          </c:dPt>
          <c:cat>
            <c:strRef>
              <c:f>'📊 Pivot_Tables'!$B$10:$B$17</c:f>
              <c:strCache>
                <c:ptCount val="7"/>
                <c:pt idx="0">
                  <c:v>Account</c:v>
                </c:pt>
                <c:pt idx="1">
                  <c:v>Corporate</c:v>
                </c:pt>
                <c:pt idx="2">
                  <c:v>Finance</c:v>
                </c:pt>
                <c:pt idx="3">
                  <c:v>General and Administration</c:v>
                </c:pt>
                <c:pt idx="4">
                  <c:v>Operations</c:v>
                </c:pt>
                <c:pt idx="5">
                  <c:v>Project</c:v>
                </c:pt>
                <c:pt idx="6">
                  <c:v>Sales &amp; Marketing</c:v>
                </c:pt>
              </c:strCache>
            </c:strRef>
          </c:cat>
          <c:val>
            <c:numRef>
              <c:f>'📊 Pivot_Tables'!$D$10:$D$17</c:f>
              <c:numCache>
                <c:formatCode>#,##0</c:formatCode>
                <c:ptCount val="7"/>
                <c:pt idx="0">
                  <c:v>-3161713</c:v>
                </c:pt>
                <c:pt idx="1">
                  <c:v>-4942350</c:v>
                </c:pt>
                <c:pt idx="2">
                  <c:v>-3149941</c:v>
                </c:pt>
                <c:pt idx="3">
                  <c:v>-2875664</c:v>
                </c:pt>
                <c:pt idx="4">
                  <c:v>-2831710</c:v>
                </c:pt>
                <c:pt idx="5">
                  <c:v>-4050364</c:v>
                </c:pt>
                <c:pt idx="6">
                  <c:v>103729797</c:v>
                </c:pt>
              </c:numCache>
            </c:numRef>
          </c:val>
          <c:extLst xmlns:c16r2="http://schemas.microsoft.com/office/drawing/2015/06/chart">
            <c:ext xmlns:c16="http://schemas.microsoft.com/office/drawing/2014/chart" uri="{C3380CC4-5D6E-409C-BE32-E72D297353CC}">
              <c16:uniqueId val="{0000001D-52AB-4D02-922C-A4B0156CA97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xdr:col>
      <xdr:colOff>428625</xdr:colOff>
      <xdr:row>1</xdr:row>
      <xdr:rowOff>1</xdr:rowOff>
    </xdr:from>
    <xdr:to>
      <xdr:col>2</xdr:col>
      <xdr:colOff>495300</xdr:colOff>
      <xdr:row>4</xdr:row>
      <xdr:rowOff>123826</xdr:rowOff>
    </xdr:to>
    <mc:AlternateContent xmlns:mc="http://schemas.openxmlformats.org/markup-compatibility/2006" xmlns:a14="http://schemas.microsoft.com/office/drawing/2010/main">
      <mc:Choice Requires="a14">
        <xdr:graphicFrame macro="">
          <xdr:nvGraphicFramePr>
            <xdr:cNvPr id="2" name="Type">
              <a:extLst>
                <a:ext uri="{FF2B5EF4-FFF2-40B4-BE49-F238E27FC236}">
                  <a16:creationId xmlns:a16="http://schemas.microsoft.com/office/drawing/2014/main" xmlns="" id="{CB77A60D-C7E7-4DF7-82F0-235049133016}"/>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181100" y="180976"/>
              <a:ext cx="1828800"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66674</xdr:colOff>
      <xdr:row>0</xdr:row>
      <xdr:rowOff>152401</xdr:rowOff>
    </xdr:from>
    <xdr:to>
      <xdr:col>10</xdr:col>
      <xdr:colOff>809625</xdr:colOff>
      <xdr:row>4</xdr:row>
      <xdr:rowOff>133350</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xmlns="" id="{3E30D689-E61A-4FA3-BCA0-E807A0C9DD2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333749" y="152401"/>
              <a:ext cx="8943976" cy="704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28574</xdr:colOff>
      <xdr:row>32</xdr:row>
      <xdr:rowOff>0</xdr:rowOff>
    </xdr:from>
    <xdr:to>
      <xdr:col>11</xdr:col>
      <xdr:colOff>514350</xdr:colOff>
      <xdr:row>36</xdr:row>
      <xdr:rowOff>57150</xdr:rowOff>
    </xdr:to>
    <mc:AlternateContent xmlns:mc="http://schemas.openxmlformats.org/markup-compatibility/2006" xmlns:a14="http://schemas.microsoft.com/office/drawing/2010/main">
      <mc:Choice Requires="a14">
        <xdr:graphicFrame macro="">
          <xdr:nvGraphicFramePr>
            <xdr:cNvPr id="6" name="Department 1">
              <a:extLst>
                <a:ext uri="{FF2B5EF4-FFF2-40B4-BE49-F238E27FC236}">
                  <a16:creationId xmlns:a16="http://schemas.microsoft.com/office/drawing/2014/main" xmlns="" id="{2B930725-59AA-4F6D-A400-D923626F282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6848474" y="8858251"/>
              <a:ext cx="7858126" cy="781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805963</xdr:colOff>
      <xdr:row>5</xdr:row>
      <xdr:rowOff>125292</xdr:rowOff>
    </xdr:from>
    <xdr:to>
      <xdr:col>10</xdr:col>
      <xdr:colOff>918065</xdr:colOff>
      <xdr:row>8</xdr:row>
      <xdr:rowOff>21982</xdr:rowOff>
    </xdr:to>
    <mc:AlternateContent xmlns:mc="http://schemas.openxmlformats.org/markup-compatibility/2006" xmlns:a14="http://schemas.microsoft.com/office/drawing/2010/main">
      <mc:Choice Requires="a14">
        <xdr:graphicFrame macro="">
          <xdr:nvGraphicFramePr>
            <xdr:cNvPr id="2" name="Type 1">
              <a:extLst>
                <a:ext uri="{FF2B5EF4-FFF2-40B4-BE49-F238E27FC236}">
                  <a16:creationId xmlns:a16="http://schemas.microsoft.com/office/drawing/2014/main" xmlns="" id="{56E58386-A249-47F1-AF67-6557C278ADC5}"/>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7759213" y="1641965"/>
              <a:ext cx="1973140" cy="6733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2236</xdr:colOff>
      <xdr:row>2</xdr:row>
      <xdr:rowOff>243255</xdr:rowOff>
    </xdr:from>
    <xdr:to>
      <xdr:col>10</xdr:col>
      <xdr:colOff>916611</xdr:colOff>
      <xdr:row>5</xdr:row>
      <xdr:rowOff>90855</xdr:rowOff>
    </xdr:to>
    <mc:AlternateContent xmlns:mc="http://schemas.openxmlformats.org/markup-compatibility/2006" xmlns:a14="http://schemas.microsoft.com/office/drawing/2010/main">
      <mc:Choice Requires="a14">
        <xdr:graphicFrame macro="">
          <xdr:nvGraphicFramePr>
            <xdr:cNvPr id="3" name="Department 2">
              <a:extLst>
                <a:ext uri="{FF2B5EF4-FFF2-40B4-BE49-F238E27FC236}">
                  <a16:creationId xmlns:a16="http://schemas.microsoft.com/office/drawing/2014/main" xmlns="" id="{FBDF57C4-39B2-4940-AE16-7756FF78981F}"/>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04813" y="866043"/>
              <a:ext cx="9626086" cy="7414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104774</xdr:colOff>
      <xdr:row>15</xdr:row>
      <xdr:rowOff>247649</xdr:rowOff>
    </xdr:from>
    <xdr:to>
      <xdr:col>6</xdr:col>
      <xdr:colOff>9524</xdr:colOff>
      <xdr:row>29</xdr:row>
      <xdr:rowOff>161924</xdr:rowOff>
    </xdr:to>
    <xdr:graphicFrame macro="">
      <xdr:nvGraphicFramePr>
        <xdr:cNvPr id="6" name="Chart 5">
          <a:extLst>
            <a:ext uri="{FF2B5EF4-FFF2-40B4-BE49-F238E27FC236}">
              <a16:creationId xmlns:a16="http://schemas.microsoft.com/office/drawing/2014/main" xmlns="" id="{CE819015-6145-4572-A53E-C860CACF2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19050</xdr:colOff>
      <xdr:row>15</xdr:row>
      <xdr:rowOff>238125</xdr:rowOff>
    </xdr:from>
    <xdr:to>
      <xdr:col>10</xdr:col>
      <xdr:colOff>923925</xdr:colOff>
      <xdr:row>29</xdr:row>
      <xdr:rowOff>161925</xdr:rowOff>
    </xdr:to>
    <xdr:graphicFrame macro="">
      <xdr:nvGraphicFramePr>
        <xdr:cNvPr id="8" name="Chart 7">
          <a:extLst>
            <a:ext uri="{FF2B5EF4-FFF2-40B4-BE49-F238E27FC236}">
              <a16:creationId xmlns:a16="http://schemas.microsoft.com/office/drawing/2014/main" xmlns="" id="{44E66A6E-0E4C-4F14-8BCA-05100BA37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19051</xdr:colOff>
      <xdr:row>32</xdr:row>
      <xdr:rowOff>9525</xdr:rowOff>
    </xdr:from>
    <xdr:to>
      <xdr:col>10</xdr:col>
      <xdr:colOff>923926</xdr:colOff>
      <xdr:row>47</xdr:row>
      <xdr:rowOff>180974</xdr:rowOff>
    </xdr:to>
    <xdr:graphicFrame macro="">
      <xdr:nvGraphicFramePr>
        <xdr:cNvPr id="10" name="Chart 9">
          <a:extLst>
            <a:ext uri="{FF2B5EF4-FFF2-40B4-BE49-F238E27FC236}">
              <a16:creationId xmlns:a16="http://schemas.microsoft.com/office/drawing/2014/main" xmlns="" id="{10FB7F82-C8B5-4867-85F4-76ADB8A662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104774</xdr:colOff>
      <xdr:row>32</xdr:row>
      <xdr:rowOff>9525</xdr:rowOff>
    </xdr:from>
    <xdr:to>
      <xdr:col>6</xdr:col>
      <xdr:colOff>9524</xdr:colOff>
      <xdr:row>47</xdr:row>
      <xdr:rowOff>161925</xdr:rowOff>
    </xdr:to>
    <xdr:graphicFrame macro="">
      <xdr:nvGraphicFramePr>
        <xdr:cNvPr id="13" name="Chart 12">
          <a:extLst>
            <a:ext uri="{FF2B5EF4-FFF2-40B4-BE49-F238E27FC236}">
              <a16:creationId xmlns:a16="http://schemas.microsoft.com/office/drawing/2014/main" xmlns="" id="{767FC623-526A-4E87-B021-05A287849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8071</xdr:colOff>
      <xdr:row>51</xdr:row>
      <xdr:rowOff>8072</xdr:rowOff>
    </xdr:from>
    <xdr:to>
      <xdr:col>10</xdr:col>
      <xdr:colOff>936355</xdr:colOff>
      <xdr:row>64</xdr:row>
      <xdr:rowOff>184365</xdr:rowOff>
    </xdr:to>
    <xdr:graphicFrame macro="">
      <xdr:nvGraphicFramePr>
        <xdr:cNvPr id="15" name="Chart 14">
          <a:extLst>
            <a:ext uri="{FF2B5EF4-FFF2-40B4-BE49-F238E27FC236}">
              <a16:creationId xmlns:a16="http://schemas.microsoft.com/office/drawing/2014/main" xmlns="" id="{6AE7AED3-1477-44BD-BEAC-DDFCD025A9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109904</xdr:colOff>
      <xdr:row>5</xdr:row>
      <xdr:rowOff>102578</xdr:rowOff>
    </xdr:from>
    <xdr:to>
      <xdr:col>8</xdr:col>
      <xdr:colOff>688731</xdr:colOff>
      <xdr:row>8</xdr:row>
      <xdr:rowOff>183174</xdr:rowOff>
    </xdr:to>
    <mc:AlternateContent xmlns:mc="http://schemas.openxmlformats.org/markup-compatibility/2006" xmlns:a14="http://schemas.microsoft.com/office/drawing/2010/main">
      <mc:Choice Requires="a14">
        <xdr:graphicFrame macro="">
          <xdr:nvGraphicFramePr>
            <xdr:cNvPr id="16" name="Month Name 1">
              <a:extLst>
                <a:ext uri="{FF2B5EF4-FFF2-40B4-BE49-F238E27FC236}">
                  <a16:creationId xmlns:a16="http://schemas.microsoft.com/office/drawing/2014/main" xmlns="" id="{40637BF9-E1A8-4133-B0CE-9022788CEF25}"/>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212481" y="1619251"/>
              <a:ext cx="7429500"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17</xdr:row>
      <xdr:rowOff>57149</xdr:rowOff>
    </xdr:from>
    <xdr:to>
      <xdr:col>4</xdr:col>
      <xdr:colOff>714375</xdr:colOff>
      <xdr:row>27</xdr:row>
      <xdr:rowOff>171450</xdr:rowOff>
    </xdr:to>
    <xdr:graphicFrame macro="">
      <xdr:nvGraphicFramePr>
        <xdr:cNvPr id="3" name="Chart 2">
          <a:extLst>
            <a:ext uri="{FF2B5EF4-FFF2-40B4-BE49-F238E27FC236}">
              <a16:creationId xmlns:a16="http://schemas.microsoft.com/office/drawing/2014/main" xmlns="" id="{AE817629-4FF2-46D5-8AEB-B76A23755C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204787</xdr:colOff>
      <xdr:row>36</xdr:row>
      <xdr:rowOff>304800</xdr:rowOff>
    </xdr:from>
    <xdr:to>
      <xdr:col>12</xdr:col>
      <xdr:colOff>990600</xdr:colOff>
      <xdr:row>51</xdr:row>
      <xdr:rowOff>28576</xdr:rowOff>
    </xdr:to>
    <xdr:graphicFrame macro="">
      <xdr:nvGraphicFramePr>
        <xdr:cNvPr id="4" name="Chart 3">
          <a:extLst>
            <a:ext uri="{FF2B5EF4-FFF2-40B4-BE49-F238E27FC236}">
              <a16:creationId xmlns:a16="http://schemas.microsoft.com/office/drawing/2014/main" xmlns="" id="{9A264C4B-12A1-47D5-9469-765FFD90C7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1138237</xdr:colOff>
      <xdr:row>22</xdr:row>
      <xdr:rowOff>66675</xdr:rowOff>
    </xdr:from>
    <xdr:to>
      <xdr:col>12</xdr:col>
      <xdr:colOff>238125</xdr:colOff>
      <xdr:row>34</xdr:row>
      <xdr:rowOff>152400</xdr:rowOff>
    </xdr:to>
    <xdr:graphicFrame macro="">
      <xdr:nvGraphicFramePr>
        <xdr:cNvPr id="13" name="Chart 12">
          <a:extLst>
            <a:ext uri="{FF2B5EF4-FFF2-40B4-BE49-F238E27FC236}">
              <a16:creationId xmlns:a16="http://schemas.microsoft.com/office/drawing/2014/main" xmlns="" id="{4608184F-CDE6-4ADF-954A-4C38302312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180975</xdr:colOff>
      <xdr:row>62</xdr:row>
      <xdr:rowOff>57150</xdr:rowOff>
    </xdr:from>
    <xdr:to>
      <xdr:col>11</xdr:col>
      <xdr:colOff>19050</xdr:colOff>
      <xdr:row>67</xdr:row>
      <xdr:rowOff>38100</xdr:rowOff>
    </xdr:to>
    <mc:AlternateContent xmlns:mc="http://schemas.openxmlformats.org/markup-compatibility/2006" xmlns:a14="http://schemas.microsoft.com/office/drawing/2010/main">
      <mc:Choice Requires="a14">
        <xdr:graphicFrame macro="">
          <xdr:nvGraphicFramePr>
            <xdr:cNvPr id="14" name="Month Name">
              <a:extLst>
                <a:ext uri="{FF2B5EF4-FFF2-40B4-BE49-F238E27FC236}">
                  <a16:creationId xmlns:a16="http://schemas.microsoft.com/office/drawing/2014/main" xmlns="" id="{DA430F95-E401-42E8-B1F9-BD5E88DE1387}"/>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8058150" y="14325600"/>
              <a:ext cx="352425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266700</xdr:colOff>
      <xdr:row>61</xdr:row>
      <xdr:rowOff>223837</xdr:rowOff>
    </xdr:from>
    <xdr:to>
      <xdr:col>7</xdr:col>
      <xdr:colOff>1152525</xdr:colOff>
      <xdr:row>76</xdr:row>
      <xdr:rowOff>14287</xdr:rowOff>
    </xdr:to>
    <xdr:graphicFrame macro="">
      <xdr:nvGraphicFramePr>
        <xdr:cNvPr id="15" name="Chart 14">
          <a:extLst>
            <a:ext uri="{FF2B5EF4-FFF2-40B4-BE49-F238E27FC236}">
              <a16:creationId xmlns:a16="http://schemas.microsoft.com/office/drawing/2014/main" xmlns="" id="{8F879C90-E649-4CFD-B906-D7E4455A6B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123825</xdr:colOff>
      <xdr:row>6</xdr:row>
      <xdr:rowOff>180975</xdr:rowOff>
    </xdr:from>
    <xdr:to>
      <xdr:col>6</xdr:col>
      <xdr:colOff>1076325</xdr:colOff>
      <xdr:row>17</xdr:row>
      <xdr:rowOff>352425</xdr:rowOff>
    </xdr:to>
    <xdr:graphicFrame macro="">
      <xdr:nvGraphicFramePr>
        <xdr:cNvPr id="16" name="Chart 15">
          <a:extLst>
            <a:ext uri="{FF2B5EF4-FFF2-40B4-BE49-F238E27FC236}">
              <a16:creationId xmlns:a16="http://schemas.microsoft.com/office/drawing/2014/main" xmlns="" id="{84007C12-8B9B-4399-820C-2E9E92DBD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invalid="1" saveData="0" refreshedBy="A-GF-L8-D02" refreshedDate="46186.837669907407" createdVersion="3" refreshedVersion="6" minRefreshableVersion="3" recordCount="0" tupleCache="1" supportSubquery="1" supportAdvancedDrill="1">
  <cacheSource type="external" connectionId="8"/>
  <cacheFields count="5">
    <cacheField name="[Measures].[MeasuresLevel]" caption="MeasuresLevel" numFmtId="0" hierarchy="12">
      <sharedItems count="2">
        <s v="[Measures].[Budget]" c="Budget"/>
        <s v="[Measures].[Actual]" c="Actual"/>
      </sharedItems>
    </cacheField>
    <cacheField name="[Calender].[Month Name].[Month Name]" caption="Month Name" numFmtId="0" hierarchy="5" level="1">
      <sharedItems count="12">
        <s v="[Calender].[Month Name].&amp;[Jan]" c="Jan"/>
        <s v="[Calender].[Month Name].&amp;[Apr]" c="Apr"/>
        <s v="[Calender].[Month Name].&amp;[Mar]" c="Mar"/>
        <s v="[Calender].[Month Name].&amp;[Feb]" c="Feb"/>
        <s v="[Calender].[Month Name].&amp;[Jun]" c="Jun"/>
        <s v="[Calender].[Month Name].&amp;[May]" c="May"/>
        <s v="[Calender].[Month Name].&amp;[Dec]" c="Dec"/>
        <s v="[Calender].[Month Name].&amp;[Nov]" c="Nov"/>
        <s v="[Calender].[Month Name].&amp;[Oct]" c="Oct"/>
        <s v="[Calender].[Month Name].&amp;[Jul]" c="Jul"/>
        <s v="[Calender].[Month Name].&amp;[Sep]" c="Sep"/>
        <s v="[Calender].[Month Name].&amp;[Aug]" c="Aug"/>
      </sharedItems>
    </cacheField>
    <cacheField name="[D_Account].[AccountName].[AccountName]" caption="AccountName" numFmtId="0" hierarchy="9" level="1">
      <sharedItems count="16">
        <s v="[D_Account].[AccountName].&amp;[Salaries]" c="Salaries"/>
        <s v="[D_Account].[AccountName].&amp;[Rent]" c="Rent"/>
        <s v="[D_Account].[AccountName].&amp;[Professional Services]" c="Professional Services"/>
        <s v="[D_Account].[AccountName].&amp;[Office Supplies]" c="Office Supplies"/>
        <s v="[D_Account].[AccountName].&amp;[Marketing Materials]" c="Marketing Materials"/>
        <s v="[D_Account].[AccountName].&amp;[Furniture, Fixtures, and Equipment]" c="Furniture, Fixtures, and Equipment"/>
        <s v="[D_Account].[AccountName].&amp;[Employee Benefits]" c="Employee Benefits"/>
        <s v="[D_Account].[AccountName].&amp;[Cost of Sales]" c="Cost of Sales"/>
        <s v="[D_Account].[AccountName].&amp;[Discounts]" c="Discounts"/>
        <s v="[D_Account].[AccountName].&amp;[Sales]" c="Sales"/>
        <s v="[D_Account].[AccountName].&amp;[Telephone]" c="Telephone"/>
        <s v="[D_Account].[AccountName].&amp;[Conferences]" c="Conferences"/>
        <s v="[D_Account].[AccountName].&amp;[Utilities]" c="Utilities"/>
        <s v="[D_Account].[AccountName].&amp;[Vehicles]" c="Vehicles"/>
        <s v="[D_Account].[AccountName].&amp;[Commissions]" c="Commissions"/>
        <s v="[D_Account].[AccountName].&amp;[Travel]" c="Travel"/>
      </sharedItems>
    </cacheField>
    <cacheField name="[D_Department].[Department].[Department]" caption="Department" numFmtId="0" hierarchy="10" level="1">
      <sharedItems count="7">
        <s v="[D_Department].[Department].&amp;[Project]" c="Project"/>
        <s v="[D_Department].[Department].&amp;[General and Administration]" c="General and Administration"/>
        <s v="[D_Department].[Department].&amp;[Finance]" c="Finance"/>
        <s v="[D_Department].[Department].&amp;[Corporate]" c="Corporate"/>
        <s v="[D_Department].[Department].&amp;[Account]" c="Account"/>
        <s v="[D_Department].[Department].&amp;[Operations]" c="Operations"/>
        <s v="[D_Department].[Department].&amp;[Sales &amp; Marketing]" c="Sales &amp; Marketing"/>
      </sharedItems>
    </cacheField>
    <cacheField name="[D_Type].[Type].[Type]" caption="Type" numFmtId="0" hierarchy="11" level="1">
      <sharedItems count="2">
        <s v="[D_Type].[Type].&amp;[Budget]" c="Budget"/>
        <s v="[D_Type].[Type].&amp;[Actual]" c="Actual"/>
      </sharedItems>
    </cacheField>
  </cacheFields>
  <cacheHierarchies count="33">
    <cacheHierarchy uniqueName="[Actual].[Date]" caption="Date" attribute="1" time="1" defaultMemberUniqueName="[Actual].[Date].[All]" allUniqueName="[Actual].[Date].[All]" dimensionUniqueName="[Actual]" displayFolder="" count="2" memberValueDatatype="7" unbalanced="0"/>
    <cacheHierarchy uniqueName="[Actual].[Amount]" caption="Amount" attribute="1" defaultMemberUniqueName="[Actual].[Amount].[All]" allUniqueName="[Actual].[Amount].[All]" dimensionUniqueName="[Actual]" displayFolder="" count="2" memberValueDatatype="20" unbalanced="0"/>
    <cacheHierarchy uniqueName="[Budget].[Date]" caption="Date" attribute="1" time="1" defaultMemberUniqueName="[Budget].[Date].[All]" allUniqueName="[Budget].[Date].[All]" dimensionUniqueName="[Budget]" displayFolder="" count="2" memberValueDatatype="7" unbalanced="0"/>
    <cacheHierarchy uniqueName="[Budget].[Amount]" caption="Amount" attribute="1" defaultMemberUniqueName="[Budget].[Amount].[All]" allUniqueName="[Budget].[Amount].[All]" dimensionUniqueName="[Budget]" displayFolder="" count="2" memberValueDatatype="5" unbalanced="0"/>
    <cacheHierarchy uniqueName="[Calender].[Date]" caption="Date" attribute="1" time="1" defaultMemberUniqueName="[Calender].[Date].[All]" allUniqueName="[Calender].[Date].[All]" dimensionUniqueName="[Calender]" displayFolder="" count="2" memberValueDatatype="7" unbalanced="0"/>
    <cacheHierarchy uniqueName="[Calender].[Month Name]" caption="Month Name" attribute="1" defaultMemberUniqueName="[Calender].[Month Name].[All]" allUniqueName="[Calender].[Month Name].[All]" dimensionUniqueName="[Calender]" displayFolder="" count="2" memberValueDatatype="130" unbalanced="0">
      <fieldsUsage count="2">
        <fieldUsage x="-1"/>
        <fieldUsage x="1"/>
      </fieldsUsage>
    </cacheHierarchy>
    <cacheHierarchy uniqueName="[Calender].[Month]" caption="Month" attribute="1" defaultMemberUniqueName="[Calender].[Month].[All]" allUniqueName="[Calender].[Month].[All]" dimensionUniqueName="[Calender]" displayFolder="" count="2" memberValueDatatype="20" unbalanced="0"/>
    <cacheHierarchy uniqueName="[Calender].[Year]" caption="Year" attribute="1" defaultMemberUniqueName="[Calender].[Year].[All]" allUniqueName="[Calender].[Year].[All]" dimensionUniqueName="[Calender]" displayFolder="" count="2" memberValueDatatype="20" unbalanced="0"/>
    <cacheHierarchy uniqueName="[D_Account].[AccountCode]" caption="AccountCode" attribute="1" defaultMemberUniqueName="[D_Account].[AccountCode].[All]" allUniqueName="[D_Account].[AccountCode].[All]" dimensionUniqueName="[D_Account]" displayFolder="" count="2" memberValueDatatype="20" unbalanced="0"/>
    <cacheHierarchy uniqueName="[D_Account].[AccountName]" caption="AccountName" attribute="1" defaultMemberUniqueName="[D_Account].[AccountName].[All]" allUniqueName="[D_Account].[AccountName].[All]" allCaption="All" dimensionUniqueName="[D_Account]" displayFolder="" count="2" memberValueDatatype="130" unbalanced="0">
      <fieldsUsage count="2">
        <fieldUsage x="-1"/>
        <fieldUsage x="2"/>
      </fieldsUsage>
    </cacheHierarchy>
    <cacheHierarchy uniqueName="[D_Department].[Department]" caption="Department" attribute="1" defaultMemberUniqueName="[D_Department].[Department].[All]" allUniqueName="[D_Department].[Department].[All]" allCaption="All" dimensionUniqueName="[D_Department]" displayFolder="" count="2" memberValueDatatype="130" unbalanced="0">
      <fieldsUsage count="2">
        <fieldUsage x="-1"/>
        <fieldUsage x="3"/>
      </fieldsUsage>
    </cacheHierarchy>
    <cacheHierarchy uniqueName="[D_Type].[Type]" caption="Type" attribute="1" defaultMemberUniqueName="[D_Type].[Type].[All]" allUniqueName="[D_Type].[Type].[All]" allCaption="All" dimensionUniqueName="[D_Type]" displayFolder="" count="2" memberValueDatatype="130" unbalanced="0">
      <fieldsUsage count="2">
        <fieldUsage x="-1"/>
        <fieldUsage x="4"/>
      </fieldsUsage>
    </cacheHierarchy>
    <cacheHierarchy uniqueName="[Measures]" caption="Measures" attribute="1" keyAttribute="1" defaultMemberUniqueName="[Measures].[__No measures defined]" dimensionUniqueName="[Measures]" displayFolder="" measures="1" count="1" memberValueDatatype="130" unbalanced="0">
      <fieldsUsage count="1">
        <fieldUsage x="0"/>
      </fieldsUsage>
    </cacheHierarchy>
    <cacheHierarchy uniqueName="[Actual].[AccountCode]" caption="AccountCode" attribute="1" defaultMemberUniqueName="[Actual].[AccountCode].[All]" allUniqueName="[Actual].[AccountCode].[All]" dimensionUniqueName="[Actual]" displayFolder="" count="2" memberValueDatatype="20" unbalanced="0" hidden="1"/>
    <cacheHierarchy uniqueName="[Actual].[AccountName]" caption="AccountName" attribute="1" defaultMemberUniqueName="[Actual].[AccountName].[All]" allUniqueName="[Actual].[AccountName].[All]" dimensionUniqueName="[Actual]" displayFolder="" count="2" memberValueDatatype="130" unbalanced="0" hidden="1"/>
    <cacheHierarchy uniqueName="[Actual].[Department]" caption="Department" attribute="1" defaultMemberUniqueName="[Actual].[Department].[All]" allUniqueName="[Actual].[Department].[All]" dimensionUniqueName="[Actual]" displayFolder="" count="2" memberValueDatatype="130" unbalanced="0" hidden="1"/>
    <cacheHierarchy uniqueName="[Actual].[Type]" caption="Type" attribute="1" defaultMemberUniqueName="[Actual].[Type].[All]" allUniqueName="[Actual].[Type].[All]" dimensionUniqueName="[Actual]" displayFolder="" count="2" memberValueDatatype="130" unbalanced="0" hidden="1"/>
    <cacheHierarchy uniqueName="[Budget].[AccountCode]" caption="AccountCode" attribute="1" defaultMemberUniqueName="[Budget].[AccountCode].[All]" allUniqueName="[Budget].[AccountCode].[All]" dimensionUniqueName="[Budget]" displayFolder="" count="2" memberValueDatatype="20" unbalanced="0" hidden="1"/>
    <cacheHierarchy uniqueName="[Budget].[AccountName]" caption="AccountName" attribute="1" defaultMemberUniqueName="[Budget].[AccountName].[All]" allUniqueName="[Budget].[AccountName].[All]" dimensionUniqueName="[Budget]" displayFolder="" count="2" memberValueDatatype="130" unbalanced="0" hidden="1"/>
    <cacheHierarchy uniqueName="[Budget].[Department]" caption="Department" attribute="1" defaultMemberUniqueName="[Budget].[Department].[All]" allUniqueName="[Budget].[Department].[All]" dimensionUniqueName="[Budget]" displayFolder="" count="2" memberValueDatatype="130" unbalanced="0" hidden="1"/>
    <cacheHierarchy uniqueName="[Budget].[Type]" caption="Type" attribute="1" defaultMemberUniqueName="[Budget].[Type].[All]" allUniqueName="[Budget].[Type].[All]" dimensionUniqueName="[Budget]" displayFolder="" count="2" memberValueDatatype="130" unbalanced="0" hidden="1"/>
    <cacheHierarchy uniqueName="[Measures].[Sum of Amount]" caption="Sum of Amount" measure="1" displayFolder="" measureGroup="Actual" count="0">
      <extLst>
        <ext xmlns:x15="http://schemas.microsoft.com/office/spreadsheetml/2010/11/main" uri="{B97F6D7D-B522-45F9-BDA1-12C45D357490}">
          <x15:cacheHierarchy aggregatedColumn="1"/>
        </ext>
      </extLst>
    </cacheHierarchy>
    <cacheHierarchy uniqueName="[Measures].[Sum of Amount 2]" caption="Sum of Amount 2" measure="1" displayFolder="" measureGroup="Budget" count="0">
      <extLst>
        <ext xmlns:x15="http://schemas.microsoft.com/office/spreadsheetml/2010/11/main" uri="{B97F6D7D-B522-45F9-BDA1-12C45D357490}">
          <x15:cacheHierarchy aggregatedColumn="3"/>
        </ext>
      </extLst>
    </cacheHierarchy>
    <cacheHierarchy uniqueName="[Measures].[Count of Month Name]" caption="Count of Month Name" measure="1" displayFolder="" measureGroup="Calender" count="0">
      <extLst>
        <ext xmlns:x15="http://schemas.microsoft.com/office/spreadsheetml/2010/11/main" uri="{B97F6D7D-B522-45F9-BDA1-12C45D357490}">
          <x15:cacheHierarchy aggregatedColumn="5"/>
        </ext>
      </extLst>
    </cacheHierarchy>
    <cacheHierarchy uniqueName="[Measures].[Actual]" caption="Actual" measure="1" displayFolder="" measureGroup="Actual" count="0"/>
    <cacheHierarchy uniqueName="[Measures].[Budget]" caption="Budget" measure="1" displayFolder="" measureGroup="Budget" count="0"/>
    <cacheHierarchy uniqueName="[Measures].[__XL_Count Actual]" caption="__XL_Count Actual" measure="1" displayFolder="" measureGroup="Actual" count="0" hidden="1"/>
    <cacheHierarchy uniqueName="[Measures].[__XL_Count Budget]" caption="__XL_Count Budget" measure="1" displayFolder="" measureGroup="Budget" count="0" hidden="1"/>
    <cacheHierarchy uniqueName="[Measures].[__XL_Count D_Account]" caption="__XL_Count D_Account" measure="1" displayFolder="" measureGroup="D_Account" count="0" hidden="1"/>
    <cacheHierarchy uniqueName="[Measures].[__XL_Count D_Department]" caption="__XL_Count D_Department" measure="1" displayFolder="" measureGroup="D_Department" count="0" hidden="1"/>
    <cacheHierarchy uniqueName="[Measures].[__XL_Count D_Type]" caption="__XL_Count D_Type" measure="1" displayFolder="" measureGroup="D_Type"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tupleCache>
    <entries count="8422">
      <n v="9923912" in="0">
        <tpls c="2">
          <tpl fld="1" item="0"/>
          <tpl fld="0" item="1"/>
        </tpls>
      </n>
      <n v="9189975" in="0">
        <tpls c="2">
          <tpl fld="1" item="6"/>
          <tpl fld="0" item="1"/>
        </tpls>
      </n>
      <n v="7943600" in="0">
        <tpls c="2">
          <tpl fld="1" item="7"/>
          <tpl fld="0" item="1"/>
        </tpls>
      </n>
      <n v="14830656" in="0">
        <tpls c="2">
          <tpl fld="1" item="8"/>
          <tpl fld="0" item="1"/>
        </tpls>
      </n>
      <n v="5726331" in="0">
        <tpls c="2">
          <tpl fld="1" item="10"/>
          <tpl fld="0" item="1"/>
        </tpls>
      </n>
      <n v="763011" in="0">
        <tpls c="2">
          <tpl fld="1" item="11"/>
          <tpl fld="0" item="1"/>
        </tpls>
      </n>
      <n v="10721573" in="0">
        <tpls c="2">
          <tpl fld="1" item="9"/>
          <tpl fld="0" item="1"/>
        </tpls>
      </n>
      <n v="715465" in="0">
        <tpls c="2">
          <tpl fld="1" item="4"/>
          <tpl fld="0" item="1"/>
        </tpls>
      </n>
      <n v="6722616" in="0">
        <tpls c="2">
          <tpl fld="1" item="5"/>
          <tpl fld="0" item="1"/>
        </tpls>
      </n>
      <n v="2711694" in="0">
        <tpls c="2">
          <tpl fld="1" item="1"/>
          <tpl fld="0" item="1"/>
        </tpls>
      </n>
      <n v="7396807" in="0">
        <tpls c="2">
          <tpl fld="1" item="2"/>
          <tpl fld="0" item="1"/>
        </tpls>
      </n>
      <n v="6072415" in="0">
        <tpls c="2">
          <tpl fld="1" item="3"/>
          <tpl fld="0" item="1"/>
        </tpls>
      </n>
      <n v="-15456.75" in="0">
        <tpls c="5">
          <tpl fld="1" item="1"/>
          <tpl fld="2" item="3"/>
          <tpl hier="10" item="1"/>
          <tpl hier="11" item="0"/>
          <tpl fld="0" item="0"/>
        </tpls>
      </n>
      <n v="-2567" in="0">
        <tpls c="5">
          <tpl fld="1" item="1"/>
          <tpl fld="2" item="2"/>
          <tpl hier="10" item="1"/>
          <tpl hier="11" item="0"/>
          <tpl fld="0" item="1"/>
        </tpls>
      </n>
      <n v="-14892" in="0">
        <tpls c="5">
          <tpl fld="1" item="2"/>
          <tpl fld="2" item="3"/>
          <tpl hier="10" item="1"/>
          <tpl hier="11" item="0"/>
          <tpl fld="0" item="1"/>
        </tpls>
      </n>
      <n v="-21642" in="0">
        <tpls c="5">
          <tpl fld="1" item="3"/>
          <tpl fld="2" item="4"/>
          <tpl hier="10" item="1"/>
          <tpl hier="11" item="0"/>
          <tpl fld="0" item="1"/>
        </tpls>
      </n>
      <n v="-4201" in="0">
        <tpls c="5">
          <tpl fld="1" item="1"/>
          <tpl fld="2" item="2"/>
          <tpl hier="10" item="1"/>
          <tpl hier="11" item="0"/>
          <tpl fld="0" item="0"/>
        </tpls>
      </n>
      <n v="-16291.75" in="0">
        <tpls c="5">
          <tpl fld="1" item="2"/>
          <tpl fld="2" item="3"/>
          <tpl hier="10" item="1"/>
          <tpl hier="11" item="0"/>
          <tpl fld="0" item="0"/>
        </tpls>
      </n>
      <n v="-3177.25" in="0">
        <tpls c="5">
          <tpl fld="1" item="3"/>
          <tpl fld="2" item="4"/>
          <tpl hier="10" item="1"/>
          <tpl hier="11" item="0"/>
          <tpl fld="0" item="0"/>
        </tpls>
      </n>
      <n v="-196141" in="0">
        <tpls c="5">
          <tpl fld="1" item="1"/>
          <tpl fld="2" item="6"/>
          <tpl hier="10" item="1"/>
          <tpl hier="11" item="0"/>
          <tpl fld="0" item="1"/>
        </tpls>
      </n>
      <n v="-2710779" in="0">
        <tpls c="5">
          <tpl fld="1" item="1"/>
          <tpl fld="2" item="7"/>
          <tpl hier="10" item="1"/>
          <tpl hier="11" item="0"/>
          <tpl fld="0" item="1"/>
        </tpls>
      </n>
      <n v="-12990" in="0">
        <tpls c="5">
          <tpl fld="1" item="6"/>
          <tpl fld="2" item="1"/>
          <tpl hier="10" item="1"/>
          <tpl hier="11" item="0"/>
          <tpl fld="0" item="1"/>
        </tpls>
      </n>
      <n v="-25282" in="0">
        <tpls c="5">
          <tpl fld="1" item="6"/>
          <tpl fld="2" item="4"/>
          <tpl hier="10" item="1"/>
          <tpl hier="11" item="0"/>
          <tpl fld="0" item="1"/>
        </tpls>
      </n>
      <n v="-1215" in="0">
        <tpls c="5">
          <tpl fld="1" item="6"/>
          <tpl fld="2" item="4"/>
          <tpl hier="10" item="1"/>
          <tpl hier="11" item="0"/>
          <tpl fld="0" item="0"/>
        </tpls>
      </n>
      <n v="-4838" in="0">
        <tpls c="5">
          <tpl fld="1" item="2"/>
          <tpl fld="2" item="2"/>
          <tpl hier="10" item="1"/>
          <tpl hier="11" item="0"/>
          <tpl fld="0" item="0"/>
        </tpls>
      </n>
      <n v="-101243.16666666667" in="0">
        <tpls c="5">
          <tpl fld="1" item="2"/>
          <tpl fld="2" item="7"/>
          <tpl hier="10" item="1"/>
          <tpl hier="11" item="0"/>
          <tpl fld="0" item="0"/>
        </tpls>
      </n>
      <n v="-4150" in="0">
        <tpls c="5">
          <tpl fld="1" item="3"/>
          <tpl fld="2" item="2"/>
          <tpl hier="10" item="1"/>
          <tpl hier="11" item="0"/>
          <tpl fld="0" item="1"/>
        </tpls>
      </n>
      <n v="-2138939" in="0">
        <tpls c="5">
          <tpl fld="1" item="3"/>
          <tpl fld="2" item="7"/>
          <tpl hier="10" item="1"/>
          <tpl hier="11" item="0"/>
          <tpl fld="0" item="1"/>
        </tpls>
      </n>
      <n v="-12890" in="0">
        <tpls c="5">
          <tpl fld="1" item="8"/>
          <tpl fld="2" item="1"/>
          <tpl hier="10" item="1"/>
          <tpl hier="11" item="0"/>
          <tpl fld="0" item="1"/>
        </tpls>
      </n>
      <n v="-19823" in="0">
        <tpls c="5">
          <tpl fld="1" item="8"/>
          <tpl fld="2" item="4"/>
          <tpl hier="10" item="1"/>
          <tpl hier="11" item="0"/>
          <tpl fld="0" item="1"/>
        </tpls>
      </n>
      <n v="-32427.75" in="0">
        <tpls c="5">
          <tpl fld="1" item="2"/>
          <tpl fld="2" item="1"/>
          <tpl hier="10" item="1"/>
          <tpl hier="11" item="0"/>
          <tpl fld="0" item="0"/>
        </tpls>
      </n>
      <n v="-21579" in="0">
        <tpls c="5">
          <tpl fld="1" item="8"/>
          <tpl fld="2" item="3"/>
          <tpl hier="10" item="1"/>
          <tpl hier="11" item="0"/>
          <tpl fld="0" item="1"/>
        </tpls>
      </n>
      <n v="-4541.25" in="0">
        <tpls c="5">
          <tpl fld="1" item="6"/>
          <tpl fld="2" item="2"/>
          <tpl hier="10" item="1"/>
          <tpl hier="11" item="0"/>
          <tpl fld="0" item="0"/>
        </tpls>
      </n>
      <n v="-43" in="0">
        <tpls c="5">
          <tpl fld="1" item="1"/>
          <tpl fld="2" item="8"/>
          <tpl hier="10" item="1"/>
          <tpl hier="11" item="0"/>
          <tpl fld="0" item="0"/>
        </tpls>
      </n>
      <n v="-8566.5" in="0">
        <tpls c="5">
          <tpl fld="1" item="6"/>
          <tpl fld="2" item="5"/>
          <tpl hier="10" item="1"/>
          <tpl hier="11" item="0"/>
          <tpl fld="0" item="0"/>
        </tpls>
      </n>
      <n v="-32778.5" in="0">
        <tpls c="5">
          <tpl fld="1" item="6"/>
          <tpl fld="2" item="1"/>
          <tpl hier="10" item="1"/>
          <tpl hier="11" item="0"/>
          <tpl fld="0" item="0"/>
        </tpls>
      </n>
      <n v="-93656.25" in="0">
        <tpls c="5">
          <tpl fld="1" item="1"/>
          <tpl fld="2" item="7"/>
          <tpl hier="10" item="1"/>
          <tpl hier="11" item="0"/>
          <tpl fld="0" item="0"/>
        </tpls>
      </n>
      <n v="-12950" in="0">
        <tpls c="5">
          <tpl fld="1" item="7"/>
          <tpl fld="2" item="1"/>
          <tpl hier="10" item="1"/>
          <tpl hier="11" item="0"/>
          <tpl fld="0" item="1"/>
        </tpls>
      </n>
      <n v="-89150" in="0">
        <tpls c="5">
          <tpl fld="1" item="9"/>
          <tpl fld="2" item="10"/>
          <tpl hier="10" item="1"/>
          <tpl hier="11" item="0"/>
          <tpl fld="0" item="0"/>
        </tpls>
      </n>
      <n v="-22566" in="0">
        <tpls c="5">
          <tpl fld="1" item="7"/>
          <tpl fld="2" item="4"/>
          <tpl hier="10" item="1"/>
          <tpl hier="11" item="0"/>
          <tpl fld="0" item="1"/>
        </tpls>
      </n>
      <n v="-1184.5" in="0">
        <tpls c="5">
          <tpl fld="1" item="7"/>
          <tpl fld="2" item="4"/>
          <tpl hier="10" item="1"/>
          <tpl hier="11" item="0"/>
          <tpl fld="0" item="0"/>
        </tpls>
      </n>
      <n v="-3931.75" in="0">
        <tpls c="5">
          <tpl fld="1" item="3"/>
          <tpl fld="2" item="2"/>
          <tpl hier="10" item="1"/>
          <tpl hier="11" item="0"/>
          <tpl fld="0" item="0"/>
        </tpls>
      </n>
      <n v="-125065.08333333333" in="0">
        <tpls c="5">
          <tpl fld="1" item="3"/>
          <tpl fld="2" item="7"/>
          <tpl hier="10" item="1"/>
          <tpl hier="11" item="0"/>
          <tpl fld="0" item="0"/>
        </tpls>
      </n>
      <n v="-12860" in="0">
        <tpls c="5">
          <tpl fld="1" item="2"/>
          <tpl fld="2" item="1"/>
          <tpl hier="10" item="1"/>
          <tpl hier="11" item="0"/>
          <tpl fld="0" item="1"/>
        </tpls>
      </n>
      <n v="8716551" in="0">
        <tpls c="5">
          <tpl fld="1" item="1"/>
          <tpl fld="2" item="9"/>
          <tpl hier="10" item="1"/>
          <tpl hier="11" item="0"/>
          <tpl fld="0" item="0"/>
        </tpls>
      </n>
      <n v="-27118" in="0">
        <tpls c="5">
          <tpl fld="1" item="4"/>
          <tpl fld="2" item="4"/>
          <tpl hier="10" item="1"/>
          <tpl hier="11" item="0"/>
          <tpl fld="0" item="1"/>
        </tpls>
      </n>
      <n v="-528042" in="0">
        <tpls c="5">
          <tpl fld="1" item="1"/>
          <tpl fld="2" item="8"/>
          <tpl hier="10" item="1"/>
          <tpl hier="11" item="0"/>
          <tpl fld="0" item="1"/>
        </tpls>
      </n>
      <n v="-309493" in="0">
        <tpls c="5">
          <tpl fld="1" item="2"/>
          <tpl fld="2" item="8"/>
          <tpl hier="10" item="1"/>
          <tpl hier="11" item="0"/>
          <tpl fld="0" item="1"/>
        </tpls>
      </n>
      <n v="-8811" in="0">
        <tpls c="5">
          <tpl fld="1" item="7"/>
          <tpl fld="2" item="5"/>
          <tpl hier="10" item="1"/>
          <tpl hier="11" item="0"/>
          <tpl fld="0" item="1"/>
        </tpls>
      </n>
      <n v="-751.75" in="0">
        <tpls c="5">
          <tpl fld="1" item="2"/>
          <tpl fld="2" item="8"/>
          <tpl hier="10" item="1"/>
          <tpl hier="11" item="0"/>
          <tpl fld="0" item="0"/>
        </tpls>
      </n>
      <n v="-15409.75" in="0">
        <tpls c="5">
          <tpl fld="1" item="3"/>
          <tpl fld="2" item="3"/>
          <tpl hier="10" item="1"/>
          <tpl hier="11" item="0"/>
          <tpl fld="0" item="0"/>
        </tpls>
      </n>
      <n v="-2118947" in="0">
        <tpls c="5">
          <tpl fld="1" item="4"/>
          <tpl fld="2" item="7"/>
          <tpl hier="10" item="1"/>
          <tpl hier="11" item="0"/>
          <tpl fld="0" item="1"/>
        </tpls>
      </n>
      <n v="-2658131" in="0">
        <tpls c="5">
          <tpl fld="1" item="6"/>
          <tpl fld="2" item="0"/>
          <tpl hier="10" item="1"/>
          <tpl hier="11" item="0"/>
          <tpl fld="0" item="1"/>
        </tpls>
      </n>
      <n v="-30237.75" in="0">
        <tpls c="5">
          <tpl fld="1" item="1"/>
          <tpl fld="2" item="1"/>
          <tpl hier="10" item="1"/>
          <tpl hier="11" item="0"/>
          <tpl fld="0" item="0"/>
        </tpls>
      </n>
      <n v="-1696286.75" in="0">
        <tpls c="5">
          <tpl fld="1" item="7"/>
          <tpl fld="2" item="0"/>
          <tpl hier="10" item="1"/>
          <tpl hier="11" item="0"/>
          <tpl fld="0" item="0"/>
        </tpls>
      </n>
      <n v="-119684.5" in="0">
        <tpls c="5">
          <tpl fld="1" item="6"/>
          <tpl fld="2" item="6"/>
          <tpl hier="10" item="1"/>
          <tpl hier="11" item="0"/>
          <tpl fld="0" item="0"/>
        </tpls>
      </n>
      <n v="13708858" in="0">
        <tpls c="5">
          <tpl fld="1" item="2"/>
          <tpl fld="2" item="9"/>
          <tpl hier="10" item="1"/>
          <tpl hier="11" item="0"/>
          <tpl fld="0" item="1"/>
        </tpls>
      </n>
      <n v="7913565" in="0">
        <tpls c="5">
          <tpl fld="1" item="2"/>
          <tpl fld="2" item="9"/>
          <tpl hier="10" item="1"/>
          <tpl hier="11" item="0"/>
          <tpl fld="0" item="0"/>
        </tpls>
      </n>
      <n v="-29679" in="0">
        <tpls c="5">
          <tpl fld="1" item="3"/>
          <tpl fld="2" item="1"/>
          <tpl hier="10" item="1"/>
          <tpl hier="11" item="0"/>
          <tpl fld="0" item="0"/>
        </tpls>
      </n>
      <n v="-5165.25" in="0">
        <tpls c="5">
          <tpl fld="1" item="9"/>
          <tpl fld="2" item="8"/>
          <tpl hier="10" item="1"/>
          <tpl hier="11" item="0"/>
          <tpl fld="0" item="0"/>
        </tpls>
      </n>
      <n v="-16021.25" in="0">
        <tpls c="5">
          <tpl fld="1" item="9"/>
          <tpl fld="2" item="3"/>
          <tpl hier="10" item="1"/>
          <tpl hier="11" item="0"/>
          <tpl fld="0" item="0"/>
        </tpls>
      </n>
      <n v="-200602" in="0">
        <tpls c="5">
          <tpl fld="1" item="4"/>
          <tpl fld="2" item="6"/>
          <tpl hier="10" item="1"/>
          <tpl hier="11" item="0"/>
          <tpl fld="0" item="1"/>
        </tpls>
      </n>
      <n v="-123156.5" in="0">
        <tpls c="5">
          <tpl fld="1" item="1"/>
          <tpl fld="2" item="6"/>
          <tpl hier="10" item="1"/>
          <tpl hier="11" item="0"/>
          <tpl fld="0" item="0"/>
        </tpls>
      </n>
      <n v="-156649" in="0">
        <tpls c="5">
          <tpl fld="1" item="7"/>
          <tpl fld="2" item="10"/>
          <tpl hier="10" item="1"/>
          <tpl hier="11" item="0"/>
          <tpl fld="0" item="1"/>
        </tpls>
      </n>
      <n v="-180364" in="0">
        <tpls c="5">
          <tpl fld="1" item="2"/>
          <tpl fld="2" item="6"/>
          <tpl hier="10" item="1"/>
          <tpl hier="11" item="0"/>
          <tpl fld="0" item="1"/>
        </tpls>
      </n>
      <n v="17358279" in="0">
        <tpls c="5">
          <tpl fld="1" item="6"/>
          <tpl fld="2" item="9"/>
          <tpl hier="10" item="1"/>
          <tpl hier="11" item="0"/>
          <tpl fld="0" item="1"/>
        </tpls>
      </n>
      <n v="-5020" in="0">
        <tpls c="5">
          <tpl fld="1" item="2"/>
          <tpl fld="2" item="2"/>
          <tpl hier="10" item="1"/>
          <tpl hier="11" item="0"/>
          <tpl fld="0" item="1"/>
        </tpls>
      </n>
      <n v="-3023690" in="0">
        <tpls c="5">
          <tpl fld="1" item="2"/>
          <tpl fld="2" item="7"/>
          <tpl hier="10" item="1"/>
          <tpl hier="11" item="0"/>
          <tpl fld="0" item="1"/>
        </tpls>
      </n>
      <n v="-34868.5" in="0">
        <tpls c="5">
          <tpl fld="1" item="3"/>
          <tpl fld="2" item="12"/>
          <tpl hier="10" item="1"/>
          <tpl hier="11" item="0"/>
          <tpl fld="0" item="0"/>
        </tpls>
      </n>
      <n v="-32301.75" in="0">
        <tpls c="5">
          <tpl fld="1" item="7"/>
          <tpl fld="2" item="1"/>
          <tpl hier="10" item="1"/>
          <tpl hier="11" item="0"/>
          <tpl fld="0" item="0"/>
        </tpls>
      </n>
      <n v="-231516" in="0">
        <tpls c="5">
          <tpl fld="1" item="4"/>
          <tpl fld="2" item="10"/>
          <tpl hier="10" item="1"/>
          <tpl hier="11" item="0"/>
          <tpl fld="0" item="1"/>
        </tpls>
      </n>
      <n v="-4301" in="0">
        <tpls c="5">
          <tpl fld="1" item="7"/>
          <tpl fld="2" item="11"/>
          <tpl hier="10" item="1"/>
          <tpl hier="11" item="0"/>
          <tpl fld="0" item="1"/>
        </tpls>
      </n>
      <n v="-12404" in="0">
        <tpls c="5">
          <tpl fld="1" item="1"/>
          <tpl fld="2" item="5"/>
          <tpl hier="10" item="1"/>
          <tpl hier="11" item="0"/>
          <tpl fld="0" item="1"/>
        </tpls>
      </n>
      <n v="-80918" in="0">
        <tpls c="5">
          <tpl fld="1" item="1"/>
          <tpl fld="2" item="10"/>
          <tpl hier="10" item="1"/>
          <tpl hier="11" item="0"/>
          <tpl fld="0" item="0"/>
        </tpls>
      </n>
      <n v="-3830.5" in="0">
        <tpls c="5">
          <tpl fld="1" item="10"/>
          <tpl fld="2" item="11"/>
          <tpl hier="10" item="1"/>
          <tpl hier="11" item="0"/>
          <tpl fld="0" item="0"/>
        </tpls>
      </n>
      <n v="-224963" in="0">
        <tpls c="5">
          <tpl fld="1" item="2"/>
          <tpl fld="2" item="10"/>
          <tpl hier="10" item="1"/>
          <tpl hier="11" item="0"/>
          <tpl fld="0" item="1"/>
        </tpls>
      </n>
      <n v="-16026" in="0">
        <tpls c="5">
          <tpl fld="1" item="10"/>
          <tpl fld="2" item="8"/>
          <tpl hier="10" item="1"/>
          <tpl hier="11" item="0"/>
          <tpl fld="0" item="0"/>
        </tpls>
      </n>
      <n v="-13984.5" in="0">
        <tpls c="5">
          <tpl fld="1" item="6"/>
          <tpl fld="2" item="3"/>
          <tpl hier="10" item="1"/>
          <tpl hier="11" item="0"/>
          <tpl fld="0" item="0"/>
        </tpls>
      </n>
      <n v="-151785" in="0">
        <tpls c="5">
          <tpl fld="1" item="3"/>
          <tpl fld="2" item="10"/>
          <tpl hier="10" item="1"/>
          <tpl hier="11" item="0"/>
          <tpl fld="0" item="1"/>
        </tpls>
      </n>
      <n v="-1929621" in="0">
        <tpls c="5">
          <tpl fld="1" item="8"/>
          <tpl fld="2" item="0"/>
          <tpl hier="10" item="1"/>
          <tpl hier="11" item="0"/>
          <tpl fld="0" item="1"/>
        </tpls>
      </n>
      <n v="-148970" in="0">
        <tpls c="5">
          <tpl fld="1" item="7"/>
          <tpl fld="2" item="6"/>
          <tpl hier="10" item="1"/>
          <tpl hier="11" item="0"/>
          <tpl fld="0" item="1"/>
        </tpls>
      </n>
      <n v="-1676236" in="0">
        <tpls c="5">
          <tpl fld="1" item="8"/>
          <tpl fld="2" item="0"/>
          <tpl hier="10" item="1"/>
          <tpl hier="11" item="0"/>
          <tpl fld="0" item="0"/>
        </tpls>
      </n>
      <n v="-119056" in="0">
        <tpls c="5">
          <tpl fld="1" item="7"/>
          <tpl fld="2" item="6"/>
          <tpl hier="10" item="1"/>
          <tpl hier="11" item="0"/>
          <tpl fld="0" item="0"/>
        </tpls>
      </n>
      <n v="-3807" in="0">
        <tpls c="5">
          <tpl fld="1" item="1"/>
          <tpl fld="2" item="11"/>
          <tpl hier="10" item="1"/>
          <tpl hier="11" item="0"/>
          <tpl fld="0" item="0"/>
        </tpls>
      </n>
      <n v="-2174419" in="0">
        <tpls c="5">
          <tpl fld="1" item="2"/>
          <tpl fld="2" item="0"/>
          <tpl hier="10" item="1"/>
          <tpl hier="11" item="0"/>
          <tpl fld="0" item="1"/>
        </tpls>
      </n>
      <n v="-5097" in="0">
        <tpls c="5">
          <tpl fld="1" item="2"/>
          <tpl fld="2" item="11"/>
          <tpl hier="10" item="1"/>
          <tpl hier="11" item="0"/>
          <tpl fld="0" item="1"/>
        </tpls>
      </n>
      <n v="-1779741.5" in="0">
        <tpls c="5">
          <tpl fld="1" item="2"/>
          <tpl fld="2" item="0"/>
          <tpl hier="10" item="1"/>
          <tpl hier="11" item="0"/>
          <tpl fld="0" item="0"/>
        </tpls>
      </n>
      <n v="-4893.75" in="0">
        <tpls c="5">
          <tpl fld="1" item="7"/>
          <tpl fld="2" item="2"/>
          <tpl hier="10" item="1"/>
          <tpl hier="11" item="0"/>
          <tpl fld="0" item="0"/>
        </tpls>
      </n>
      <n v="-5157" in="0">
        <tpls c="5">
          <tpl fld="1" item="3"/>
          <tpl fld="2" item="11"/>
          <tpl hier="10" item="1"/>
          <tpl hier="11" item="0"/>
          <tpl fld="0" item="1"/>
        </tpls>
      </n>
      <n v="-23047" in="0">
        <tpls c="5">
          <tpl fld="1" item="3"/>
          <tpl fld="2" item="3"/>
          <tpl hier="10" item="1"/>
          <tpl hier="11" item="0"/>
          <tpl fld="0" item="1"/>
        </tpls>
      </n>
      <n v="-457968" in="0">
        <tpls c="5">
          <tpl fld="1" item="3"/>
          <tpl fld="2" item="8"/>
          <tpl hier="10" item="1"/>
          <tpl hier="11" item="0"/>
          <tpl fld="0" item="1"/>
        </tpls>
      </n>
      <n v="-4777.5" in="0">
        <tpls c="5">
          <tpl fld="1" item="8"/>
          <tpl fld="2" item="2"/>
          <tpl hier="10" item="1"/>
          <tpl hier="11" item="0"/>
          <tpl fld="0" item="0"/>
        </tpls>
      </n>
      <n v="-18307" in="0">
        <tpls c="5">
          <tpl fld="1" item="6"/>
          <tpl fld="2" item="3"/>
          <tpl hier="10" item="1"/>
          <tpl hier="11" item="0"/>
          <tpl fld="0" item="1"/>
        </tpls>
      </n>
      <n v="-2013815" in="0">
        <tpls c="5">
          <tpl fld="1" item="7"/>
          <tpl fld="2" item="0"/>
          <tpl hier="10" item="1"/>
          <tpl hier="11" item="0"/>
          <tpl fld="0" item="1"/>
        </tpls>
      </n>
      <n v="-3846.25" in="0">
        <tpls c="5">
          <tpl fld="1" item="11"/>
          <tpl fld="2" item="11"/>
          <tpl hier="10" item="1"/>
          <tpl hier="11" item="0"/>
          <tpl fld="0" item="0"/>
        </tpls>
      </n>
      <n v="-1442" in="0">
        <tpls c="5">
          <tpl fld="1" item="9"/>
          <tpl fld="2" item="4"/>
          <tpl hier="10" item="1"/>
          <tpl hier="11" item="0"/>
          <tpl fld="0" item="0"/>
        </tpls>
      </n>
      <n v="-16923.5" in="0">
        <tpls c="5">
          <tpl fld="1" item="7"/>
          <tpl fld="2" item="3"/>
          <tpl hier="10" item="1"/>
          <tpl hier="11" item="0"/>
          <tpl fld="0" item="0"/>
        </tpls>
      </n>
      <n v="-22150" in="0">
        <tpls c="5">
          <tpl fld="1" item="9"/>
          <tpl fld="2" item="3"/>
          <tpl hier="10" item="1"/>
          <tpl hier="11" item="0"/>
          <tpl fld="0" item="1"/>
        </tpls>
      </n>
      <n v="-3702594" in="0">
        <tpls c="5">
          <tpl fld="1" item="11"/>
          <tpl fld="2" item="7"/>
          <tpl hier="10" item="1"/>
          <tpl hier="11" item="0"/>
          <tpl fld="0" item="1"/>
        </tpls>
      </n>
      <n v="-155488" in="0">
        <tpls c="5">
          <tpl fld="1" item="9"/>
          <tpl fld="2" item="6"/>
          <tpl hier="10" item="1"/>
          <tpl hier="11" item="0"/>
          <tpl fld="0" item="1"/>
        </tpls>
      </n>
      <n v="-1999968" in="0">
        <tpls c="5">
          <tpl fld="1" item="9"/>
          <tpl fld="2" item="7"/>
          <tpl hier="10" item="1"/>
          <tpl hier="11" item="0"/>
          <tpl fld="0" item="1"/>
        </tpls>
      </n>
      <n v="-2246" in="0">
        <tpls c="5">
          <tpl fld="1" item="8"/>
          <tpl fld="2" item="2"/>
          <tpl hier="10" item="1"/>
          <tpl hier="11" item="0"/>
          <tpl fld="0" item="1"/>
        </tpls>
      </n>
      <n v="-220996.5" in="0">
        <tpls c="5">
          <tpl fld="1" item="9"/>
          <tpl fld="2" item="7"/>
          <tpl hier="10" item="1"/>
          <tpl hier="11" item="0"/>
          <tpl fld="0" item="0"/>
        </tpls>
      </n>
      <n v="-12810" in="0">
        <tpls c="5">
          <tpl fld="1" item="1"/>
          <tpl fld="2" item="1"/>
          <tpl hier="10" item="1"/>
          <tpl hier="11" item="0"/>
          <tpl fld="0" item="1"/>
        </tpls>
      </n>
      <n v="-562912" in="0">
        <tpls c="5">
          <tpl fld="1" item="1"/>
          <tpl fld="2" item="14"/>
          <tpl hier="10" item="1"/>
          <tpl hier="11" item="0"/>
          <tpl fld="0" item="1"/>
        </tpls>
      </n>
      <n v="-1696206.75" in="0">
        <tpls c="5">
          <tpl fld="1" item="6"/>
          <tpl fld="2" item="0"/>
          <tpl hier="10" item="1"/>
          <tpl hier="11" item="0"/>
          <tpl fld="0" item="0"/>
        </tpls>
      </n>
      <n v="9846021" in="0">
        <tpls c="5">
          <tpl fld="1" item="1"/>
          <tpl fld="2" item="9"/>
          <tpl hier="10" item="1"/>
          <tpl hier="11" item="0"/>
          <tpl fld="0" item="1"/>
        </tpls>
      </n>
      <n v="-121793" in="0">
        <tpls c="5">
          <tpl fld="1" item="6"/>
          <tpl fld="2" item="6"/>
          <tpl hier="10" item="1"/>
          <tpl hier="11" item="0"/>
          <tpl fld="0" item="1"/>
        </tpls>
      </n>
      <n v="-16456" in="0">
        <tpls c="5">
          <tpl fld="1" item="7"/>
          <tpl fld="2" item="3"/>
          <tpl hier="10" item="1"/>
          <tpl hier="11" item="0"/>
          <tpl fld="0" item="1"/>
        </tpls>
      </n>
      <n v="-1831.5" in="0">
        <tpls c="5">
          <tpl fld="1" item="11"/>
          <tpl fld="2" item="8"/>
          <tpl hier="10" item="1"/>
          <tpl hier="11" item="0"/>
          <tpl fld="0" item="0"/>
        </tpls>
      </n>
      <n v="-95693" in="0">
        <tpls c="5">
          <tpl fld="1" item="3"/>
          <tpl fld="2" item="10"/>
          <tpl hier="10" item="1"/>
          <tpl hier="11" item="0"/>
          <tpl fld="0" item="0"/>
        </tpls>
      </n>
      <n v="-3682.25" in="0">
        <tpls c="5">
          <tpl fld="1" item="9"/>
          <tpl fld="2" item="11"/>
          <tpl hier="10" item="1"/>
          <tpl hier="11" item="0"/>
          <tpl fld="0" item="0"/>
        </tpls>
      </n>
      <n v="11215260" in="0">
        <tpls c="5">
          <tpl fld="1" item="3"/>
          <tpl fld="2" item="9"/>
          <tpl hier="10" item="1"/>
          <tpl hier="11" item="0"/>
          <tpl fld="0" item="1"/>
        </tpls>
      </n>
      <n v="-11755" in="0">
        <tpls c="5">
          <tpl fld="1" item="6"/>
          <tpl fld="2" item="5"/>
          <tpl hier="10" item="1"/>
          <tpl hier="11" item="0"/>
          <tpl fld="0" item="1"/>
        </tpls>
      </n>
      <n v="-3642.25" in="0">
        <tpls c="5">
          <tpl fld="1" item="2"/>
          <tpl fld="2" item="11"/>
          <tpl hier="10" item="1"/>
          <tpl hier="11" item="0"/>
          <tpl fld="0" item="0"/>
        </tpls>
      </n>
      <n v="-22697" in="0">
        <tpls c="5">
          <tpl fld="1" item="4"/>
          <tpl fld="2" item="3"/>
          <tpl hier="10" item="1"/>
          <tpl hier="11" item="0"/>
          <tpl fld="0" item="1"/>
        </tpls>
      </n>
      <n v="-59957.25" in="0">
        <tpls c="5">
          <tpl fld="1" item="7"/>
          <tpl fld="2" item="14"/>
          <tpl hier="10" item="1"/>
          <tpl hier="11" item="0"/>
          <tpl fld="0" item="0"/>
        </tpls>
      </n>
      <n v="-12890" in="0">
        <tpls c="5">
          <tpl fld="1" item="3"/>
          <tpl fld="2" item="1"/>
          <tpl hier="10" item="1"/>
          <tpl hier="11" item="0"/>
          <tpl fld="0" item="1"/>
        </tpls>
      </n>
      <n v="-1590168.75" in="0">
        <tpls c="5">
          <tpl fld="1" item="3"/>
          <tpl fld="2" item="0"/>
          <tpl hier="10" item="1"/>
          <tpl hier="11" item="0"/>
          <tpl fld="0" item="0"/>
        </tpls>
      </n>
      <n v="-127429" in="0">
        <tpls c="5">
          <tpl fld="1" item="4"/>
          <tpl fld="2" item="6"/>
          <tpl hier="10" item="1"/>
          <tpl hier="11" item="0"/>
          <tpl fld="0" item="0"/>
        </tpls>
      </n>
      <n v="-2193273" in="0">
        <tpls c="5">
          <tpl fld="1" item="10"/>
          <tpl fld="2" item="0"/>
          <tpl hier="10" item="1"/>
          <tpl hier="11" item="0"/>
          <tpl fld="0" item="1"/>
        </tpls>
      </n>
      <n v="-16740.5" in="0">
        <tpls c="5">
          <tpl fld="1" item="8"/>
          <tpl fld="2" item="3"/>
          <tpl hier="10" item="1"/>
          <tpl hier="11" item="0"/>
          <tpl fld="0" item="0"/>
        </tpls>
      </n>
      <n v="-28532" in="0">
        <tpls c="5">
          <tpl fld="1" item="5"/>
          <tpl fld="2" item="4"/>
          <tpl hier="10" item="1"/>
          <tpl hier="11" item="0"/>
          <tpl fld="0" item="1"/>
        </tpls>
      </n>
      <n v="-163033" in="0">
        <tpls c="5">
          <tpl fld="1" item="8"/>
          <tpl fld="2" item="6"/>
          <tpl hier="10" item="1"/>
          <tpl hier="11" item="0"/>
          <tpl fld="0" item="1"/>
        </tpls>
      </n>
      <n v="-3747.25" in="0">
        <tpls c="5">
          <tpl fld="1" item="4"/>
          <tpl fld="2" item="11"/>
          <tpl hier="10" item="1"/>
          <tpl hier="11" item="0"/>
          <tpl fld="0" item="0"/>
        </tpls>
      </n>
      <n v="-367663" in="0">
        <tpls c="5">
          <tpl fld="1" item="4"/>
          <tpl fld="2" item="8"/>
          <tpl hier="10" item="1"/>
          <tpl hier="11" item="0"/>
          <tpl fld="0" item="1"/>
        </tpls>
      </n>
      <n v="7155365" in="0">
        <tpls c="5">
          <tpl fld="1" item="3"/>
          <tpl fld="2" item="9"/>
          <tpl hier="10" item="1"/>
          <tpl hier="11" item="0"/>
          <tpl fld="0" item="0"/>
        </tpls>
      </n>
      <n v="-2210098" in="0">
        <tpls c="5">
          <tpl fld="1" item="5"/>
          <tpl fld="2" item="0"/>
          <tpl hier="10" item="1"/>
          <tpl hier="11" item="0"/>
          <tpl fld="0" item="1"/>
        </tpls>
      </n>
      <n v="-15115" in="0">
        <tpls c="5">
          <tpl fld="1" item="10"/>
          <tpl fld="2" item="3"/>
          <tpl hier="10" item="1"/>
          <tpl hier="11" item="0"/>
          <tpl fld="0" item="1"/>
        </tpls>
      </n>
      <n v="-123673.75" in="0">
        <tpls c="5">
          <tpl fld="1" item="8"/>
          <tpl fld="2" item="6"/>
          <tpl hier="10" item="1"/>
          <tpl hier="11" item="0"/>
          <tpl fld="0" item="0"/>
        </tpls>
      </n>
      <n v="-5753" in="0">
        <tpls c="5">
          <tpl fld="1" item="5"/>
          <tpl fld="2" item="11"/>
          <tpl hier="10" item="1"/>
          <tpl hier="11" item="0"/>
          <tpl fld="0" item="1"/>
        </tpls>
      </n>
      <n v="-1953148" in="0">
        <tpls c="5">
          <tpl fld="1" item="8"/>
          <tpl fld="2" item="7"/>
          <tpl hier="10" item="1"/>
          <tpl hier="11" item="0"/>
          <tpl fld="0" item="1"/>
        </tpls>
      </n>
      <n v="-41" in="0">
        <tpls c="5">
          <tpl fld="1" item="4"/>
          <tpl fld="2" item="8"/>
          <tpl hier="10" item="1"/>
          <tpl hier="11" item="0"/>
          <tpl fld="0" item="0"/>
        </tpls>
      </n>
      <n v="-31584.75" in="0">
        <tpls c="5">
          <tpl fld="1" item="10"/>
          <tpl fld="2" item="12"/>
          <tpl hier="10" item="1"/>
          <tpl hier="11" item="0"/>
          <tpl fld="0" item="0"/>
        </tpls>
      </n>
      <n v="-1629129.25" in="0">
        <tpls c="5">
          <tpl fld="1" item="5"/>
          <tpl fld="2" item="0"/>
          <tpl hier="10" item="1"/>
          <tpl hier="11" item="0"/>
          <tpl fld="0" item="0"/>
        </tpls>
      </n>
      <n v="-19049.75" in="0">
        <tpls c="5">
          <tpl fld="1" item="10"/>
          <tpl fld="2" item="3"/>
          <tpl hier="10" item="1"/>
          <tpl hier="11" item="0"/>
          <tpl fld="0" item="0"/>
        </tpls>
      </n>
      <n v="-136791" in="0">
        <tpls c="5">
          <tpl fld="1" item="10"/>
          <tpl fld="2" item="6"/>
          <tpl hier="10" item="1"/>
          <tpl hier="11" item="0"/>
          <tpl fld="0" item="1"/>
        </tpls>
      </n>
      <n v="-3434.5" in="0">
        <tpls c="5">
          <tpl fld="1" item="5"/>
          <tpl fld="2" item="11"/>
          <tpl hier="10" item="1"/>
          <tpl hier="11" item="0"/>
          <tpl fld="0" item="0"/>
        </tpls>
      </n>
      <n v="-196676.25" in="0">
        <tpls c="5">
          <tpl fld="1" item="8"/>
          <tpl fld="2" item="7"/>
          <tpl hier="10" item="1"/>
          <tpl hier="11" item="0"/>
          <tpl fld="0" item="0"/>
        </tpls>
      </n>
      <n v="-353412" in="0">
        <tpls c="5">
          <tpl fld="1" item="5"/>
          <tpl fld="2" item="8"/>
          <tpl hier="10" item="1"/>
          <tpl hier="11" item="0"/>
          <tpl fld="0" item="1"/>
        </tpls>
      </n>
      <n v="-52548" in="0">
        <tpls c="5">
          <tpl fld="1" item="11"/>
          <tpl fld="2" item="12"/>
          <tpl hier="10" item="1"/>
          <tpl hier="11" item="0"/>
          <tpl fld="0" item="1"/>
        </tpls>
      </n>
      <n v="-26947" in="0">
        <tpls c="5">
          <tpl fld="1" item="6"/>
          <tpl fld="2" item="13"/>
          <tpl hier="10" item="1"/>
          <tpl hier="11" item="0"/>
          <tpl fld="0" item="1"/>
        </tpls>
      </n>
      <n v="-2765256" in="0">
        <tpls c="5">
          <tpl fld="1" item="1"/>
          <tpl fld="2" item="0"/>
          <tpl hier="10" item="1"/>
          <tpl hier="11" item="0"/>
          <tpl fld="0" item="1"/>
        </tpls>
      </n>
      <n v="-22085" in="0">
        <tpls c="5">
          <tpl fld="1" item="11"/>
          <tpl fld="2" item="3"/>
          <tpl hier="10" item="1"/>
          <tpl hier="11" item="0"/>
          <tpl fld="0" item="1"/>
        </tpls>
      </n>
      <n v="-130343" in="0">
        <tpls c="4">
          <tpl fld="2" item="5"/>
          <tpl hier="10" item="1"/>
          <tpl hier="11" item="0"/>
          <tpl fld="0" item="1"/>
        </tpls>
      </n>
      <n v="-126051.75" in="0">
        <tpls c="5">
          <tpl fld="1" item="10"/>
          <tpl fld="2" item="6"/>
          <tpl hier="10" item="1"/>
          <tpl hier="11" item="0"/>
          <tpl fld="0" item="0"/>
        </tpls>
      </n>
      <n v="-3701" in="0">
        <tpls c="5">
          <tpl fld="1" item="1"/>
          <tpl fld="2" item="11"/>
          <tpl hier="10" item="1"/>
          <tpl hier="11" item="0"/>
          <tpl fld="0" item="1"/>
        </tpls>
      </n>
      <n v="-1910083" in="0">
        <tpls c="5">
          <tpl fld="1" item="10"/>
          <tpl fld="2" item="7"/>
          <tpl hier="10" item="1"/>
          <tpl hier="11" item="0"/>
          <tpl fld="0" item="1"/>
        </tpls>
      </n>
      <n v="-27275.5" in="0">
        <tpls c="5">
          <tpl fld="1" item="5"/>
          <tpl fld="2" item="8"/>
          <tpl hier="10" item="1"/>
          <tpl hier="11" item="0"/>
          <tpl fld="0" item="0"/>
        </tpls>
      </n>
      <n v="-36703.75" in="0">
        <tpls c="5">
          <tpl fld="1" item="11"/>
          <tpl fld="2" item="12"/>
          <tpl hier="10" item="1"/>
          <tpl hier="11" item="0"/>
          <tpl fld="0" item="0"/>
        </tpls>
      </n>
      <n v="-30177.75" in="0">
        <tpls c="5">
          <tpl fld="1" item="6"/>
          <tpl fld="2" item="13"/>
          <tpl hier="10" item="1"/>
          <tpl hier="11" item="0"/>
          <tpl fld="0" item="0"/>
        </tpls>
      </n>
      <n v="-1536196.25" in="0">
        <tpls c="5">
          <tpl fld="1" item="1"/>
          <tpl fld="2" item="0"/>
          <tpl hier="10" item="1"/>
          <tpl hier="11" item="0"/>
          <tpl fld="0" item="0"/>
        </tpls>
      </n>
      <n v="-3418" in="0">
        <tpls c="5">
          <tpl fld="1" item="6"/>
          <tpl fld="2" item="2"/>
          <tpl hier="10" item="1"/>
          <tpl hier="11" item="0"/>
          <tpl fld="0" item="1"/>
        </tpls>
      </n>
      <n v="-15614" in="0">
        <tpls c="5">
          <tpl fld="1" item="11"/>
          <tpl fld="2" item="3"/>
          <tpl hier="10" item="1"/>
          <tpl hier="11" item="0"/>
          <tpl fld="0" item="0"/>
        </tpls>
      </n>
      <n v="-156712" in="0">
        <tpls c="5">
          <tpl fld="1" item="11"/>
          <tpl fld="2" item="6"/>
          <tpl hier="10" item="1"/>
          <tpl hier="11" item="0"/>
          <tpl fld="0" item="1"/>
        </tpls>
      </n>
      <n v="-167466.75" in="0">
        <tpls c="5">
          <tpl fld="1" item="10"/>
          <tpl fld="2" item="7"/>
          <tpl hier="10" item="1"/>
          <tpl hier="11" item="0"/>
          <tpl fld="0" item="0"/>
        </tpls>
      </n>
      <n v="-135761.75" in="0">
        <tpls c="5">
          <tpl fld="1" item="11"/>
          <tpl fld="2" item="6"/>
          <tpl hier="10" item="1"/>
          <tpl hier="11" item="0"/>
          <tpl fld="0" item="0"/>
        </tpls>
      </n>
      <n v="-32348.25" in="0">
        <tpls c="5">
          <tpl fld="1" item="9"/>
          <tpl fld="2" item="12"/>
          <tpl hier="10" item="1"/>
          <tpl hier="11" item="0"/>
          <tpl fld="0" item="0"/>
        </tpls>
      </n>
      <n v="-2912" in="0">
        <tpls c="5">
          <tpl fld="1" item="7"/>
          <tpl fld="2" item="2"/>
          <tpl hier="10" item="1"/>
          <tpl hier="11" item="0"/>
          <tpl fld="0" item="1"/>
        </tpls>
      </n>
      <n v="-84058.083333333328" in="0">
        <tpls c="5">
          <tpl fld="1" item="11"/>
          <tpl fld="2" item="7"/>
          <tpl hier="10" item="1"/>
          <tpl hier="11" item="0"/>
          <tpl fld="0" item="0"/>
        </tpls>
      </n>
      <n v="-1620019" in="0">
        <tpls c="5">
          <tpl fld="1" item="3"/>
          <tpl fld="2" item="0"/>
          <tpl hier="10" item="1"/>
          <tpl hier="11" item="0"/>
          <tpl fld="0" item="1"/>
        </tpls>
      </n>
      <n v="-133025.5" in="0">
        <tpls c="5">
          <tpl fld="1" item="9"/>
          <tpl fld="2" item="6"/>
          <tpl hier="10" item="1"/>
          <tpl hier="11" item="0"/>
          <tpl fld="0" item="0"/>
        </tpls>
      </n>
      <n v="-30539" in="0">
        <tpls c="5">
          <tpl fld="1" item="4"/>
          <tpl fld="2" item="12"/>
          <tpl hier="10" item="1"/>
          <tpl hier="11" item="0"/>
          <tpl fld="0" item="0"/>
        </tpls>
      </n>
      <n v="-8084.5" in="0">
        <tpls c="5">
          <tpl fld="1" item="7"/>
          <tpl fld="2" item="5"/>
          <tpl hier="10" item="1"/>
          <tpl hier="11" item="0"/>
          <tpl fld="0" item="0"/>
        </tpls>
      </n>
      <n v="-38072.5" in="0">
        <tpls c="5">
          <tpl fld="1" item="4"/>
          <tpl fld="2" item="13"/>
          <tpl hier="10" item="1"/>
          <tpl hier="11" item="0"/>
          <tpl fld="0" item="0"/>
        </tpls>
      </n>
      <n v="-13069" in="0">
        <tpls c="5">
          <tpl fld="1" item="8"/>
          <tpl fld="2" item="5"/>
          <tpl hier="10" item="1"/>
          <tpl hier="11" item="0"/>
          <tpl fld="0" item="1"/>
        </tpls>
      </n>
      <n v="-3523.75" in="0">
        <tpls c="5">
          <tpl fld="1" item="3"/>
          <tpl fld="2" item="8"/>
          <tpl hier="10" item="1"/>
          <tpl hier="11" item="0"/>
          <tpl fld="0" item="0"/>
        </tpls>
      </n>
      <n v="-12960" in="0">
        <tpls c="5">
          <tpl fld="1" item="9"/>
          <tpl fld="2" item="1"/>
          <tpl hier="10" item="1"/>
          <tpl hier="11" item="0"/>
          <tpl fld="0" item="1"/>
        </tpls>
      </n>
      <n v="-31113" in="0">
        <tpls c="5">
          <tpl fld="1" item="11"/>
          <tpl fld="2" item="1"/>
          <tpl hier="10" item="1"/>
          <tpl hier="11" item="0"/>
          <tpl fld="0" item="0"/>
        </tpls>
      </n>
      <n v="-4441.5" in="0">
        <tpls c="5">
          <tpl fld="1" item="4"/>
          <tpl fld="2" item="2"/>
          <tpl hier="10" item="1"/>
          <tpl hier="11" item="0"/>
          <tpl fld="0" item="0"/>
        </tpls>
      </n>
      <n v="-5751" in="0">
        <tpls c="5">
          <tpl fld="1" item="4"/>
          <tpl fld="2" item="2"/>
          <tpl hier="10" item="1"/>
          <tpl hier="11" item="0"/>
          <tpl fld="0" item="1"/>
        </tpls>
      </n>
      <n v="-4325" in="0">
        <tpls c="5">
          <tpl fld="1" item="9"/>
          <tpl fld="2" item="2"/>
          <tpl hier="10" item="1"/>
          <tpl hier="11" item="0"/>
          <tpl fld="0" item="0"/>
        </tpls>
      </n>
      <n v="-13716" in="0">
        <tpls c="5">
          <tpl fld="1" item="1"/>
          <tpl fld="2" item="3"/>
          <tpl hier="10" item="1"/>
          <tpl hier="11" item="0"/>
          <tpl fld="0" item="1"/>
        </tpls>
      </n>
      <n v="-14877.5" in="0">
        <tpls c="5">
          <tpl fld="1" item="5"/>
          <tpl fld="2" item="3"/>
          <tpl hier="10" item="1"/>
          <tpl hier="11" item="0"/>
          <tpl fld="0" item="0"/>
        </tpls>
      </n>
      <n v="-19336" in="0">
        <tpls c="5">
          <tpl fld="1" item="5"/>
          <tpl fld="2" item="3"/>
          <tpl hier="10" item="1"/>
          <tpl hier="11" item="0"/>
          <tpl fld="0" item="1"/>
        </tpls>
      </n>
      <n v="-15536.5" in="0">
        <tpls c="5">
          <tpl fld="1" item="4"/>
          <tpl fld="2" item="3"/>
          <tpl hier="10" item="1"/>
          <tpl hier="11" item="0"/>
          <tpl fld="0" item="0"/>
        </tpls>
      </n>
      <n v="-2581.75" in="0">
        <tpls c="5">
          <tpl fld="1" item="2"/>
          <tpl fld="2" item="4"/>
          <tpl hier="10" item="1"/>
          <tpl hier="11" item="0"/>
          <tpl fld="0" item="0"/>
        </tpls>
      </n>
      <n v="-16709" in="0">
        <tpls c="5">
          <tpl fld="1" item="2"/>
          <tpl fld="2" item="4"/>
          <tpl hier="10" item="1"/>
          <tpl hier="11" item="0"/>
          <tpl fld="0" item="1"/>
        </tpls>
      </n>
      <n v="-1227" in="0">
        <tpls c="5">
          <tpl fld="1" item="1"/>
          <tpl fld="2" item="4"/>
          <tpl hier="10" item="1"/>
          <tpl hier="11" item="0"/>
          <tpl fld="0" item="0"/>
        </tpls>
      </n>
      <n v="-21789" in="0">
        <tpls c="5">
          <tpl fld="1" item="1"/>
          <tpl fld="2" item="4"/>
          <tpl hier="10" item="1"/>
          <tpl hier="11" item="0"/>
          <tpl fld="0" item="1"/>
        </tpls>
      </n>
      <n v="-4248.75" in="0">
        <tpls c="5">
          <tpl fld="1" item="5"/>
          <tpl fld="2" item="4"/>
          <tpl hier="10" item="1"/>
          <tpl hier="11" item="0"/>
          <tpl fld="0" item="0"/>
        </tpls>
      </n>
      <n v="-8600.25" in="0">
        <tpls c="5">
          <tpl fld="1" item="3"/>
          <tpl fld="2" item="5"/>
          <tpl hier="10" item="1"/>
          <tpl hier="11" item="0"/>
          <tpl fld="0" item="0"/>
        </tpls>
      </n>
      <n v="-6501" in="0">
        <tpls c="5">
          <tpl fld="1" item="3"/>
          <tpl fld="2" item="5"/>
          <tpl hier="10" item="1"/>
          <tpl hier="11" item="0"/>
          <tpl fld="0" item="1"/>
        </tpls>
      </n>
      <n v="-8598.5" in="0">
        <tpls c="5">
          <tpl fld="1" item="2"/>
          <tpl fld="2" item="5"/>
          <tpl hier="10" item="1"/>
          <tpl hier="11" item="0"/>
          <tpl fld="0" item="0"/>
        </tpls>
      </n>
      <n v="-6287" in="0">
        <tpls c="5">
          <tpl fld="1" item="2"/>
          <tpl fld="2" item="5"/>
          <tpl hier="10" item="1"/>
          <tpl hier="11" item="0"/>
          <tpl fld="0" item="1"/>
        </tpls>
      </n>
      <n v="-8752" in="0">
        <tpls c="5">
          <tpl fld="1" item="1"/>
          <tpl fld="2" item="5"/>
          <tpl hier="10" item="1"/>
          <tpl hier="11" item="0"/>
          <tpl fld="0" item="0"/>
        </tpls>
      </n>
      <n v="-121546.25" in="0">
        <tpls c="5">
          <tpl fld="1" item="3"/>
          <tpl fld="2" item="6"/>
          <tpl hier="10" item="1"/>
          <tpl hier="11" item="0"/>
          <tpl fld="0" item="0"/>
        </tpls>
      </n>
      <n v="-117076" in="0">
        <tpls c="5">
          <tpl fld="1" item="3"/>
          <tpl fld="2" item="6"/>
          <tpl hier="10" item="1"/>
          <tpl hier="11" item="0"/>
          <tpl fld="0" item="1"/>
        </tpls>
      </n>
      <n v="-111730" in="0">
        <tpls c="5">
          <tpl fld="1" item="2"/>
          <tpl fld="2" item="6"/>
          <tpl hier="10" item="1"/>
          <tpl hier="11" item="0"/>
          <tpl fld="0" item="0"/>
        </tpls>
      </n>
      <n v="-141101.58333333334" in="0">
        <tpls c="5">
          <tpl fld="1" item="4"/>
          <tpl fld="2" item="7"/>
          <tpl hier="10" item="1"/>
          <tpl hier="11" item="0"/>
          <tpl fld="0" item="0"/>
        </tpls>
      </n>
      <n v="-106007.58333333333" in="0">
        <tpls c="5">
          <tpl fld="1" item="7"/>
          <tpl fld="2" item="7"/>
          <tpl hier="10" item="1"/>
          <tpl hier="11" item="0"/>
          <tpl fld="0" item="0"/>
        </tpls>
      </n>
      <n v="-2815990" in="0">
        <tpls c="5">
          <tpl fld="1" item="7"/>
          <tpl fld="2" item="7"/>
          <tpl hier="10" item="1"/>
          <tpl hier="11" item="0"/>
          <tpl fld="0" item="1"/>
        </tpls>
      </n>
      <n v="-88593.75" in="0">
        <tpls c="5">
          <tpl fld="1" item="6"/>
          <tpl fld="2" item="7"/>
          <tpl hier="10" item="1"/>
          <tpl hier="11" item="0"/>
          <tpl fld="0" item="0"/>
        </tpls>
      </n>
      <n v="-4301413" in="0">
        <tpls c="5">
          <tpl fld="1" item="6"/>
          <tpl fld="2" item="7"/>
          <tpl hier="10" item="1"/>
          <tpl hier="11" item="0"/>
          <tpl fld="0" item="1"/>
        </tpls>
      </n>
      <n v="-1554236" in="0">
        <tpls c="4">
          <tpl fld="2" item="7"/>
          <tpl hier="10" item="1"/>
          <tpl hier="11" item="0"/>
          <tpl fld="0" item="0"/>
        </tpls>
      </n>
      <n v="-33461754" in="0">
        <tpls c="4">
          <tpl fld="2" item="7"/>
          <tpl hier="10" item="1"/>
          <tpl hier="11" item="0"/>
          <tpl fld="0" item="1"/>
        </tpls>
      </n>
      <n v="-32.75" in="0">
        <tpls c="5">
          <tpl fld="1" item="8"/>
          <tpl fld="2" item="8"/>
          <tpl hier="10" item="1"/>
          <tpl hier="11" item="0"/>
          <tpl fld="0" item="0"/>
        </tpls>
      </n>
      <n v="-498296" in="0">
        <tpls c="5">
          <tpl fld="1" item="8"/>
          <tpl fld="2" item="8"/>
          <tpl hier="10" item="1"/>
          <tpl hier="11" item="0"/>
          <tpl fld="0" item="1"/>
        </tpls>
      </n>
      <n v="-31728.75" in="0">
        <tpls c="5">
          <tpl fld="1" item="7"/>
          <tpl fld="2" item="8"/>
          <tpl hier="10" item="1"/>
          <tpl hier="11" item="0"/>
          <tpl fld="0" item="0"/>
        </tpls>
      </n>
      <n v="-354202" in="0">
        <tpls c="5">
          <tpl fld="1" item="7"/>
          <tpl fld="2" item="8"/>
          <tpl hier="10" item="1"/>
          <tpl hier="11" item="0"/>
          <tpl fld="0" item="1"/>
        </tpls>
      </n>
      <n v="-1659.75" in="0">
        <tpls c="5">
          <tpl fld="1" item="6"/>
          <tpl fld="2" item="8"/>
          <tpl hier="10" item="1"/>
          <tpl hier="11" item="0"/>
          <tpl fld="0" item="0"/>
        </tpls>
      </n>
      <n v="-461449" in="0">
        <tpls c="5">
          <tpl fld="1" item="6"/>
          <tpl fld="2" item="8"/>
          <tpl hier="10" item="1"/>
          <tpl hier="11" item="0"/>
          <tpl fld="0" item="1"/>
        </tpls>
      </n>
      <n v="-89075.5" in="0">
        <tpls c="4">
          <tpl fld="2" item="8"/>
          <tpl hier="10" item="1"/>
          <tpl hier="11" item="0"/>
          <tpl fld="0" item="0"/>
        </tpls>
      </n>
      <n v="159872424" in="0">
        <tpls c="4">
          <tpl fld="2" item="9"/>
          <tpl hier="10" item="1"/>
          <tpl hier="11" item="0"/>
          <tpl fld="0" item="1"/>
        </tpls>
      </n>
      <n v="9118441" in="0">
        <tpls c="5">
          <tpl fld="1" item="10"/>
          <tpl fld="2" item="9"/>
          <tpl hier="10" item="1"/>
          <tpl hier="11" item="0"/>
          <tpl fld="0" item="0"/>
        </tpls>
      </n>
      <n v="11598976" in="0">
        <tpls c="5">
          <tpl fld="1" item="10"/>
          <tpl fld="2" item="9"/>
          <tpl hier="10" item="1"/>
          <tpl hier="11" item="0"/>
          <tpl fld="0" item="1"/>
        </tpls>
      </n>
      <n v="9010679" in="0">
        <tpls c="5">
          <tpl fld="1" item="8"/>
          <tpl fld="2" item="9"/>
          <tpl hier="10" item="1"/>
          <tpl hier="11" item="0"/>
          <tpl fld="0" item="0"/>
        </tpls>
      </n>
      <n v="20402679" in="0">
        <tpls c="5">
          <tpl fld="1" item="8"/>
          <tpl fld="2" item="9"/>
          <tpl hier="10" item="1"/>
          <tpl hier="11" item="0"/>
          <tpl fld="0" item="1"/>
        </tpls>
      </n>
      <n v="9836477" in="0">
        <tpls c="5">
          <tpl fld="1" item="7"/>
          <tpl fld="2" item="9"/>
          <tpl hier="10" item="1"/>
          <tpl hier="11" item="0"/>
          <tpl fld="0" item="0"/>
        </tpls>
      </n>
      <n v="14264165" in="0">
        <tpls c="5">
          <tpl fld="1" item="7"/>
          <tpl fld="2" item="9"/>
          <tpl hier="10" item="1"/>
          <tpl hier="11" item="0"/>
          <tpl fld="0" item="1"/>
        </tpls>
      </n>
      <n v="9598172" in="0">
        <tpls c="5">
          <tpl fld="1" item="6"/>
          <tpl fld="2" item="9"/>
          <tpl hier="10" item="1"/>
          <tpl hier="11" item="0"/>
          <tpl fld="0" item="0"/>
        </tpls>
      </n>
      <n v="9730180" in="0">
        <tpls c="5">
          <tpl fld="1" item="9"/>
          <tpl fld="2" item="9"/>
          <tpl hier="10" item="1"/>
          <tpl hier="11" item="0"/>
          <tpl fld="0" item="0"/>
        </tpls>
      </n>
      <n v="-8885.75" in="0">
        <tpls c="5">
          <tpl fld="1" item="9"/>
          <tpl fld="2" item="5"/>
          <tpl hier="10" item="1"/>
          <tpl hier="11" item="0"/>
          <tpl fld="0" item="0"/>
        </tpls>
      </n>
      <n v="-1448524" in="0">
        <tpls c="5">
          <tpl fld="1" item="9"/>
          <tpl fld="2" item="0"/>
          <tpl hier="10" item="1"/>
          <tpl hier="11" item="0"/>
          <tpl fld="0" item="0"/>
        </tpls>
      </n>
      <n v="-32319.75" in="0">
        <tpls c="5">
          <tpl fld="1" item="9"/>
          <tpl fld="2" item="1"/>
          <tpl hier="10" item="1"/>
          <tpl hier="11" item="0"/>
          <tpl fld="0" item="0"/>
        </tpls>
      </n>
      <n v="5842719" in="0">
        <tpls c="5">
          <tpl fld="1" item="4"/>
          <tpl fld="2" item="9"/>
          <tpl hier="10" item="1"/>
          <tpl hier="11" item="0"/>
          <tpl fld="0" item="1"/>
        </tpls>
      </n>
      <n v="-12837" in="0">
        <tpls c="5">
          <tpl fld="1" item="4"/>
          <tpl fld="2" item="5"/>
          <tpl hier="10" item="1"/>
          <tpl hier="11" item="0"/>
          <tpl fld="0" item="1"/>
        </tpls>
      </n>
      <n v="-1530196" in="0">
        <tpls c="5">
          <tpl fld="1" item="4"/>
          <tpl fld="2" item="0"/>
          <tpl hier="10" item="1"/>
          <tpl hier="11" item="0"/>
          <tpl fld="0" item="1"/>
        </tpls>
      </n>
      <n v="-12880" in="0">
        <tpls c="5">
          <tpl fld="1" item="4"/>
          <tpl fld="2" item="1"/>
          <tpl hier="10" item="1"/>
          <tpl hier="11" item="0"/>
          <tpl fld="0" item="1"/>
        </tpls>
      </n>
      <n v="-77301.5" in="0">
        <tpls c="5">
          <tpl fld="1" item="2"/>
          <tpl fld="2" item="10"/>
          <tpl hier="10" item="1"/>
          <tpl hier="11" item="0"/>
          <tpl fld="0" item="0"/>
        </tpls>
      </n>
      <n v="-196595" in="0">
        <tpls c="5">
          <tpl fld="1" item="1"/>
          <tpl fld="2" item="10"/>
          <tpl hier="10" item="1"/>
          <tpl hier="11" item="0"/>
          <tpl fld="0" item="1"/>
        </tpls>
      </n>
      <n v="-239831" in="0">
        <tpls c="5">
          <tpl fld="1" item="5"/>
          <tpl fld="2" item="10"/>
          <tpl hier="10" item="1"/>
          <tpl hier="11" item="0"/>
          <tpl fld="0" item="1"/>
        </tpls>
      </n>
      <n v="-80583.25" in="0">
        <tpls c="5">
          <tpl fld="1" item="6"/>
          <tpl fld="2" item="10"/>
          <tpl hier="10" item="1"/>
          <tpl hier="11" item="0"/>
          <tpl fld="0" item="0"/>
        </tpls>
      </n>
      <n v="-153196" in="0">
        <tpls c="5">
          <tpl fld="1" item="6"/>
          <tpl fld="2" item="10"/>
          <tpl hier="10" item="1"/>
          <tpl hier="11" item="0"/>
          <tpl fld="0" item="1"/>
        </tpls>
      </n>
      <n v="-1029449" in="0">
        <tpls c="4">
          <tpl fld="2" item="10"/>
          <tpl hier="10" item="1"/>
          <tpl hier="11" item="0"/>
          <tpl fld="0" item="0"/>
        </tpls>
      </n>
      <n v="-2208714" in="0">
        <tpls c="4">
          <tpl fld="2" item="10"/>
          <tpl hier="10" item="1"/>
          <tpl hier="11" item="0"/>
          <tpl fld="0" item="1"/>
        </tpls>
      </n>
      <n v="-78093.25" in="0">
        <tpls c="5">
          <tpl fld="1" item="11"/>
          <tpl fld="2" item="10"/>
          <tpl hier="10" item="1"/>
          <tpl hier="11" item="0"/>
          <tpl fld="0" item="0"/>
        </tpls>
      </n>
      <n v="-204433" in="0">
        <tpls c="5">
          <tpl fld="1" item="11"/>
          <tpl fld="2" item="10"/>
          <tpl hier="10" item="1"/>
          <tpl hier="11" item="0"/>
          <tpl fld="0" item="1"/>
        </tpls>
      </n>
      <n v="-85072.75" in="0">
        <tpls c="5">
          <tpl fld="1" item="10"/>
          <tpl fld="2" item="10"/>
          <tpl hier="10" item="1"/>
          <tpl hier="11" item="0"/>
          <tpl fld="0" item="0"/>
        </tpls>
      </n>
      <n v="-186499" in="0">
        <tpls c="5">
          <tpl fld="1" item="10"/>
          <tpl fld="2" item="10"/>
          <tpl hier="10" item="1"/>
          <tpl hier="11" item="0"/>
          <tpl fld="0" item="1"/>
        </tpls>
      </n>
      <n v="-99867" in="0">
        <tpls c="5">
          <tpl fld="1" item="8"/>
          <tpl fld="2" item="10"/>
          <tpl hier="10" item="1"/>
          <tpl hier="11" item="0"/>
          <tpl fld="0" item="0"/>
        </tpls>
      </n>
      <n v="-140645" in="0">
        <tpls c="5">
          <tpl fld="1" item="8"/>
          <tpl fld="2" item="10"/>
          <tpl hier="10" item="1"/>
          <tpl hier="11" item="0"/>
          <tpl fld="0" item="1"/>
        </tpls>
      </n>
      <n v="-82123" in="0">
        <tpls c="5">
          <tpl fld="1" item="7"/>
          <tpl fld="2" item="10"/>
          <tpl hier="10" item="1"/>
          <tpl hier="11" item="0"/>
          <tpl fld="0" item="0"/>
        </tpls>
      </n>
      <n v="14418702" in="0">
        <tpls c="5">
          <tpl fld="1" item="5"/>
          <tpl fld="2" item="9"/>
          <tpl hier="10" item="1"/>
          <tpl hier="11" item="0"/>
          <tpl fld="0" item="1"/>
        </tpls>
      </n>
      <n v="-10832" in="0">
        <tpls c="5">
          <tpl fld="1" item="5"/>
          <tpl fld="2" item="5"/>
          <tpl hier="10" item="1"/>
          <tpl hier="11" item="0"/>
          <tpl fld="0" item="1"/>
        </tpls>
      </n>
      <n v="-4010312" in="0">
        <tpls c="5">
          <tpl fld="1" item="5"/>
          <tpl fld="2" item="7"/>
          <tpl hier="10" item="1"/>
          <tpl hier="11" item="0"/>
          <tpl fld="0" item="1"/>
        </tpls>
      </n>
      <n v="-226371" in="0">
        <tpls c="5">
          <tpl fld="1" item="5"/>
          <tpl fld="2" item="6"/>
          <tpl hier="10" item="1"/>
          <tpl hier="11" item="0"/>
          <tpl fld="0" item="1"/>
        </tpls>
      </n>
      <n v="-12910" in="0">
        <tpls c="5">
          <tpl fld="1" item="5"/>
          <tpl fld="2" item="1"/>
          <tpl hier="10" item="1"/>
          <tpl hier="11" item="0"/>
          <tpl fld="0" item="1"/>
        </tpls>
      </n>
      <n v="-4513" in="0">
        <tpls c="5">
          <tpl fld="1" item="5"/>
          <tpl fld="2" item="2"/>
          <tpl hier="10" item="1"/>
          <tpl hier="11" item="0"/>
          <tpl fld="0" item="1"/>
        </tpls>
      </n>
      <n v="-5157" in="0">
        <tpls c="5">
          <tpl fld="1" item="11"/>
          <tpl fld="2" item="11"/>
          <tpl hier="10" item="1"/>
          <tpl hier="11" item="0"/>
          <tpl fld="0" item="1"/>
        </tpls>
      </n>
      <n v="-6372" in="0">
        <tpls c="5">
          <tpl fld="1" item="8"/>
          <tpl fld="2" item="11"/>
          <tpl hier="10" item="1"/>
          <tpl hier="11" item="0"/>
          <tpl fld="0" item="1"/>
        </tpls>
      </n>
      <n v="-4227" in="0">
        <tpls c="5">
          <tpl fld="1" item="4"/>
          <tpl fld="2" item="11"/>
          <tpl hier="10" item="1"/>
          <tpl hier="11" item="0"/>
          <tpl fld="0" item="1"/>
        </tpls>
      </n>
      <n v="-4644" in="0">
        <tpls c="5">
          <tpl fld="1" item="9"/>
          <tpl fld="2" item="11"/>
          <tpl hier="10" item="1"/>
          <tpl hier="11" item="0"/>
          <tpl fld="0" item="1"/>
        </tpls>
      </n>
      <n v="-4864" in="0">
        <tpls c="5">
          <tpl fld="1" item="10"/>
          <tpl fld="2" item="11"/>
          <tpl hier="10" item="1"/>
          <tpl hier="11" item="0"/>
          <tpl fld="0" item="1"/>
        </tpls>
      </n>
      <n v="-3884.25" in="0">
        <tpls c="5">
          <tpl fld="1" item="8"/>
          <tpl fld="2" item="11"/>
          <tpl hier="10" item="1"/>
          <tpl hier="11" item="0"/>
          <tpl fld="0" item="0"/>
        </tpls>
      </n>
      <n v="-3610" in="0">
        <tpls c="5">
          <tpl fld="1" item="7"/>
          <tpl fld="2" item="11"/>
          <tpl hier="10" item="1"/>
          <tpl hier="11" item="0"/>
          <tpl fld="0" item="0"/>
        </tpls>
      </n>
      <n v="-3681.25" in="0">
        <tpls c="5">
          <tpl fld="1" item="6"/>
          <tpl fld="2" item="11"/>
          <tpl hier="10" item="1"/>
          <tpl hier="11" item="0"/>
          <tpl fld="0" item="0"/>
        </tpls>
      </n>
      <n v="-4212" in="0">
        <tpls c="5">
          <tpl fld="1" item="6"/>
          <tpl fld="2" item="11"/>
          <tpl hier="10" item="1"/>
          <tpl hier="11" item="0"/>
          <tpl fld="0" item="1"/>
        </tpls>
      </n>
      <n v="-44537" in="0">
        <tpls c="4">
          <tpl fld="2" item="11"/>
          <tpl hier="10" item="1"/>
          <tpl hier="11" item="0"/>
          <tpl fld="0" item="0"/>
        </tpls>
      </n>
      <n v="-58022" in="0">
        <tpls c="4">
          <tpl fld="2" item="11"/>
          <tpl hier="10" item="1"/>
          <tpl hier="11" item="0"/>
          <tpl fld="0" item="1"/>
        </tpls>
      </n>
      <n v="-3598.5" in="0">
        <tpls c="5">
          <tpl fld="1" item="3"/>
          <tpl fld="2" item="11"/>
          <tpl hier="10" item="1"/>
          <tpl hier="11" item="0"/>
          <tpl fld="0" item="0"/>
        </tpls>
      </n>
      <n v="-41215" in="0">
        <tpls c="5">
          <tpl fld="1" item="9"/>
          <tpl fld="2" item="12"/>
          <tpl hier="10" item="1"/>
          <tpl hier="11" item="0"/>
          <tpl fld="0" item="1"/>
        </tpls>
      </n>
      <n v="-33356.25" in="0">
        <tpls c="5">
          <tpl fld="1" item="2"/>
          <tpl fld="2" item="12"/>
          <tpl hier="10" item="1"/>
          <tpl hier="11" item="0"/>
          <tpl fld="0" item="0"/>
        </tpls>
      </n>
      <n v="-52471" in="0">
        <tpls c="5">
          <tpl fld="1" item="5"/>
          <tpl fld="2" item="12"/>
          <tpl hier="10" item="1"/>
          <tpl hier="11" item="0"/>
          <tpl fld="0" item="1"/>
        </tpls>
      </n>
      <n v="-38067" in="0">
        <tpls c="5">
          <tpl fld="1" item="4"/>
          <tpl fld="2" item="12"/>
          <tpl hier="10" item="1"/>
          <tpl hier="11" item="0"/>
          <tpl fld="0" item="1"/>
        </tpls>
      </n>
      <n v="-43434" in="0">
        <tpls c="5">
          <tpl fld="1" item="3"/>
          <tpl fld="2" item="12"/>
          <tpl hier="10" item="1"/>
          <tpl hier="11" item="0"/>
          <tpl fld="0" item="1"/>
        </tpls>
      </n>
      <n v="-39793" in="0">
        <tpls c="5">
          <tpl fld="1" item="2"/>
          <tpl fld="2" item="12"/>
          <tpl hier="10" item="1"/>
          <tpl hier="11" item="0"/>
          <tpl fld="0" item="1"/>
        </tpls>
      </n>
      <n v="-31607.25" in="0">
        <tpls c="5">
          <tpl fld="1" item="1"/>
          <tpl fld="2" item="12"/>
          <tpl hier="10" item="1"/>
          <tpl hier="11" item="0"/>
          <tpl fld="0" item="0"/>
        </tpls>
      </n>
      <n v="-40794" in="0">
        <tpls c="5">
          <tpl fld="1" item="1"/>
          <tpl fld="2" item="12"/>
          <tpl hier="10" item="1"/>
          <tpl hier="11" item="0"/>
          <tpl fld="0" item="1"/>
        </tpls>
      </n>
      <n v="-35981.75" in="0">
        <tpls c="5">
          <tpl fld="1" item="5"/>
          <tpl fld="2" item="12"/>
          <tpl hier="10" item="1"/>
          <tpl hier="11" item="0"/>
          <tpl fld="0" item="0"/>
        </tpls>
      </n>
      <n v="-39228" in="0">
        <tpls c="5">
          <tpl fld="1" item="10"/>
          <tpl fld="2" item="12"/>
          <tpl hier="10" item="1"/>
          <tpl hier="11" item="0"/>
          <tpl fld="0" item="1"/>
        </tpls>
      </n>
      <n v="-35001" in="0">
        <tpls c="5">
          <tpl fld="1" item="8"/>
          <tpl fld="2" item="12"/>
          <tpl hier="10" item="1"/>
          <tpl hier="11" item="0"/>
          <tpl fld="0" item="0"/>
        </tpls>
      </n>
      <n v="-40017" in="0">
        <tpls c="5">
          <tpl fld="1" item="8"/>
          <tpl fld="2" item="12"/>
          <tpl hier="10" item="1"/>
          <tpl hier="11" item="0"/>
          <tpl fld="0" item="1"/>
        </tpls>
      </n>
      <n v="-33400" in="0">
        <tpls c="5">
          <tpl fld="1" item="7"/>
          <tpl fld="2" item="12"/>
          <tpl hier="10" item="1"/>
          <tpl hier="11" item="0"/>
          <tpl fld="0" item="0"/>
        </tpls>
      </n>
      <n v="-32472" in="0">
        <tpls c="5">
          <tpl fld="1" item="7"/>
          <tpl fld="2" item="12"/>
          <tpl hier="10" item="1"/>
          <tpl hier="11" item="0"/>
          <tpl fld="0" item="1"/>
        </tpls>
      </n>
      <n v="-32827.5" in="0">
        <tpls c="5">
          <tpl fld="1" item="6"/>
          <tpl fld="2" item="12"/>
          <tpl hier="10" item="1"/>
          <tpl hier="11" item="0"/>
          <tpl fld="0" item="0"/>
        </tpls>
      </n>
      <n v="-38139" in="0">
        <tpls c="5">
          <tpl fld="1" item="6"/>
          <tpl fld="2" item="12"/>
          <tpl hier="10" item="1"/>
          <tpl hier="11" item="0"/>
          <tpl fld="0" item="1"/>
        </tpls>
      </n>
      <n v="-400170.5" in="0">
        <tpls c="4">
          <tpl fld="2" item="12"/>
          <tpl hier="10" item="1"/>
          <tpl hier="11" item="0"/>
          <tpl fld="0" item="0"/>
        </tpls>
      </n>
      <n v="-34793" in="0">
        <tpls c="5">
          <tpl fld="1" item="8"/>
          <tpl fld="2" item="13"/>
          <tpl hier="10" item="1"/>
          <tpl hier="11" item="0"/>
          <tpl fld="0" item="1"/>
        </tpls>
      </n>
      <n v="-45518" in="0">
        <tpls c="5">
          <tpl fld="1" item="7"/>
          <tpl fld="2" item="13"/>
          <tpl hier="10" item="1"/>
          <tpl hier="11" item="0"/>
          <tpl fld="0" item="1"/>
        </tpls>
      </n>
      <n v="-46823" in="0">
        <tpls c="5">
          <tpl fld="1" item="4"/>
          <tpl fld="2" item="13"/>
          <tpl hier="10" item="1"/>
          <tpl hier="11" item="0"/>
          <tpl fld="0" item="1"/>
        </tpls>
      </n>
      <n v="-32393" in="0">
        <tpls c="5">
          <tpl fld="1" item="7"/>
          <tpl fld="2" item="13"/>
          <tpl hier="10" item="1"/>
          <tpl hier="11" item="0"/>
          <tpl fld="0" item="0"/>
        </tpls>
      </n>
      <n v="-36051.5" in="0">
        <tpls c="5">
          <tpl fld="1" item="3"/>
          <tpl fld="2" item="13"/>
          <tpl hier="10" item="1"/>
          <tpl hier="11" item="0"/>
          <tpl fld="0" item="0"/>
        </tpls>
      </n>
      <n v="-50132" in="0">
        <tpls c="5">
          <tpl fld="1" item="3"/>
          <tpl fld="2" item="13"/>
          <tpl hier="10" item="1"/>
          <tpl hier="11" item="0"/>
          <tpl fld="0" item="1"/>
        </tpls>
      </n>
      <n v="-32980" in="0">
        <tpls c="5">
          <tpl fld="1" item="2"/>
          <tpl fld="2" item="13"/>
          <tpl hier="10" item="1"/>
          <tpl hier="11" item="0"/>
          <tpl fld="0" item="0"/>
        </tpls>
      </n>
      <n v="-49616" in="0">
        <tpls c="5">
          <tpl fld="1" item="2"/>
          <tpl fld="2" item="13"/>
          <tpl hier="10" item="1"/>
          <tpl hier="11" item="0"/>
          <tpl fld="0" item="1"/>
        </tpls>
      </n>
      <n v="-36928.75" in="0">
        <tpls c="5">
          <tpl fld="1" item="1"/>
          <tpl fld="2" item="13"/>
          <tpl hier="10" item="1"/>
          <tpl hier="11" item="0"/>
          <tpl fld="0" item="0"/>
        </tpls>
      </n>
      <n v="-37692" in="0">
        <tpls c="5">
          <tpl fld="1" item="1"/>
          <tpl fld="2" item="13"/>
          <tpl hier="10" item="1"/>
          <tpl hier="11" item="0"/>
          <tpl fld="0" item="1"/>
        </tpls>
      </n>
      <n v="-39260.75" in="0">
        <tpls c="5">
          <tpl fld="1" item="5"/>
          <tpl fld="2" item="13"/>
          <tpl hier="10" item="1"/>
          <tpl hier="11" item="0"/>
          <tpl fld="0" item="0"/>
        </tpls>
      </n>
      <n v="-47888" in="0">
        <tpls c="5">
          <tpl fld="1" item="5"/>
          <tpl fld="2" item="13"/>
          <tpl hier="10" item="1"/>
          <tpl hier="11" item="0"/>
          <tpl fld="0" item="1"/>
        </tpls>
      </n>
      <n v="-34064.25" in="0">
        <tpls c="5">
          <tpl fld="1" item="9"/>
          <tpl fld="2" item="13"/>
          <tpl hier="10" item="1"/>
          <tpl hier="11" item="0"/>
          <tpl fld="0" item="0"/>
        </tpls>
      </n>
      <n v="-52902" in="0">
        <tpls c="5">
          <tpl fld="1" item="9"/>
          <tpl fld="2" item="13"/>
          <tpl hier="10" item="1"/>
          <tpl hier="11" item="0"/>
          <tpl fld="0" item="1"/>
        </tpls>
      </n>
      <n v="-38236.75" in="0">
        <tpls c="5">
          <tpl fld="1" item="11"/>
          <tpl fld="2" item="13"/>
          <tpl hier="10" item="1"/>
          <tpl hier="11" item="0"/>
          <tpl fld="0" item="0"/>
        </tpls>
      </n>
      <n v="-38445" in="0">
        <tpls c="5">
          <tpl fld="1" item="11"/>
          <tpl fld="2" item="13"/>
          <tpl hier="10" item="1"/>
          <tpl hier="11" item="0"/>
          <tpl fld="0" item="1"/>
        </tpls>
      </n>
      <n v="-34526.5" in="0">
        <tpls c="5">
          <tpl fld="1" item="10"/>
          <tpl fld="2" item="13"/>
          <tpl hier="10" item="1"/>
          <tpl hier="11" item="0"/>
          <tpl fld="0" item="0"/>
        </tpls>
      </n>
      <n v="-31984" in="0">
        <tpls c="5">
          <tpl fld="1" item="10"/>
          <tpl fld="2" item="13"/>
          <tpl hier="10" item="1"/>
          <tpl hier="11" item="0"/>
          <tpl fld="0" item="1"/>
        </tpls>
      </n>
      <n v="-42463.75" in="0">
        <tpls c="5">
          <tpl fld="1" item="8"/>
          <tpl fld="2" item="13"/>
          <tpl hier="10" item="1"/>
          <tpl hier="11" item="0"/>
          <tpl fld="0" item="0"/>
        </tpls>
      </n>
      <n v="-1468.75" in="0">
        <tpls c="5">
          <tpl fld="1" item="8"/>
          <tpl fld="2" item="4"/>
          <tpl hier="10" item="1"/>
          <tpl hier="11" item="0"/>
          <tpl fld="0" item="0"/>
        </tpls>
      </n>
      <n v="-32668.75" in="0">
        <tpls c="5">
          <tpl fld="1" item="8"/>
          <tpl fld="2" item="1"/>
          <tpl hier="10" item="1"/>
          <tpl hier="11" item="0"/>
          <tpl fld="0" item="0"/>
        </tpls>
      </n>
      <n v="-8298.25" in="0">
        <tpls c="5">
          <tpl fld="1" item="8"/>
          <tpl fld="2" item="5"/>
          <tpl hier="10" item="1"/>
          <tpl hier="11" item="0"/>
          <tpl fld="0" item="0"/>
        </tpls>
      </n>
      <n v="-32034.25" in="0">
        <tpls c="5">
          <tpl fld="1" item="10"/>
          <tpl fld="2" item="1"/>
          <tpl hier="10" item="1"/>
          <tpl hier="11" item="0"/>
          <tpl fld="0" item="0"/>
        </tpls>
      </n>
      <n v="-1920.75" in="0">
        <tpls c="5">
          <tpl fld="1" item="10"/>
          <tpl fld="2" item="4"/>
          <tpl hier="10" item="1"/>
          <tpl hier="11" item="0"/>
          <tpl fld="0" item="0"/>
        </tpls>
      </n>
      <n v="-8720.25" in="0">
        <tpls c="5">
          <tpl fld="1" item="10"/>
          <tpl fld="2" item="5"/>
          <tpl hier="10" item="1"/>
          <tpl hier="11" item="0"/>
          <tpl fld="0" item="0"/>
        </tpls>
      </n>
      <n v="-3959.5" in="0">
        <tpls c="5">
          <tpl fld="1" item="10"/>
          <tpl fld="2" item="2"/>
          <tpl hier="10" item="1"/>
          <tpl hier="11" item="0"/>
          <tpl fld="0" item="0"/>
        </tpls>
      </n>
      <n v="-1602973" in="0">
        <tpls c="5">
          <tpl fld="1" item="10"/>
          <tpl fld="2" item="0"/>
          <tpl hier="10" item="1"/>
          <tpl hier="11" item="0"/>
          <tpl fld="0" item="0"/>
        </tpls>
      </n>
      <n v="-539515" in="0">
        <tpls c="5">
          <tpl fld="1" item="11"/>
          <tpl fld="2" item="8"/>
          <tpl hier="10" item="1"/>
          <tpl hier="11" item="0"/>
          <tpl fld="0" item="1"/>
        </tpls>
      </n>
      <n v="-22750" in="0">
        <tpls c="5">
          <tpl fld="1" item="11"/>
          <tpl fld="2" item="4"/>
          <tpl hier="10" item="1"/>
          <tpl hier="11" item="0"/>
          <tpl fld="0" item="1"/>
        </tpls>
      </n>
      <n v="-12790" in="0">
        <tpls c="5">
          <tpl fld="1" item="11"/>
          <tpl fld="2" item="1"/>
          <tpl hier="10" item="1"/>
          <tpl hier="11" item="0"/>
          <tpl fld="0" item="1"/>
        </tpls>
      </n>
      <n v="8040079" in="0">
        <tpls c="5">
          <tpl fld="1" item="11"/>
          <tpl fld="2" item="9"/>
          <tpl hier="10" item="1"/>
          <tpl hier="11" item="0"/>
          <tpl fld="0" item="1"/>
        </tpls>
      </n>
      <n v="-13486" in="0">
        <tpls c="5">
          <tpl fld="1" item="11"/>
          <tpl fld="2" item="5"/>
          <tpl hier="10" item="1"/>
          <tpl hier="11" item="0"/>
          <tpl fld="0" item="1"/>
        </tpls>
      </n>
      <n v="-4024" in="0">
        <tpls c="5">
          <tpl fld="1" item="11"/>
          <tpl fld="2" item="2"/>
          <tpl hier="10" item="1"/>
          <tpl hier="11" item="0"/>
          <tpl fld="0" item="1"/>
        </tpls>
      </n>
      <n v="-1910781" in="0">
        <tpls c="5">
          <tpl fld="1" item="11"/>
          <tpl fld="2" item="0"/>
          <tpl hier="10" item="1"/>
          <tpl hier="11" item="0"/>
          <tpl fld="0" item="1"/>
        </tpls>
      </n>
      <n v="-8597.75" in="0">
        <tpls c="5">
          <tpl fld="1" item="4"/>
          <tpl fld="2" item="5"/>
          <tpl hier="10" item="1"/>
          <tpl hier="11" item="0"/>
          <tpl fld="0" item="0"/>
        </tpls>
      </n>
      <n v="-1215" in="0">
        <tpls c="5">
          <tpl fld="1" item="4"/>
          <tpl fld="2" item="4"/>
          <tpl hier="10" item="1"/>
          <tpl hier="11" item="0"/>
          <tpl fld="0" item="0"/>
        </tpls>
      </n>
      <n v="8889625" in="0">
        <tpls c="5">
          <tpl fld="1" item="4"/>
          <tpl fld="2" item="9"/>
          <tpl hier="10" item="1"/>
          <tpl hier="11" item="0"/>
          <tpl fld="0" item="0"/>
        </tpls>
      </n>
      <n v="-88235.5" in="0">
        <tpls c="5">
          <tpl fld="1" item="4"/>
          <tpl fld="2" item="10"/>
          <tpl hier="10" item="1"/>
          <tpl hier="11" item="0"/>
          <tpl fld="0" item="0"/>
        </tpls>
      </n>
      <n v="-1577063.5" in="0">
        <tpls c="5">
          <tpl fld="1" item="4"/>
          <tpl fld="2" item="0"/>
          <tpl hier="10" item="1"/>
          <tpl hier="11" item="0"/>
          <tpl fld="0" item="0"/>
        </tpls>
      </n>
      <n v="-32503.5" in="0">
        <tpls c="5">
          <tpl fld="1" item="4"/>
          <tpl fld="2" item="1"/>
          <tpl hier="10" item="1"/>
          <tpl hier="11" item="0"/>
          <tpl fld="0" item="0"/>
        </tpls>
      </n>
      <n v="9208197" in="0">
        <tpls c="5">
          <tpl fld="1" item="11"/>
          <tpl fld="2" item="9"/>
          <tpl hier="10" item="1"/>
          <tpl hier="11" item="0"/>
          <tpl fld="0" item="0"/>
        </tpls>
      </n>
      <n v="-8321" in="0">
        <tpls c="5">
          <tpl fld="1" item="11"/>
          <tpl fld="2" item="5"/>
          <tpl hier="10" item="1"/>
          <tpl hier="11" item="0"/>
          <tpl fld="0" item="0"/>
        </tpls>
      </n>
      <n v="-1933" in="0">
        <tpls c="5">
          <tpl fld="1" item="11"/>
          <tpl fld="2" item="4"/>
          <tpl hier="10" item="1"/>
          <tpl hier="11" item="0"/>
          <tpl fld="0" item="0"/>
        </tpls>
      </n>
      <n v="-4085" in="0">
        <tpls c="5">
          <tpl fld="1" item="11"/>
          <tpl fld="2" item="2"/>
          <tpl hier="10" item="1"/>
          <tpl hier="11" item="0"/>
          <tpl fld="0" item="0"/>
        </tpls>
      </n>
      <n v="-1692188.75" in="0">
        <tpls c="5">
          <tpl fld="1" item="11"/>
          <tpl fld="2" item="0"/>
          <tpl hier="10" item="1"/>
          <tpl hier="11" item="0"/>
          <tpl fld="0" item="0"/>
        </tpls>
      </n>
      <n v="-3716" in="0">
        <tpls c="5">
          <tpl fld="1" item="9"/>
          <tpl fld="2" item="2"/>
          <tpl hier="10" item="1"/>
          <tpl hier="11" item="0"/>
          <tpl fld="0" item="1"/>
        </tpls>
      </n>
      <n v="-616504" in="0">
        <tpls c="5">
          <tpl fld="1" item="9"/>
          <tpl fld="2" item="8"/>
          <tpl hier="10" item="1"/>
          <tpl hier="11" item="0"/>
          <tpl fld="0" item="1"/>
        </tpls>
      </n>
      <n v="-21527" in="0">
        <tpls c="5">
          <tpl fld="1" item="9"/>
          <tpl fld="2" item="4"/>
          <tpl hier="10" item="1"/>
          <tpl hier="11" item="0"/>
          <tpl fld="0" item="1"/>
        </tpls>
      </n>
      <n v="16729633" in="0">
        <tpls c="5">
          <tpl fld="1" item="9"/>
          <tpl fld="2" item="9"/>
          <tpl hier="10" item="1"/>
          <tpl hier="11" item="0"/>
          <tpl fld="0" item="1"/>
        </tpls>
      </n>
      <n v="-8730" in="0">
        <tpls c="5">
          <tpl fld="1" item="9"/>
          <tpl fld="2" item="5"/>
          <tpl hier="10" item="1"/>
          <tpl hier="11" item="0"/>
          <tpl fld="0" item="1"/>
        </tpls>
      </n>
      <n v="-122687" in="0">
        <tpls c="5">
          <tpl fld="1" item="9"/>
          <tpl fld="2" item="10"/>
          <tpl hier="10" item="1"/>
          <tpl hier="11" item="0"/>
          <tpl fld="0" item="1"/>
        </tpls>
      </n>
      <n v="-2509717" in="0">
        <tpls c="5">
          <tpl fld="1" item="9"/>
          <tpl fld="2" item="0"/>
          <tpl hier="10" item="1"/>
          <tpl hier="11" item="0"/>
          <tpl fld="0" item="1"/>
        </tpls>
      </n>
      <n v="-28829.75" in="0">
        <tpls c="5">
          <tpl fld="1" item="3"/>
          <tpl fld="2" item="14"/>
          <tpl hier="10" item="1"/>
          <tpl hier="11" item="0"/>
          <tpl fld="0" item="0"/>
        </tpls>
      </n>
      <n v="-460141" in="0">
        <tpls c="5">
          <tpl fld="1" item="3"/>
          <tpl fld="2" item="14"/>
          <tpl hier="10" item="1"/>
          <tpl hier="11" item="0"/>
          <tpl fld="0" item="1"/>
        </tpls>
      </n>
      <n v="-23071.25" in="0">
        <tpls c="5">
          <tpl fld="1" item="2"/>
          <tpl fld="2" item="14"/>
          <tpl hier="10" item="1"/>
          <tpl hier="11" item="0"/>
          <tpl fld="0" item="0"/>
        </tpls>
      </n>
      <n v="-209945" in="0">
        <tpls c="5">
          <tpl fld="1" item="2"/>
          <tpl fld="2" item="14"/>
          <tpl hier="10" item="1"/>
          <tpl hier="11" item="0"/>
          <tpl fld="0" item="1"/>
        </tpls>
      </n>
      <n v="-50691.25" in="0">
        <tpls c="5">
          <tpl fld="1" item="4"/>
          <tpl fld="2" item="14"/>
          <tpl hier="10" item="1"/>
          <tpl hier="11" item="0"/>
          <tpl fld="0" item="0"/>
        </tpls>
      </n>
      <n v="-408704" in="0">
        <tpls c="5">
          <tpl fld="1" item="9"/>
          <tpl fld="2" item="14"/>
          <tpl hier="10" item="1"/>
          <tpl hier="11" item="0"/>
          <tpl fld="0" item="1"/>
        </tpls>
      </n>
      <n v="-80743.25" in="0">
        <tpls c="5">
          <tpl fld="1" item="1"/>
          <tpl fld="2" item="14"/>
          <tpl hier="10" item="1"/>
          <tpl hier="11" item="0"/>
          <tpl fld="0" item="0"/>
        </tpls>
      </n>
      <n v="-22100" in="0">
        <tpls c="5">
          <tpl fld="1" item="5"/>
          <tpl fld="2" item="14"/>
          <tpl hier="10" item="1"/>
          <tpl hier="11" item="0"/>
          <tpl fld="0" item="0"/>
        </tpls>
      </n>
      <n v="-435411" in="0">
        <tpls c="5">
          <tpl fld="1" item="5"/>
          <tpl fld="2" item="14"/>
          <tpl hier="10" item="1"/>
          <tpl hier="11" item="0"/>
          <tpl fld="0" item="1"/>
        </tpls>
      </n>
      <n v="-31272.5" in="0">
        <tpls c="5">
          <tpl fld="1" item="11"/>
          <tpl fld="2" item="14"/>
          <tpl hier="10" item="1"/>
          <tpl hier="11" item="0"/>
          <tpl fld="0" item="0"/>
        </tpls>
      </n>
      <n v="-843341" in="0">
        <tpls c="5">
          <tpl fld="1" item="10"/>
          <tpl fld="2" item="14"/>
          <tpl hier="10" item="1"/>
          <tpl hier="11" item="0"/>
          <tpl fld="0" item="1"/>
        </tpls>
      </n>
      <n v="-647881" in="0">
        <tpls c="5">
          <tpl fld="1" item="7"/>
          <tpl fld="2" item="14"/>
          <tpl hier="10" item="1"/>
          <tpl hier="11" item="0"/>
          <tpl fld="0" item="1"/>
        </tpls>
      </n>
      <n v="-485667" in="0">
        <tpls c="5">
          <tpl fld="1" item="4"/>
          <tpl fld="2" item="14"/>
          <tpl hier="10" item="1"/>
          <tpl hier="11" item="0"/>
          <tpl fld="0" item="1"/>
        </tpls>
      </n>
      <n v="-30042" in="0">
        <tpls c="5">
          <tpl fld="1" item="9"/>
          <tpl fld="2" item="14"/>
          <tpl hier="10" item="1"/>
          <tpl hier="11" item="0"/>
          <tpl fld="0" item="0"/>
        </tpls>
      </n>
      <n v="-561851" in="0">
        <tpls c="5">
          <tpl fld="1" item="11"/>
          <tpl fld="2" item="14"/>
          <tpl hier="10" item="1"/>
          <tpl hier="11" item="0"/>
          <tpl fld="0" item="1"/>
        </tpls>
      </n>
      <n v="-36502.5" in="0">
        <tpls c="5">
          <tpl fld="1" item="10"/>
          <tpl fld="2" item="14"/>
          <tpl hier="10" item="1"/>
          <tpl hier="11" item="0"/>
          <tpl fld="0" item="0"/>
        </tpls>
      </n>
      <n v="-35856.5" in="0">
        <tpls c="5">
          <tpl fld="1" item="8"/>
          <tpl fld="2" item="14"/>
          <tpl hier="10" item="1"/>
          <tpl hier="11" item="0"/>
          <tpl fld="0" item="0"/>
        </tpls>
      </n>
      <n v="-705345" in="0">
        <tpls c="5">
          <tpl fld="1" item="8"/>
          <tpl fld="2" item="14"/>
          <tpl hier="10" item="1"/>
          <tpl hier="11" item="0"/>
          <tpl fld="0" item="1"/>
        </tpls>
      </n>
      <n v="-34865.25" in="0">
        <tpls c="5">
          <tpl fld="1" item="6"/>
          <tpl fld="2" item="14"/>
          <tpl hier="10" item="1"/>
          <tpl hier="11" item="0"/>
          <tpl fld="0" item="0"/>
        </tpls>
      </n>
      <n v="-298718" in="0">
        <tpls c="5">
          <tpl fld="1" item="6"/>
          <tpl fld="2" item="14"/>
          <tpl hier="10" item="1"/>
          <tpl hier="11" item="0"/>
          <tpl fld="0" item="1"/>
        </tpls>
      </n>
      <n v="-471142" in="0">
        <tpls c="4">
          <tpl fld="2" item="14"/>
          <tpl hier="10" item="1"/>
          <tpl hier="11" item="0"/>
          <tpl fld="0" item="0"/>
        </tpls>
      </n>
      <n v="-6129087" in="0">
        <tpls c="4">
          <tpl fld="2" item="14"/>
          <tpl hier="10" item="1"/>
          <tpl hier="11" item="0"/>
          <tpl fld="0" item="1"/>
        </tpls>
      </n>
      <n v="-422305" in="0">
        <tpls c="5">
          <tpl fld="1" item="10"/>
          <tpl fld="2" item="8"/>
          <tpl hier="10" item="1"/>
          <tpl hier="11" item="0"/>
          <tpl fld="0" item="1"/>
        </tpls>
      </n>
      <n v="-26385" in="0">
        <tpls c="5">
          <tpl fld="1" item="10"/>
          <tpl fld="2" item="4"/>
          <tpl hier="10" item="1"/>
          <tpl hier="11" item="0"/>
          <tpl fld="0" item="1"/>
        </tpls>
      </n>
      <n v="-12960" in="0">
        <tpls c="5">
          <tpl fld="1" item="10"/>
          <tpl fld="2" item="1"/>
          <tpl hier="10" item="1"/>
          <tpl hier="11" item="0"/>
          <tpl fld="0" item="1"/>
        </tpls>
      </n>
      <n v="-11096" in="0">
        <tpls c="5">
          <tpl fld="1" item="10"/>
          <tpl fld="2" item="5"/>
          <tpl hier="10" item="1"/>
          <tpl hier="11" item="0"/>
          <tpl fld="0" item="1"/>
        </tpls>
      </n>
      <n v="-6496" in="0">
        <tpls c="5">
          <tpl fld="1" item="10"/>
          <tpl fld="2" item="2"/>
          <tpl hier="10" item="1"/>
          <tpl hier="11" item="0"/>
          <tpl fld="0" item="1"/>
        </tpls>
      </n>
      <n v="-7951.5" in="0">
        <tpls c="5">
          <tpl fld="1" item="5"/>
          <tpl fld="2" item="5"/>
          <tpl hier="10" item="1"/>
          <tpl hier="11" item="0"/>
          <tpl fld="0" item="0"/>
        </tpls>
      </n>
      <n v="-74115.75" in="0">
        <tpls c="5">
          <tpl fld="1" item="5"/>
          <tpl fld="2" item="10"/>
          <tpl hier="10" item="1"/>
          <tpl hier="11" item="0"/>
          <tpl fld="0" item="0"/>
        </tpls>
      </n>
      <n v="8127229" in="0">
        <tpls c="5">
          <tpl fld="1" item="5"/>
          <tpl fld="2" item="9"/>
          <tpl hier="10" item="1"/>
          <tpl hier="11" item="0"/>
          <tpl fld="0" item="0"/>
        </tpls>
      </n>
      <n v="-132237.16666666666" in="0">
        <tpls c="5">
          <tpl fld="1" item="5"/>
          <tpl fld="2" item="7"/>
          <tpl hier="10" item="1"/>
          <tpl hier="11" item="0"/>
          <tpl fld="0" item="0"/>
        </tpls>
      </n>
      <n v="-127198" in="0">
        <tpls c="5">
          <tpl fld="1" item="5"/>
          <tpl fld="2" item="6"/>
          <tpl hier="10" item="1"/>
          <tpl hier="11" item="0"/>
          <tpl fld="0" item="0"/>
        </tpls>
      </n>
      <n v="-31860.25" in="0">
        <tpls c="5">
          <tpl fld="1" item="5"/>
          <tpl fld="2" item="1"/>
          <tpl hier="10" item="1"/>
          <tpl hier="11" item="0"/>
          <tpl fld="0" item="0"/>
        </tpls>
      </n>
      <n v="-4402.25" in="0">
        <tpls c="5">
          <tpl fld="1" item="5"/>
          <tpl fld="2" item="2"/>
          <tpl hier="10" item="1"/>
          <tpl hier="11" item="0"/>
          <tpl fld="0" item="0"/>
        </tpls>
      </n>
      <n v="-49586" in="0">
        <tpls c="4">
          <tpl fld="2" item="2"/>
          <tpl hier="10" item="1"/>
          <tpl hier="11" item="0"/>
          <tpl fld="0" item="1"/>
        </tpls>
      </n>
      <n v="-501273" in="0">
        <tpls c="4">
          <tpl fld="2" item="13"/>
          <tpl hier="10" item="1"/>
          <tpl hier="11" item="0"/>
          <tpl fld="0" item="1"/>
        </tpls>
      </n>
      <n v="-502297" in="0">
        <tpls c="4">
          <tpl fld="2" item="12"/>
          <tpl hier="10" item="1"/>
          <tpl hier="11" item="0"/>
          <tpl fld="0" item="1"/>
        </tpls>
      </n>
      <n v="-25754842" in="0">
        <tpls c="4">
          <tpl fld="2" item="0"/>
          <tpl hier="10" item="1"/>
          <tpl hier="11" item="0"/>
          <tpl fld="0" item="1"/>
        </tpls>
      </n>
      <n v="-1966364" in="0">
        <tpls c="4">
          <tpl fld="2" item="6"/>
          <tpl hier="10" item="1"/>
          <tpl hier="11" item="0"/>
          <tpl fld="0" item="1"/>
        </tpls>
      </n>
      <n v="-5345940" in="0">
        <tpls c="4">
          <tpl fld="2" item="8"/>
          <tpl hier="10" item="1"/>
          <tpl hier="11" item="0"/>
          <tpl fld="0" item="1"/>
        </tpls>
      </n>
      <n v="-236514" in="0">
        <tpls c="4">
          <tpl fld="2" item="3"/>
          <tpl hier="10" item="1"/>
          <tpl hier="11" item="0"/>
          <tpl fld="0" item="1"/>
        </tpls>
      </n>
      <n v="-285944" in="0">
        <tpls c="4">
          <tpl fld="2" item="4"/>
          <tpl hier="10" item="1"/>
          <tpl hier="11" item="0"/>
          <tpl fld="0" item="1"/>
        </tpls>
      </n>
      <n v="-154750" in="0">
        <tpls c="4">
          <tpl fld="2" item="1"/>
          <tpl hier="10" item="1"/>
          <tpl hier="11" item="0"/>
          <tpl fld="0" item="1"/>
        </tpls>
      </n>
      <n v="5869102.666666667" in="0">
        <tpls c="5">
          <tpl fld="1" item="0"/>
          <tpl hier="9" item="4294967295"/>
          <tpl hier="10" item="1"/>
          <tpl hier="11" item="0"/>
          <tpl fld="0" item="0"/>
        </tpls>
      </n>
      <n v="5642143.583333333" in="0">
        <tpls c="5">
          <tpl fld="1" item="2"/>
          <tpl hier="9" item="4294967295"/>
          <tpl hier="10" item="1"/>
          <tpl hier="11" item="0"/>
          <tpl fld="0" item="0"/>
        </tpls>
      </n>
      <n v="9923912" in="0">
        <tpls c="5">
          <tpl fld="1" item="0"/>
          <tpl hier="9" item="4294967295"/>
          <tpl hier="10" item="1"/>
          <tpl hier="11" item="0"/>
          <tpl fld="0" item="1"/>
        </tpls>
      </n>
      <n v="10721573" in="0">
        <tpls c="5">
          <tpl fld="1" item="9"/>
          <tpl hier="9" item="4294967295"/>
          <tpl hier="10" item="1"/>
          <tpl hier="11" item="0"/>
          <tpl fld="0" item="1"/>
        </tpls>
      </n>
      <n v="763011" in="0">
        <tpls c="5">
          <tpl fld="1" item="11"/>
          <tpl hier="9" item="4294967295"/>
          <tpl hier="10" item="1"/>
          <tpl hier="11" item="0"/>
          <tpl fld="0" item="1"/>
        </tpls>
      </n>
      <n v="6072415" in="0">
        <tpls c="5">
          <tpl fld="1" item="3"/>
          <tpl hier="9" item="4294967295"/>
          <tpl hier="10" item="1"/>
          <tpl hier="11" item="0"/>
          <tpl fld="0" item="1"/>
        </tpls>
      </n>
      <n v="7396807" in="0">
        <tpls c="5">
          <tpl fld="1" item="2"/>
          <tpl hier="9" item="4294967295"/>
          <tpl hier="10" item="1"/>
          <tpl hier="11" item="0"/>
          <tpl fld="0" item="1"/>
        </tpls>
      </n>
      <n v="2711694" in="0">
        <tpls c="5">
          <tpl fld="1" item="1"/>
          <tpl hier="9" item="4294967295"/>
          <tpl hier="10" item="1"/>
          <tpl hier="11" item="0"/>
          <tpl fld="0" item="1"/>
        </tpls>
      </n>
      <n v="5012000.166666667" in="0">
        <tpls c="5">
          <tpl fld="1" item="3"/>
          <tpl hier="9" item="4294967295"/>
          <tpl hier="10" item="1"/>
          <tpl hier="11" item="0"/>
          <tpl fld="0" item="0"/>
        </tpls>
      </n>
      <n v="6623501.25" in="0">
        <tpls c="5">
          <tpl fld="1" item="1"/>
          <tpl hier="9" item="4294967295"/>
          <tpl hier="10" item="1"/>
          <tpl hier="11" item="0"/>
          <tpl fld="0" item="0"/>
        </tpls>
      </n>
      <n v="5930284.083333333" in="0">
        <tpls c="5">
          <tpl fld="1" item="5"/>
          <tpl hier="9" item="4294967295"/>
          <tpl hier="10" item="1"/>
          <tpl hier="11" item="0"/>
          <tpl fld="0" item="0"/>
        </tpls>
      </n>
      <n v="6722616" in="0">
        <tpls c="5">
          <tpl fld="1" item="5"/>
          <tpl hier="9" item="4294967295"/>
          <tpl hier="10" item="1"/>
          <tpl hier="11" item="0"/>
          <tpl fld="0" item="1"/>
        </tpls>
      </n>
      <n v="6726556.916666666" in="0">
        <tpls c="5">
          <tpl fld="1" item="4"/>
          <tpl hier="9" item="4294967295"/>
          <tpl hier="10" item="1"/>
          <tpl hier="11" item="0"/>
          <tpl fld="0" item="0"/>
        </tpls>
      </n>
      <n v="715465" in="0">
        <tpls c="5">
          <tpl fld="1" item="4"/>
          <tpl hier="9" item="4294967295"/>
          <tpl hier="10" item="1"/>
          <tpl hier="11" item="0"/>
          <tpl fld="0" item="1"/>
        </tpls>
      </n>
      <n v="7624683.25" in="0">
        <tpls c="5">
          <tpl fld="1" item="9"/>
          <tpl hier="9" item="4294967295"/>
          <tpl hier="10" item="1"/>
          <tpl hier="11" item="0"/>
          <tpl fld="0" item="0"/>
        </tpls>
      </n>
      <n v="7002842.416666666" in="0">
        <tpls c="5">
          <tpl fld="1" item="11"/>
          <tpl hier="9" item="4294967295"/>
          <tpl hier="10" item="1"/>
          <tpl hier="11" item="0"/>
          <tpl fld="0" item="0"/>
        </tpls>
      </n>
      <n v="6907979.75" in="0">
        <tpls c="5">
          <tpl fld="1" item="10"/>
          <tpl hier="9" item="4294967295"/>
          <tpl hier="10" item="1"/>
          <tpl hier="11" item="0"/>
          <tpl fld="0" item="0"/>
        </tpls>
      </n>
      <n v="5726331" in="0">
        <tpls c="5">
          <tpl fld="1" item="10"/>
          <tpl hier="9" item="4294967295"/>
          <tpl hier="10" item="1"/>
          <tpl hier="11" item="0"/>
          <tpl fld="0" item="1"/>
        </tpls>
      </n>
      <n v="6686251.25" in="0">
        <tpls c="5">
          <tpl fld="1" item="8"/>
          <tpl hier="9" item="4294967295"/>
          <tpl hier="10" item="1"/>
          <tpl hier="11" item="0"/>
          <tpl fld="0" item="0"/>
        </tpls>
      </n>
      <n v="14830656" in="0">
        <tpls c="5">
          <tpl fld="1" item="8"/>
          <tpl hier="9" item="4294967295"/>
          <tpl hier="10" item="1"/>
          <tpl hier="11" item="0"/>
          <tpl fld="0" item="1"/>
        </tpls>
      </n>
      <n v="7566332.166666666" in="0">
        <tpls c="5">
          <tpl fld="1" item="7"/>
          <tpl hier="9" item="4294967295"/>
          <tpl hier="10" item="1"/>
          <tpl hier="11" item="0"/>
          <tpl fld="0" item="0"/>
        </tpls>
      </n>
      <n v="7943600" in="0">
        <tpls c="5">
          <tpl fld="1" item="7"/>
          <tpl hier="9" item="4294967295"/>
          <tpl hier="10" item="1"/>
          <tpl hier="11" item="0"/>
          <tpl fld="0" item="1"/>
        </tpls>
      </n>
      <n v="7409101.75" in="0">
        <tpls c="5">
          <tpl fld="1" item="6"/>
          <tpl hier="9" item="4294967295"/>
          <tpl hier="10" item="1"/>
          <tpl hier="11" item="0"/>
          <tpl fld="0" item="0"/>
        </tpls>
      </n>
      <n v="9189975" in="0">
        <tpls c="5">
          <tpl fld="1" item="6"/>
          <tpl hier="9" item="4294967295"/>
          <tpl hier="10" item="1"/>
          <tpl hier="11" item="0"/>
          <tpl fld="0" item="1"/>
        </tpls>
      </n>
      <n v="79000779.25" in="0">
        <tpls c="4">
          <tpl hier="9" item="4294967295"/>
          <tpl hier="10" item="1"/>
          <tpl hier="11" item="0"/>
          <tpl fld="0" item="0"/>
        </tpls>
      </n>
      <n v="82718055" in="0">
        <tpls c="4">
          <tpl hier="9" item="4294967295"/>
          <tpl hier="10" item="1"/>
          <tpl hier="11" item="0"/>
          <tpl fld="0" item="1"/>
        </tpls>
      </n>
      <n v="-52731.5" in="0">
        <tpls c="4">
          <tpl fld="2" item="2"/>
          <tpl hier="10" item="1"/>
          <tpl hier="11" item="0"/>
          <tpl fld="0" item="0"/>
        </tpls>
      </n>
      <n v="-435654.25" in="0">
        <tpls c="4">
          <tpl fld="2" item="13"/>
          <tpl hier="10" item="1"/>
          <tpl hier="11" item="0"/>
          <tpl fld="0" item="0"/>
        </tpls>
      </n>
      <n v="-1493626.25" in="0">
        <tpls c="4">
          <tpl fld="2" item="6"/>
          <tpl hier="10" item="1"/>
          <tpl hier="11" item="0"/>
          <tpl fld="0" item="0"/>
        </tpls>
      </n>
      <n v="-19507681" in="0">
        <tpls c="4">
          <tpl fld="2" item="0"/>
          <tpl hier="10" item="1"/>
          <tpl hier="11" item="0"/>
          <tpl fld="0" item="0"/>
        </tpls>
      </n>
      <n v="-192502.5" in="0">
        <tpls c="4">
          <tpl fld="2" item="3"/>
          <tpl hier="10" item="1"/>
          <tpl hier="11" item="0"/>
          <tpl fld="0" item="0"/>
        </tpls>
      </n>
      <n v="-102029.75" in="0">
        <tpls c="4">
          <tpl fld="2" item="5"/>
          <tpl hier="10" item="1"/>
          <tpl hier="11" item="0"/>
          <tpl fld="0" item="0"/>
        </tpls>
      </n>
      <n v="105300402" in="0">
        <tpls c="4">
          <tpl fld="2" item="9"/>
          <tpl hier="10" item="1"/>
          <tpl hier="11" item="0"/>
          <tpl fld="0" item="0"/>
        </tpls>
      </n>
      <n v="-24385.75" in="0">
        <tpls c="4">
          <tpl fld="2" item="4"/>
          <tpl hier="10" item="1"/>
          <tpl hier="11" item="0"/>
          <tpl fld="0" item="0"/>
        </tpls>
      </n>
      <n v="-381818.75" in="0">
        <tpls c="4">
          <tpl fld="2" item="1"/>
          <tpl hier="10" item="1"/>
          <tpl hier="11" item="0"/>
          <tpl fld="0" item="0"/>
        </tpls>
      </n>
      <n v="-42866" in="0">
        <tpls c="5">
          <tpl fld="1" item="2"/>
          <tpl fld="2" item="15"/>
          <tpl hier="10" item="1"/>
          <tpl hier="11" item="0"/>
          <tpl fld="0" item="0"/>
        </tpls>
      </n>
      <n v="-38903" in="0">
        <tpls c="5">
          <tpl fld="1" item="2"/>
          <tpl fld="2" item="15"/>
          <tpl hier="10" item="1"/>
          <tpl hier="11" item="0"/>
          <tpl fld="0" item="1"/>
        </tpls>
      </n>
      <n v="-46119" in="0">
        <tpls c="5">
          <tpl fld="1" item="1"/>
          <tpl fld="2" item="15"/>
          <tpl hier="10" item="1"/>
          <tpl hier="11" item="0"/>
          <tpl fld="0" item="0"/>
        </tpls>
      </n>
      <n v="-29129" in="0">
        <tpls c="5">
          <tpl fld="1" item="1"/>
          <tpl fld="2" item="15"/>
          <tpl hier="10" item="1"/>
          <tpl hier="11" item="0"/>
          <tpl fld="0" item="1"/>
        </tpls>
      </n>
      <n v="-42872" in="0">
        <tpls c="5">
          <tpl fld="1" item="5"/>
          <tpl fld="2" item="15"/>
          <tpl hier="10" item="1"/>
          <tpl hier="11" item="0"/>
          <tpl fld="0" item="0"/>
        </tpls>
      </n>
      <n v="-38416" in="0">
        <tpls c="5">
          <tpl fld="1" item="5"/>
          <tpl fld="2" item="15"/>
          <tpl hier="10" item="1"/>
          <tpl hier="11" item="0"/>
          <tpl fld="0" item="1"/>
        </tpls>
      </n>
      <n v="-29964" in="0">
        <tpls c="5">
          <tpl fld="1" item="3"/>
          <tpl fld="2" item="15"/>
          <tpl hier="10" item="1"/>
          <tpl hier="11" item="0"/>
          <tpl fld="0" item="1"/>
        </tpls>
      </n>
      <n v="-43853.25" in="0">
        <tpls c="5">
          <tpl fld="1" item="4"/>
          <tpl fld="2" item="15"/>
          <tpl hier="10" item="1"/>
          <tpl hier="11" item="0"/>
          <tpl fld="0" item="0"/>
        </tpls>
      </n>
      <n v="-43221.75" in="0">
        <tpls c="5">
          <tpl fld="1" item="3"/>
          <tpl fld="2" item="15"/>
          <tpl hier="10" item="1"/>
          <tpl hier="11" item="0"/>
          <tpl fld="0" item="0"/>
        </tpls>
      </n>
      <n v="-45505" in="0">
        <tpls c="5">
          <tpl fld="1" item="9"/>
          <tpl fld="2" item="15"/>
          <tpl hier="10" item="1"/>
          <tpl hier="11" item="0"/>
          <tpl fld="0" item="0"/>
        </tpls>
      </n>
      <n v="-32554" in="0">
        <tpls c="5">
          <tpl fld="1" item="6"/>
          <tpl fld="2" item="15"/>
          <tpl hier="10" item="1"/>
          <tpl hier="11" item="0"/>
          <tpl fld="0" item="1"/>
        </tpls>
      </n>
      <n v="-22263" in="0">
        <tpls c="5">
          <tpl fld="1" item="4"/>
          <tpl fld="2" item="15"/>
          <tpl hier="10" item="1"/>
          <tpl hier="11" item="0"/>
          <tpl fld="0" item="1"/>
        </tpls>
      </n>
      <n v="-27148" in="0">
        <tpls c="5">
          <tpl fld="1" item="9"/>
          <tpl fld="2" item="15"/>
          <tpl hier="10" item="1"/>
          <tpl hier="11" item="0"/>
          <tpl fld="0" item="1"/>
        </tpls>
      </n>
      <n v="-29897" in="0">
        <tpls c="5">
          <tpl fld="1" item="11"/>
          <tpl fld="2" item="15"/>
          <tpl hier="10" item="1"/>
          <tpl hier="11" item="0"/>
          <tpl fld="0" item="1"/>
        </tpls>
      </n>
      <n v="-520583" in="0">
        <tpls c="4">
          <tpl fld="2" item="15"/>
          <tpl hier="10" item="1"/>
          <tpl hier="11" item="0"/>
          <tpl fld="0" item="0"/>
        </tpls>
      </n>
      <n v="-368939" in="0">
        <tpls c="4">
          <tpl fld="2" item="15"/>
          <tpl hier="10" item="1"/>
          <tpl hier="11" item="0"/>
          <tpl fld="0" item="1"/>
        </tpls>
      </n>
      <n v="-42296" in="0">
        <tpls c="5">
          <tpl fld="1" item="11"/>
          <tpl fld="2" item="15"/>
          <tpl hier="10" item="1"/>
          <tpl hier="11" item="0"/>
          <tpl fld="0" item="0"/>
        </tpls>
      </n>
      <n v="-40742.25" in="0">
        <tpls c="5">
          <tpl fld="1" item="10"/>
          <tpl fld="2" item="15"/>
          <tpl hier="10" item="1"/>
          <tpl hier="11" item="0"/>
          <tpl fld="0" item="0"/>
        </tpls>
      </n>
      <n v="-32225" in="0">
        <tpls c="5">
          <tpl fld="1" item="10"/>
          <tpl fld="2" item="15"/>
          <tpl hier="10" item="1"/>
          <tpl hier="11" item="0"/>
          <tpl fld="0" item="1"/>
        </tpls>
      </n>
      <n v="-46782.75" in="0">
        <tpls c="5">
          <tpl fld="1" item="8"/>
          <tpl fld="2" item="15"/>
          <tpl hier="10" item="1"/>
          <tpl hier="11" item="0"/>
          <tpl fld="0" item="0"/>
        </tpls>
      </n>
      <n v="-31146" in="0">
        <tpls c="5">
          <tpl fld="1" item="8"/>
          <tpl fld="2" item="15"/>
          <tpl hier="10" item="1"/>
          <tpl hier="11" item="0"/>
          <tpl fld="0" item="1"/>
        </tpls>
      </n>
      <n v="-42194.5" in="0">
        <tpls c="5">
          <tpl fld="1" item="7"/>
          <tpl fld="2" item="15"/>
          <tpl hier="10" item="1"/>
          <tpl hier="11" item="0"/>
          <tpl fld="0" item="0"/>
        </tpls>
      </n>
      <n v="-37072" in="0">
        <tpls c="5">
          <tpl fld="1" item="7"/>
          <tpl fld="2" item="15"/>
          <tpl hier="10" item="1"/>
          <tpl hier="11" item="0"/>
          <tpl fld="0" item="1"/>
        </tpls>
      </n>
      <n v="-39704.75" in="0">
        <tpls c="5">
          <tpl fld="1" item="6"/>
          <tpl fld="2" item="15"/>
          <tpl hier="10" item="1"/>
          <tpl hier="11" item="0"/>
          <tpl fld="0" item="0"/>
        </tpls>
      </n>
      <n v="-2239516" in="0">
        <tpls c="5">
          <tpl fld="1" item="0"/>
          <tpl fld="2" item="0"/>
          <tpl hier="10" item="1"/>
          <tpl hier="11" item="0"/>
          <tpl fld="0" item="1"/>
        </tpls>
      </n>
      <n v="-1582966.5" in="0">
        <tpls c="5">
          <tpl fld="1" item="0"/>
          <tpl fld="2" item="0"/>
          <tpl hier="10" item="1"/>
          <tpl hier="11" item="0"/>
          <tpl fld="0" item="0"/>
        </tpls>
      </n>
      <n v="-12860" in="0">
        <tpls c="5">
          <tpl fld="1" item="0"/>
          <tpl fld="2" item="1"/>
          <tpl hier="10" item="1"/>
          <tpl hier="11" item="0"/>
          <tpl fld="0" item="1"/>
        </tpls>
      </n>
      <n v="-31894.5" in="0">
        <tpls c="5">
          <tpl fld="1" item="0"/>
          <tpl fld="2" item="1"/>
          <tpl hier="10" item="1"/>
          <tpl hier="11" item="0"/>
          <tpl fld="0" item="0"/>
        </tpls>
      </n>
      <n v="-4773" in="0">
        <tpls c="5">
          <tpl fld="1" item="0"/>
          <tpl fld="2" item="2"/>
          <tpl hier="10" item="1"/>
          <tpl hier="11" item="0"/>
          <tpl fld="0" item="1"/>
        </tpls>
      </n>
      <n v="-4335" in="0">
        <tpls c="5">
          <tpl fld="1" item="0"/>
          <tpl fld="2" item="2"/>
          <tpl hier="10" item="1"/>
          <tpl hier="11" item="0"/>
          <tpl fld="0" item="0"/>
        </tpls>
      </n>
      <n v="-27134" in="0">
        <tpls c="5">
          <tpl fld="1" item="0"/>
          <tpl fld="2" item="3"/>
          <tpl hier="10" item="1"/>
          <tpl hier="11" item="0"/>
          <tpl fld="0" item="1"/>
        </tpls>
      </n>
      <n v="-16596.75" in="0">
        <tpls c="5">
          <tpl fld="1" item="0"/>
          <tpl fld="2" item="3"/>
          <tpl hier="10" item="1"/>
          <tpl hier="11" item="0"/>
          <tpl fld="0" item="0"/>
        </tpls>
      </n>
      <n v="-31821" in="0">
        <tpls c="5">
          <tpl fld="1" item="0"/>
          <tpl fld="2" item="4"/>
          <tpl hier="10" item="1"/>
          <tpl hier="11" item="0"/>
          <tpl fld="0" item="1"/>
        </tpls>
      </n>
      <n v="-2772" in="0">
        <tpls c="5">
          <tpl fld="1" item="0"/>
          <tpl fld="2" item="4"/>
          <tpl hier="10" item="1"/>
          <tpl hier="11" item="0"/>
          <tpl fld="0" item="0"/>
        </tpls>
      </n>
      <n v="-14535" in="0">
        <tpls c="5">
          <tpl fld="1" item="0"/>
          <tpl fld="2" item="5"/>
          <tpl hier="10" item="1"/>
          <tpl hier="11" item="0"/>
          <tpl fld="0" item="1"/>
        </tpls>
      </n>
      <n v="-8653.5" in="0">
        <tpls c="5">
          <tpl fld="1" item="0"/>
          <tpl fld="2" item="5"/>
          <tpl hier="10" item="1"/>
          <tpl hier="11" item="0"/>
          <tpl fld="0" item="0"/>
        </tpls>
      </n>
      <n v="-163023" in="0">
        <tpls c="5">
          <tpl fld="1" item="0"/>
          <tpl fld="2" item="6"/>
          <tpl hier="10" item="1"/>
          <tpl hier="11" item="0"/>
          <tpl fld="0" item="1"/>
        </tpls>
      </n>
      <n v="-125313.25" in="0">
        <tpls c="5">
          <tpl fld="1" item="0"/>
          <tpl fld="2" item="6"/>
          <tpl hier="10" item="1"/>
          <tpl hier="11" item="0"/>
          <tpl fld="0" item="0"/>
        </tpls>
      </n>
      <n v="-2775891" in="0">
        <tpls c="5">
          <tpl fld="1" item="0"/>
          <tpl fld="2" item="7"/>
          <tpl hier="10" item="1"/>
          <tpl hier="11" item="0"/>
          <tpl fld="0" item="1"/>
        </tpls>
      </n>
      <n v="-97133.833333333328" in="0">
        <tpls c="5">
          <tpl fld="1" item="0"/>
          <tpl fld="2" item="7"/>
          <tpl hier="10" item="1"/>
          <tpl hier="11" item="0"/>
          <tpl fld="0" item="0"/>
        </tpls>
      </n>
      <n v="-437091" in="0">
        <tpls c="5">
          <tpl fld="1" item="0"/>
          <tpl fld="2" item="8"/>
          <tpl hier="10" item="1"/>
          <tpl hier="11" item="0"/>
          <tpl fld="0" item="1"/>
        </tpls>
      </n>
      <n v="-996.5" in="0">
        <tpls c="5">
          <tpl fld="1" item="0"/>
          <tpl fld="2" item="8"/>
          <tpl hier="10" item="1"/>
          <tpl hier="11" item="0"/>
          <tpl fld="0" item="0"/>
        </tpls>
      </n>
      <n v="16447053" in="0">
        <tpls c="5">
          <tpl fld="1" item="0"/>
          <tpl fld="2" item="9"/>
          <tpl hier="10" item="1"/>
          <tpl hier="11" item="0"/>
          <tpl fld="0" item="1"/>
        </tpls>
      </n>
      <n v="7995921" in="0">
        <tpls c="5">
          <tpl fld="1" item="0"/>
          <tpl fld="2" item="9"/>
          <tpl hier="10" item="1"/>
          <tpl hier="11" item="0"/>
          <tpl fld="0" item="0"/>
        </tpls>
      </n>
      <n v="-199915" in="0">
        <tpls c="5">
          <tpl fld="1" item="0"/>
          <tpl fld="2" item="10"/>
          <tpl hier="10" item="1"/>
          <tpl hier="11" item="0"/>
          <tpl fld="0" item="1"/>
        </tpls>
      </n>
      <n v="-98296" in="0">
        <tpls c="5">
          <tpl fld="1" item="0"/>
          <tpl fld="2" item="10"/>
          <tpl hier="10" item="1"/>
          <tpl hier="11" item="0"/>
          <tpl fld="0" item="0"/>
        </tpls>
      </n>
      <n v="-4537" in="0">
        <tpls c="5">
          <tpl fld="1" item="0"/>
          <tpl fld="2" item="11"/>
          <tpl hier="10" item="1"/>
          <tpl hier="11" item="0"/>
          <tpl fld="0" item="1"/>
        </tpls>
      </n>
      <n v="-3773" in="0">
        <tpls c="5">
          <tpl fld="1" item="0"/>
          <tpl fld="2" item="11"/>
          <tpl hier="10" item="1"/>
          <tpl hier="11" item="0"/>
          <tpl fld="0" item="0"/>
        </tpls>
      </n>
      <n v="-44119" in="0">
        <tpls c="5">
          <tpl fld="1" item="0"/>
          <tpl fld="2" item="12"/>
          <tpl hier="10" item="1"/>
          <tpl hier="11" item="0"/>
          <tpl fld="0" item="1"/>
        </tpls>
      </n>
      <n v="-31952.5" in="0">
        <tpls c="5">
          <tpl fld="1" item="0"/>
          <tpl fld="2" item="12"/>
          <tpl hier="10" item="1"/>
          <tpl hier="11" item="0"/>
          <tpl fld="0" item="0"/>
        </tpls>
      </n>
      <n v="-38533" in="0">
        <tpls c="5">
          <tpl fld="1" item="0"/>
          <tpl fld="2" item="13"/>
          <tpl hier="10" item="1"/>
          <tpl hier="11" item="0"/>
          <tpl fld="0" item="1"/>
        </tpls>
      </n>
      <n v="-40498.75" in="0">
        <tpls c="5">
          <tpl fld="1" item="0"/>
          <tpl fld="2" item="13"/>
          <tpl hier="10" item="1"/>
          <tpl hier="11" item="0"/>
          <tpl fld="0" item="0"/>
        </tpls>
      </n>
      <n v="-509171" in="0">
        <tpls c="5">
          <tpl fld="1" item="0"/>
          <tpl fld="2" item="14"/>
          <tpl hier="10" item="1"/>
          <tpl hier="11" item="0"/>
          <tpl fld="0" item="1"/>
        </tpls>
      </n>
      <n v="-37210.5" in="0">
        <tpls c="5">
          <tpl fld="1" item="0"/>
          <tpl fld="2" item="14"/>
          <tpl hier="10" item="1"/>
          <tpl hier="11" item="0"/>
          <tpl fld="0" item="0"/>
        </tpls>
      </n>
      <n v="-20222" in="0">
        <tpls c="5">
          <tpl fld="1" item="0"/>
          <tpl fld="2" item="15"/>
          <tpl hier="10" item="1"/>
          <tpl hier="11" item="0"/>
          <tpl fld="0" item="1"/>
        </tpls>
      </n>
      <n v="-44425.75" in="0">
        <tpls c="5">
          <tpl fld="1" item="0"/>
          <tpl fld="2" item="15"/>
          <tpl hier="10" item="1"/>
          <tpl hier="11" item="0"/>
          <tpl fld="0" item="0"/>
        </tpls>
      </n>
      <n v="7409101.75" in="0">
        <tpls c="2">
          <tpl fld="1" item="6"/>
          <tpl fld="0" item="0"/>
        </tpls>
      </n>
      <n v="7566332.166666666" in="0">
        <tpls c="2">
          <tpl fld="1" item="7"/>
          <tpl fld="0" item="0"/>
        </tpls>
      </n>
      <n v="6686251.25" in="0">
        <tpls c="2">
          <tpl fld="1" item="8"/>
          <tpl fld="0" item="0"/>
        </tpls>
      </n>
      <n v="6907979.75" in="0">
        <tpls c="2">
          <tpl fld="1" item="10"/>
          <tpl fld="0" item="0"/>
        </tpls>
      </n>
      <n v="7002842.416666666" in="0">
        <tpls c="2">
          <tpl fld="1" item="11"/>
          <tpl fld="0" item="0"/>
        </tpls>
      </n>
      <n v="7624683.25" in="0">
        <tpls c="2">
          <tpl fld="1" item="9"/>
          <tpl fld="0" item="0"/>
        </tpls>
      </n>
      <n v="6726556.916666666" in="0">
        <tpls c="2">
          <tpl fld="1" item="4"/>
          <tpl fld="0" item="0"/>
        </tpls>
      </n>
      <n v="5930284.083333333" in="0">
        <tpls c="2">
          <tpl fld="1" item="5"/>
          <tpl fld="0" item="0"/>
        </tpls>
      </n>
      <n v="6623501.25" in="0">
        <tpls c="2">
          <tpl fld="1" item="1"/>
          <tpl fld="0" item="0"/>
        </tpls>
      </n>
      <n v="5642143.583333333" in="0">
        <tpls c="2">
          <tpl fld="1" item="2"/>
          <tpl fld="0" item="0"/>
        </tpls>
      </n>
      <n v="5012000.166666667" in="0">
        <tpls c="2">
          <tpl fld="1" item="3"/>
          <tpl fld="0" item="0"/>
        </tpls>
      </n>
      <n v="5869102.666666667" in="0">
        <tpls c="2">
          <tpl fld="1" item="0"/>
          <tpl fld="0" item="0"/>
        </tpls>
      </n>
      <m in="0">
        <tpls c="5">
          <tpl fld="1" item="1"/>
          <tpl fld="2" item="7"/>
          <tpl hier="10" item="2"/>
          <tpl hier="11" item="0"/>
          <tpl fld="0" item="1"/>
        </tpls>
      </m>
      <n v="-1976" in="0">
        <tpls c="5">
          <tpl fld="1" item="3"/>
          <tpl fld="2" item="2"/>
          <tpl hier="10" item="2"/>
          <tpl hier="11" item="0"/>
          <tpl fld="0" item="0"/>
        </tpls>
      </n>
      <n v="-17676" in="0">
        <tpls c="5">
          <tpl fld="1" item="2"/>
          <tpl fld="2" item="6"/>
          <tpl hier="10" item="2"/>
          <tpl hier="11" item="0"/>
          <tpl fld="0" item="1"/>
        </tpls>
      </n>
      <n v="-618" in="0">
        <tpls c="5">
          <tpl fld="1" item="3"/>
          <tpl fld="2" item="11"/>
          <tpl hier="10" item="2"/>
          <tpl hier="11" item="0"/>
          <tpl fld="0" item="1"/>
        </tpls>
      </n>
      <n v="-13589.5" in="0">
        <tpls c="5">
          <tpl fld="1" item="3"/>
          <tpl fld="2" item="10"/>
          <tpl hier="10" item="2"/>
          <tpl hier="11" item="0"/>
          <tpl fld="0" item="0"/>
        </tpls>
      </n>
      <n v="-2997.5" in="0">
        <tpls c="5">
          <tpl fld="1" item="10"/>
          <tpl fld="2" item="3"/>
          <tpl hier="10" item="2"/>
          <tpl hier="11" item="0"/>
          <tpl fld="0" item="0"/>
        </tpls>
      </n>
      <m in="0">
        <tpls c="5">
          <tpl fld="1" item="11"/>
          <tpl fld="2" item="7"/>
          <tpl hier="10" item="2"/>
          <tpl hier="11" item="0"/>
          <tpl fld="0" item="0"/>
        </tpls>
      </m>
      <n v="-4339" in="0">
        <tpls c="5">
          <tpl fld="1" item="3"/>
          <tpl fld="2" item="6"/>
          <tpl hier="10" item="2"/>
          <tpl hier="11" item="0"/>
          <tpl fld="0" item="1"/>
        </tpls>
      </n>
      <m in="0">
        <tpls c="5">
          <tpl fld="1" item="4"/>
          <tpl fld="2" item="9"/>
          <tpl hier="10" item="2"/>
          <tpl hier="11" item="0"/>
          <tpl fld="0" item="1"/>
        </tpls>
      </m>
      <n v="-260" in="0">
        <tpls c="5">
          <tpl fld="1" item="10"/>
          <tpl fld="2" item="11"/>
          <tpl hier="10" item="2"/>
          <tpl hier="11" item="0"/>
          <tpl fld="0" item="1"/>
        </tpls>
      </n>
      <n v="-3496.25" in="0">
        <tpls c="5">
          <tpl fld="1" item="7"/>
          <tpl fld="2" item="13"/>
          <tpl hier="10" item="2"/>
          <tpl hier="11" item="0"/>
          <tpl fld="0" item="0"/>
        </tpls>
      </n>
      <n v="-1000" in="0">
        <tpls c="5">
          <tpl fld="1" item="11"/>
          <tpl fld="2" item="5"/>
          <tpl hier="10" item="2"/>
          <tpl hier="11" item="0"/>
          <tpl fld="0" item="1"/>
        </tpls>
      </n>
      <m in="0">
        <tpls c="5">
          <tpl fld="1" item="5"/>
          <tpl fld="2" item="14"/>
          <tpl hier="10" item="2"/>
          <tpl hier="11" item="0"/>
          <tpl fld="0" item="0"/>
        </tpls>
      </m>
      <n v="-53210" in="0">
        <tpls c="4">
          <tpl fld="2" item="13"/>
          <tpl hier="10" item="2"/>
          <tpl hier="11" item="0"/>
          <tpl fld="0" item="1"/>
        </tpls>
      </n>
      <n v="-271850.5" in="0">
        <tpls c="5">
          <tpl fld="1" item="7"/>
          <tpl hier="9" item="4294967295"/>
          <tpl hier="10" item="2"/>
          <tpl hier="11" item="0"/>
          <tpl fld="0" item="0"/>
        </tpls>
      </n>
      <n v="-4203" in="0">
        <tpls c="5">
          <tpl fld="1" item="11"/>
          <tpl fld="2" item="15"/>
          <tpl hier="10" item="2"/>
          <tpl hier="11" item="0"/>
          <tpl fld="0" item="1"/>
        </tpls>
      </n>
      <m in="0">
        <tpls c="5">
          <tpl fld="1" item="0"/>
          <tpl fld="2" item="8"/>
          <tpl hier="10" item="2"/>
          <tpl hier="11" item="0"/>
          <tpl fld="0" item="0"/>
        </tpls>
      </m>
      <n v="-1130" in="0">
        <tpls c="5">
          <tpl fld="1" item="6"/>
          <tpl fld="2" item="1"/>
          <tpl hier="10" item="2"/>
          <tpl hier="11" item="0"/>
          <tpl fld="0" item="1"/>
        </tpls>
      </n>
      <m in="0">
        <tpls c="5">
          <tpl fld="1" item="3"/>
          <tpl fld="2" item="7"/>
          <tpl hier="10" item="2"/>
          <tpl hier="11" item="0"/>
          <tpl fld="0" item="0"/>
        </tpls>
      </m>
      <m in="0">
        <tpls c="5">
          <tpl fld="1" item="6"/>
          <tpl fld="2" item="9"/>
          <tpl hier="10" item="2"/>
          <tpl hier="11" item="0"/>
          <tpl fld="0" item="1"/>
        </tpls>
      </m>
      <n v="-2881" in="0">
        <tpls c="5">
          <tpl fld="1" item="3"/>
          <tpl fld="2" item="3"/>
          <tpl hier="10" item="2"/>
          <tpl hier="11" item="0"/>
          <tpl fld="0" item="1"/>
        </tpls>
      </n>
      <n v="-479.5" in="0">
        <tpls c="5">
          <tpl fld="1" item="9"/>
          <tpl fld="2" item="11"/>
          <tpl hier="10" item="2"/>
          <tpl hier="11" item="0"/>
          <tpl fld="0" item="0"/>
        </tpls>
      </n>
      <n v="-2922" in="0">
        <tpls c="5">
          <tpl fld="1" item="10"/>
          <tpl fld="2" item="6"/>
          <tpl hier="10" item="2"/>
          <tpl hier="11" item="0"/>
          <tpl fld="0" item="1"/>
        </tpls>
      </n>
      <n v="-199894" in="0">
        <tpls c="5">
          <tpl fld="1" item="3"/>
          <tpl fld="2" item="0"/>
          <tpl hier="10" item="2"/>
          <tpl hier="11" item="0"/>
          <tpl fld="0" item="1"/>
        </tpls>
      </n>
      <n v="-13390" in="0">
        <tpls c="5">
          <tpl fld="1" item="2"/>
          <tpl fld="2" item="6"/>
          <tpl hier="10" item="2"/>
          <tpl hier="11" item="0"/>
          <tpl fld="0" item="0"/>
        </tpls>
      </n>
      <n v="-723" in="0">
        <tpls c="5">
          <tpl fld="1" item="4"/>
          <tpl fld="2" item="5"/>
          <tpl hier="10" item="2"/>
          <tpl hier="11" item="0"/>
          <tpl fld="0" item="1"/>
        </tpls>
      </n>
      <n v="-621.25" in="0">
        <tpls c="5">
          <tpl fld="1" item="8"/>
          <tpl fld="2" item="11"/>
          <tpl hier="10" item="2"/>
          <tpl hier="11" item="0"/>
          <tpl fld="0" item="0"/>
        </tpls>
      </n>
      <n v="-5075.75" in="0">
        <tpls c="5">
          <tpl fld="1" item="3"/>
          <tpl fld="2" item="13"/>
          <tpl hier="10" item="2"/>
          <tpl hier="11" item="0"/>
          <tpl fld="0" item="0"/>
        </tpls>
      </n>
      <n v="-4024" in="0">
        <tpls c="5">
          <tpl fld="1" item="11"/>
          <tpl fld="2" item="2"/>
          <tpl hier="10" item="2"/>
          <tpl hier="11" item="0"/>
          <tpl fld="0" item="1"/>
        </tpls>
      </n>
      <m in="0">
        <tpls c="5">
          <tpl fld="1" item="5"/>
          <tpl fld="2" item="14"/>
          <tpl hier="10" item="2"/>
          <tpl hier="11" item="0"/>
          <tpl fld="0" item="1"/>
        </tpls>
      </m>
      <n v="-60596" in="0">
        <tpls c="4">
          <tpl fld="2" item="12"/>
          <tpl hier="10" item="2"/>
          <tpl hier="11" item="0"/>
          <tpl fld="0" item="1"/>
        </tpls>
      </n>
      <n v="-252609" in="0">
        <tpls c="5">
          <tpl fld="1" item="7"/>
          <tpl hier="9" item="4294967295"/>
          <tpl hier="10" item="2"/>
          <tpl hier="11" item="0"/>
          <tpl fld="0" item="1"/>
        </tpls>
      </n>
      <n v="-74317.25" in="0">
        <tpls c="4">
          <tpl fld="2" item="15"/>
          <tpl hier="10" item="2"/>
          <tpl hier="11" item="0"/>
          <tpl fld="0" item="0"/>
        </tpls>
      </n>
      <m in="0">
        <tpls c="5">
          <tpl fld="1" item="0"/>
          <tpl fld="2" item="9"/>
          <tpl hier="10" item="2"/>
          <tpl hier="11" item="0"/>
          <tpl fld="0" item="1"/>
        </tpls>
      </m>
      <m in="0">
        <tpls c="5">
          <tpl fld="1" item="6"/>
          <tpl fld="2" item="4"/>
          <tpl hier="10" item="2"/>
          <tpl hier="11" item="0"/>
          <tpl fld="0" item="1"/>
        </tpls>
      </m>
      <n v="-1140" in="0">
        <tpls c="5">
          <tpl fld="1" item="2"/>
          <tpl fld="2" item="1"/>
          <tpl hier="10" item="2"/>
          <tpl hier="11" item="0"/>
          <tpl fld="0" item="1"/>
        </tpls>
      </n>
      <n v="-2019" in="0">
        <tpls c="5">
          <tpl fld="1" item="2"/>
          <tpl fld="2" item="2"/>
          <tpl hier="10" item="2"/>
          <tpl hier="11" item="0"/>
          <tpl fld="0" item="1"/>
        </tpls>
      </n>
      <m in="0">
        <tpls c="5">
          <tpl fld="1" item="3"/>
          <tpl fld="2" item="8"/>
          <tpl hier="10" item="2"/>
          <tpl hier="11" item="0"/>
          <tpl fld="0" item="1"/>
        </tpls>
      </m>
      <m in="0">
        <tpls c="5">
          <tpl fld="1" item="3"/>
          <tpl fld="2" item="9"/>
          <tpl hier="10" item="2"/>
          <tpl hier="11" item="0"/>
          <tpl fld="0" item="1"/>
        </tpls>
      </m>
      <n v="-463.75" in="0">
        <tpls c="5">
          <tpl fld="1" item="5"/>
          <tpl fld="2" item="11"/>
          <tpl hier="10" item="2"/>
          <tpl hier="11" item="0"/>
          <tpl fld="0" item="0"/>
        </tpls>
      </n>
      <n v="-18479.5" in="0">
        <tpls c="5">
          <tpl fld="1" item="9"/>
          <tpl fld="2" item="6"/>
          <tpl hier="10" item="2"/>
          <tpl hier="11" item="0"/>
          <tpl fld="0" item="0"/>
        </tpls>
      </n>
      <m in="0">
        <tpls c="5">
          <tpl fld="1" item="4"/>
          <tpl fld="2" item="7"/>
          <tpl hier="10" item="2"/>
          <tpl hier="11" item="0"/>
          <tpl fld="0" item="0"/>
        </tpls>
      </m>
      <n v="-203347" in="0">
        <tpls c="5">
          <tpl fld="1" item="4"/>
          <tpl fld="2" item="0"/>
          <tpl hier="10" item="2"/>
          <tpl hier="11" item="0"/>
          <tpl fld="0" item="1"/>
        </tpls>
      </n>
      <n v="-460" in="0">
        <tpls c="5">
          <tpl fld="1" item="7"/>
          <tpl fld="2" item="11"/>
          <tpl hier="10" item="2"/>
          <tpl hier="11" item="0"/>
          <tpl fld="0" item="0"/>
        </tpls>
      </n>
      <n v="-2688" in="0">
        <tpls c="5">
          <tpl fld="1" item="3"/>
          <tpl fld="2" item="13"/>
          <tpl hier="10" item="2"/>
          <tpl hier="11" item="0"/>
          <tpl fld="0" item="1"/>
        </tpls>
      </n>
      <n v="-261283" in="0">
        <tpls c="5">
          <tpl fld="1" item="11"/>
          <tpl fld="2" item="0"/>
          <tpl hier="10" item="2"/>
          <tpl hier="11" item="0"/>
          <tpl fld="0" item="1"/>
        </tpls>
      </n>
      <m in="0">
        <tpls c="5">
          <tpl fld="1" item="11"/>
          <tpl fld="2" item="14"/>
          <tpl hier="10" item="2"/>
          <tpl hier="11" item="0"/>
          <tpl fld="0" item="0"/>
        </tpls>
      </m>
      <n v="-3487845" in="0">
        <tpls c="4">
          <tpl fld="2" item="0"/>
          <tpl hier="10" item="2"/>
          <tpl hier="11" item="0"/>
          <tpl fld="0" item="1"/>
        </tpls>
      </n>
      <n v="-333139.5" in="0">
        <tpls c="5">
          <tpl fld="1" item="6"/>
          <tpl hier="9" item="4294967295"/>
          <tpl hier="10" item="2"/>
          <tpl hier="11" item="0"/>
          <tpl fld="0" item="0"/>
        </tpls>
      </n>
      <n v="-39826" in="0">
        <tpls c="4">
          <tpl fld="2" item="15"/>
          <tpl hier="10" item="2"/>
          <tpl hier="11" item="0"/>
          <tpl fld="0" item="1"/>
        </tpls>
      </n>
      <m in="0">
        <tpls c="5">
          <tpl fld="1" item="0"/>
          <tpl fld="2" item="9"/>
          <tpl hier="10" item="2"/>
          <tpl hier="11" item="0"/>
          <tpl fld="0" item="0"/>
        </tpls>
      </m>
      <m in="0">
        <tpls c="4">
          <tpl fld="2" item="4"/>
          <tpl hier="10" item="2"/>
          <tpl hier="11" item="0"/>
          <tpl fld="0" item="1"/>
        </tpls>
      </m>
      <n v="-6094.5" in="0">
        <tpls c="5">
          <tpl fld="1" item="8"/>
          <tpl fld="2" item="15"/>
          <tpl hier="10" item="2"/>
          <tpl hier="11" item="0"/>
          <tpl fld="0" item="0"/>
        </tpls>
      </n>
      <m in="0">
        <tpls c="5">
          <tpl fld="1" item="3"/>
          <tpl fld="2" item="8"/>
          <tpl hier="10" item="2"/>
          <tpl hier="11" item="0"/>
          <tpl fld="0" item="0"/>
        </tpls>
      </m>
      <n v="-463" in="0">
        <tpls c="5">
          <tpl fld="1" item="3"/>
          <tpl fld="2" item="11"/>
          <tpl hier="10" item="2"/>
          <tpl hier="11" item="0"/>
          <tpl fld="0" item="0"/>
        </tpls>
      </n>
      <m in="0">
        <tpls c="5">
          <tpl fld="1" item="11"/>
          <tpl fld="2" item="14"/>
          <tpl hier="10" item="2"/>
          <tpl hier="11" item="0"/>
          <tpl fld="0" item="1"/>
        </tpls>
      </m>
      <n v="-4719" in="0">
        <tpls c="5">
          <tpl fld="1" item="8"/>
          <tpl fld="2" item="15"/>
          <tpl hier="10" item="2"/>
          <tpl hier="11" item="0"/>
          <tpl fld="0" item="1"/>
        </tpls>
      </n>
      <n v="-1140" in="0">
        <tpls c="5">
          <tpl fld="1" item="3"/>
          <tpl fld="2" item="1"/>
          <tpl hier="10" item="2"/>
          <tpl hier="11" item="0"/>
          <tpl fld="0" item="1"/>
        </tpls>
      </n>
      <n v="-1120" in="0">
        <tpls c="5">
          <tpl fld="1" item="9"/>
          <tpl fld="2" item="1"/>
          <tpl hier="10" item="2"/>
          <tpl hier="11" item="0"/>
          <tpl fld="0" item="1"/>
        </tpls>
      </n>
      <n v="-3601" in="0">
        <tpls c="5">
          <tpl fld="1" item="9"/>
          <tpl fld="2" item="12"/>
          <tpl hier="10" item="2"/>
          <tpl hier="11" item="0"/>
          <tpl fld="0" item="1"/>
        </tpls>
      </n>
      <m in="0">
        <tpls c="5">
          <tpl fld="1" item="10"/>
          <tpl fld="2" item="14"/>
          <tpl hier="10" item="2"/>
          <tpl hier="11" item="0"/>
          <tpl fld="0" item="0"/>
        </tpls>
      </m>
      <n v="-5229.25" in="0">
        <tpls c="5">
          <tpl fld="1" item="0"/>
          <tpl fld="2" item="12"/>
          <tpl hier="10" item="2"/>
          <tpl hier="11" item="0"/>
          <tpl fld="0" item="0"/>
        </tpls>
      </n>
      <n v="-726" in="0">
        <tpls c="5">
          <tpl fld="1" item="7"/>
          <tpl fld="2" item="5"/>
          <tpl hier="10" item="2"/>
          <tpl hier="11" item="0"/>
          <tpl fld="0" item="1"/>
        </tpls>
      </n>
      <n v="-4805" in="0">
        <tpls c="5">
          <tpl fld="1" item="11"/>
          <tpl fld="2" item="1"/>
          <tpl hier="10" item="2"/>
          <tpl hier="11" item="0"/>
          <tpl fld="0" item="0"/>
        </tpls>
      </n>
      <n v="-4495.5" in="0">
        <tpls c="5">
          <tpl fld="1" item="2"/>
          <tpl fld="2" item="12"/>
          <tpl hier="10" item="2"/>
          <tpl hier="11" item="0"/>
          <tpl fld="0" item="0"/>
        </tpls>
      </n>
      <m in="0">
        <tpls c="5">
          <tpl fld="1" item="8"/>
          <tpl fld="2" item="14"/>
          <tpl hier="10" item="2"/>
          <tpl hier="11" item="0"/>
          <tpl fld="0" item="0"/>
        </tpls>
      </m>
      <n v="-2017" in="0">
        <tpls c="5">
          <tpl fld="1" item="7"/>
          <tpl fld="2" item="15"/>
          <tpl hier="10" item="2"/>
          <tpl hier="11" item="0"/>
          <tpl fld="0" item="1"/>
        </tpls>
      </n>
      <m in="0">
        <tpls c="5">
          <tpl fld="1" item="2"/>
          <tpl fld="2" item="8"/>
          <tpl hier="10" item="2"/>
          <tpl hier="11" item="0"/>
          <tpl fld="0" item="0"/>
        </tpls>
      </m>
      <n v="-275825.5" in="0">
        <tpls c="5">
          <tpl fld="1" item="3"/>
          <tpl fld="2" item="0"/>
          <tpl hier="10" item="2"/>
          <tpl hier="11" item="0"/>
          <tpl fld="0" item="0"/>
        </tpls>
      </n>
      <m in="0">
        <tpls c="5">
          <tpl fld="1" item="8"/>
          <tpl fld="2" item="8"/>
          <tpl hier="10" item="2"/>
          <tpl hier="11" item="0"/>
          <tpl fld="0" item="1"/>
        </tpls>
      </m>
      <n v="-11182" in="0">
        <tpls c="5">
          <tpl fld="1" item="5"/>
          <tpl fld="2" item="12"/>
          <tpl hier="10" item="2"/>
          <tpl hier="11" item="0"/>
          <tpl fld="0" item="1"/>
        </tpls>
      </n>
      <m in="0">
        <tpls c="5">
          <tpl fld="1" item="8"/>
          <tpl fld="2" item="14"/>
          <tpl hier="10" item="2"/>
          <tpl hier="11" item="0"/>
          <tpl fld="0" item="1"/>
        </tpls>
      </m>
      <n v="-6337" in="0">
        <tpls c="5">
          <tpl fld="1" item="6"/>
          <tpl fld="2" item="15"/>
          <tpl hier="10" item="2"/>
          <tpl hier="11" item="0"/>
          <tpl fld="0" item="0"/>
        </tpls>
      </n>
      <n v="-18921.75" in="0">
        <tpls c="5">
          <tpl fld="1" item="10"/>
          <tpl fld="2" item="6"/>
          <tpl hier="10" item="2"/>
          <tpl hier="11" item="0"/>
          <tpl fld="0" item="0"/>
        </tpls>
      </n>
      <m in="0">
        <tpls c="5">
          <tpl fld="1" item="11"/>
          <tpl fld="2" item="4"/>
          <tpl hier="10" item="2"/>
          <tpl hier="11" item="0"/>
          <tpl fld="0" item="0"/>
        </tpls>
      </m>
      <n v="-155519" in="0">
        <tpls c="5">
          <tpl fld="1" item="0"/>
          <tpl fld="2" item="0"/>
          <tpl hier="10" item="2"/>
          <tpl hier="11" item="0"/>
          <tpl fld="0" item="1"/>
        </tpls>
      </n>
      <m in="0">
        <tpls c="5">
          <tpl fld="1" item="1"/>
          <tpl fld="2" item="2"/>
          <tpl hier="10" item="2"/>
          <tpl hier="11" item="0"/>
          <tpl fld="0" item="1"/>
        </tpls>
      </m>
      <n v="-6610" in="0">
        <tpls c="5">
          <tpl fld="1" item="11"/>
          <tpl fld="2" item="10"/>
          <tpl hier="10" item="2"/>
          <tpl hier="11" item="0"/>
          <tpl fld="0" item="1"/>
        </tpls>
      </n>
      <n v="-309402" in="0">
        <tpls c="5">
          <tpl fld="1" item="11"/>
          <tpl hier="9" item="4294967295"/>
          <tpl hier="10" item="2"/>
          <tpl hier="11" item="0"/>
          <tpl fld="0" item="1"/>
        </tpls>
      </n>
      <n v="-2356.25" in="0">
        <tpls c="5">
          <tpl fld="1" item="8"/>
          <tpl fld="2" item="3"/>
          <tpl hier="10" item="2"/>
          <tpl hier="11" item="0"/>
          <tpl fld="0" item="0"/>
        </tpls>
      </n>
      <m in="0">
        <tpls c="5">
          <tpl fld="1" item="10"/>
          <tpl fld="2" item="7"/>
          <tpl hier="10" item="2"/>
          <tpl hier="11" item="0"/>
          <tpl fld="0" item="1"/>
        </tpls>
      </m>
      <n v="-10737.5" in="0">
        <tpls c="5">
          <tpl fld="1" item="10"/>
          <tpl fld="2" item="10"/>
          <tpl hier="10" item="2"/>
          <tpl hier="11" item="0"/>
          <tpl fld="0" item="0"/>
        </tpls>
      </n>
      <n v="-268894" in="0">
        <tpls c="5">
          <tpl fld="1" item="11"/>
          <tpl fld="2" item="0"/>
          <tpl hier="10" item="2"/>
          <tpl hier="11" item="0"/>
          <tpl fld="0" item="0"/>
        </tpls>
      </n>
      <m in="0">
        <tpls c="5">
          <tpl fld="1" item="3"/>
          <tpl fld="2" item="4"/>
          <tpl hier="10" item="2"/>
          <tpl hier="11" item="0"/>
          <tpl fld="0" item="1"/>
        </tpls>
      </m>
      <n v="-2817" in="0">
        <tpls c="5">
          <tpl fld="1" item="10"/>
          <tpl fld="2" item="13"/>
          <tpl hier="10" item="2"/>
          <tpl hier="11" item="0"/>
          <tpl fld="0" item="1"/>
        </tpls>
      </n>
      <n v="-2596" in="0">
        <tpls c="5">
          <tpl fld="1" item="5"/>
          <tpl fld="2" item="3"/>
          <tpl hier="10" item="2"/>
          <tpl hier="11" item="0"/>
          <tpl fld="0" item="1"/>
        </tpls>
      </n>
      <n v="-6570.5" in="0">
        <tpls c="5">
          <tpl fld="1" item="8"/>
          <tpl fld="2" item="13"/>
          <tpl hier="10" item="2"/>
          <tpl hier="11" item="0"/>
          <tpl fld="0" item="0"/>
        </tpls>
      </n>
      <n v="-1700" in="0">
        <tpls c="5">
          <tpl fld="1" item="0"/>
          <tpl fld="2" item="2"/>
          <tpl hier="10" item="2"/>
          <tpl hier="11" item="0"/>
          <tpl fld="0" item="1"/>
        </tpls>
      </n>
      <n v="-2289.25" in="0">
        <tpls c="5">
          <tpl fld="1" item="6"/>
          <tpl fld="2" item="2"/>
          <tpl hier="10" item="2"/>
          <tpl hier="11" item="0"/>
          <tpl fld="0" item="0"/>
        </tpls>
      </n>
      <n v="-18700" in="0">
        <tpls c="5">
          <tpl fld="1" item="8"/>
          <tpl fld="2" item="10"/>
          <tpl hier="10" item="2"/>
          <tpl hier="11" item="0"/>
          <tpl fld="0" item="1"/>
        </tpls>
      </n>
      <n v="-2312" in="0">
        <tpls c="5">
          <tpl fld="1" item="0"/>
          <tpl fld="2" item="2"/>
          <tpl hier="10" item="2"/>
          <tpl hier="11" item="0"/>
          <tpl fld="0" item="0"/>
        </tpls>
      </n>
      <n v="-3725.5" in="0">
        <tpls c="5">
          <tpl fld="1" item="6"/>
          <tpl fld="2" item="13"/>
          <tpl hier="10" item="2"/>
          <tpl hier="11" item="0"/>
          <tpl fld="0" item="0"/>
        </tpls>
      </n>
      <m in="0">
        <tpls c="5">
          <tpl fld="1" item="10"/>
          <tpl fld="2" item="9"/>
          <tpl hier="10" item="2"/>
          <tpl hier="11" item="0"/>
          <tpl fld="0" item="0"/>
        </tpls>
      </m>
      <n v="-1120" in="0">
        <tpls c="5">
          <tpl fld="1" item="10"/>
          <tpl fld="2" item="1"/>
          <tpl hier="10" item="2"/>
          <tpl hier="11" item="0"/>
          <tpl fld="0" item="1"/>
        </tpls>
      </n>
      <m in="0">
        <tpls c="5">
          <tpl fld="1" item="8"/>
          <tpl fld="2" item="7"/>
          <tpl hier="10" item="2"/>
          <tpl hier="11" item="0"/>
          <tpl fld="0" item="1"/>
        </tpls>
      </m>
      <n v="-21073.25" in="0">
        <tpls c="5">
          <tpl fld="1" item="5"/>
          <tpl fld="2" item="6"/>
          <tpl hier="10" item="2"/>
          <tpl hier="11" item="0"/>
          <tpl fld="0" item="0"/>
        </tpls>
      </n>
      <m in="0">
        <tpls c="5">
          <tpl fld="1" item="4"/>
          <tpl fld="2" item="8"/>
          <tpl hier="10" item="2"/>
          <tpl hier="11" item="0"/>
          <tpl fld="0" item="0"/>
        </tpls>
      </m>
      <n v="-1219.5" in="0">
        <tpls c="5">
          <tpl fld="1" item="9"/>
          <tpl fld="2" item="5"/>
          <tpl hier="10" item="2"/>
          <tpl hier="11" item="0"/>
          <tpl fld="0" item="0"/>
        </tpls>
      </n>
      <n v="-327947" in="0">
        <tpls c="5">
          <tpl fld="1" item="10"/>
          <tpl hier="9" item="4294967295"/>
          <tpl hier="10" item="2"/>
          <tpl hier="11" item="0"/>
          <tpl fld="0" item="1"/>
        </tpls>
      </n>
      <n v="-5395.5" in="0">
        <tpls c="5">
          <tpl fld="1" item="9"/>
          <tpl fld="2" item="12"/>
          <tpl hier="10" item="2"/>
          <tpl hier="11" item="0"/>
          <tpl fld="0" item="0"/>
        </tpls>
      </n>
      <n v="-1869.75" in="0">
        <tpls c="5">
          <tpl fld="1" item="5"/>
          <tpl fld="2" item="2"/>
          <tpl hier="10" item="2"/>
          <tpl hier="11" item="0"/>
          <tpl fld="0" item="0"/>
        </tpls>
      </n>
      <m in="0">
        <tpls c="5">
          <tpl fld="1" item="7"/>
          <tpl fld="2" item="4"/>
          <tpl hier="10" item="2"/>
          <tpl hier="11" item="0"/>
          <tpl fld="0" item="0"/>
        </tpls>
      </m>
      <n v="-14567.5" in="0">
        <tpls c="5">
          <tpl fld="1" item="3"/>
          <tpl fld="2" item="6"/>
          <tpl hier="10" item="2"/>
          <tpl hier="11" item="0"/>
          <tpl fld="0" item="0"/>
        </tpls>
      </n>
      <n v="-3919" in="0">
        <tpls c="5">
          <tpl fld="1" item="4"/>
          <tpl fld="2" item="13"/>
          <tpl hier="10" item="2"/>
          <tpl hier="11" item="0"/>
          <tpl fld="0" item="1"/>
        </tpls>
      </n>
      <n v="-2749" in="0">
        <tpls c="5">
          <tpl fld="1" item="9"/>
          <tpl fld="2" item="15"/>
          <tpl hier="10" item="2"/>
          <tpl hier="11" item="0"/>
          <tpl fld="0" item="1"/>
        </tpls>
      </n>
      <n v="-2253.25" in="0">
        <tpls c="5">
          <tpl fld="1" item="1"/>
          <tpl fld="2" item="3"/>
          <tpl hier="10" item="2"/>
          <tpl hier="11" item="0"/>
          <tpl fld="0" item="0"/>
        </tpls>
      </n>
      <m in="0">
        <tpls c="5">
          <tpl fld="1" item="7"/>
          <tpl fld="2" item="8"/>
          <tpl hier="10" item="2"/>
          <tpl hier="11" item="0"/>
          <tpl fld="0" item="0"/>
        </tpls>
      </m>
      <n v="-14368.5" in="0">
        <tpls c="4">
          <tpl fld="2" item="5"/>
          <tpl hier="10" item="2"/>
          <tpl hier="11" item="0"/>
          <tpl fld="0" item="0"/>
        </tpls>
      </n>
      <n v="-14566" in="0">
        <tpls c="5">
          <tpl fld="1" item="1"/>
          <tpl fld="2" item="10"/>
          <tpl hier="10" item="2"/>
          <tpl hier="11" item="0"/>
          <tpl fld="0" item="0"/>
        </tpls>
      </n>
      <n v="-279003" in="0">
        <tpls c="5">
          <tpl fld="1" item="10"/>
          <tpl fld="2" item="0"/>
          <tpl hier="10" item="2"/>
          <tpl hier="11" item="0"/>
          <tpl fld="0" item="1"/>
        </tpls>
      </n>
      <n v="-2651" in="0">
        <tpls c="5">
          <tpl fld="1" item="3"/>
          <tpl fld="2" item="12"/>
          <tpl hier="10" item="2"/>
          <tpl hier="11" item="0"/>
          <tpl fld="0" item="1"/>
        </tpls>
      </n>
      <m in="0">
        <tpls c="4">
          <tpl fld="2" item="9"/>
          <tpl hier="10" item="2"/>
          <tpl hier="11" item="0"/>
          <tpl fld="0" item="0"/>
        </tpls>
      </m>
      <n v="-5992.75" in="0">
        <tpls c="5">
          <tpl fld="1" item="2"/>
          <tpl fld="2" item="1"/>
          <tpl hier="10" item="2"/>
          <tpl hier="11" item="0"/>
          <tpl fld="0" item="0"/>
        </tpls>
      </n>
      <m in="0">
        <tpls c="4">
          <tpl fld="2" item="14"/>
          <tpl hier="10" item="2"/>
          <tpl hier="11" item="0"/>
          <tpl fld="0" item="0"/>
        </tpls>
      </m>
      <n v="-10692" in="0">
        <tpls c="5">
          <tpl fld="1" item="2"/>
          <tpl fld="2" item="10"/>
          <tpl hier="10" item="2"/>
          <tpl hier="11" item="0"/>
          <tpl fld="0" item="1"/>
        </tpls>
      </n>
      <m in="0">
        <tpls c="5">
          <tpl fld="1" item="6"/>
          <tpl fld="2" item="8"/>
          <tpl hier="10" item="2"/>
          <tpl hier="11" item="0"/>
          <tpl fld="0" item="1"/>
        </tpls>
      </m>
      <n v="-51858.75" in="0">
        <tpls c="4">
          <tpl fld="2" item="1"/>
          <tpl hier="10" item="2"/>
          <tpl hier="11" item="0"/>
          <tpl fld="0" item="0"/>
        </tpls>
      </n>
      <n v="-4556" in="0">
        <tpls c="5">
          <tpl fld="1" item="8"/>
          <tpl fld="2" item="6"/>
          <tpl hier="10" item="2"/>
          <tpl hier="11" item="0"/>
          <tpl fld="0" item="1"/>
        </tpls>
      </n>
      <m in="0">
        <tpls c="4">
          <tpl fld="2" item="8"/>
          <tpl hier="10" item="2"/>
          <tpl hier="11" item="0"/>
          <tpl fld="0" item="0"/>
        </tpls>
      </m>
      <n v="-374619" in="0">
        <tpls c="5">
          <tpl fld="1" item="1"/>
          <tpl hier="9" item="4294967295"/>
          <tpl hier="10" item="2"/>
          <tpl hier="11" item="0"/>
          <tpl fld="0" item="1"/>
        </tpls>
      </n>
      <m in="0">
        <tpls c="5">
          <tpl fld="1" item="8"/>
          <tpl fld="2" item="4"/>
          <tpl hier="10" item="2"/>
          <tpl hier="11" item="0"/>
          <tpl fld="0" item="0"/>
        </tpls>
      </m>
      <m in="0">
        <tpls c="5">
          <tpl fld="1" item="4"/>
          <tpl fld="2" item="8"/>
          <tpl hier="10" item="2"/>
          <tpl hier="11" item="0"/>
          <tpl fld="0" item="1"/>
        </tpls>
      </m>
      <n v="-10140.5" in="0">
        <tpls c="5">
          <tpl fld="1" item="7"/>
          <tpl fld="2" item="10"/>
          <tpl hier="10" item="2"/>
          <tpl hier="11" item="0"/>
          <tpl fld="0" item="0"/>
        </tpls>
      </n>
      <n v="-7386.5" in="0">
        <tpls c="5">
          <tpl fld="1" item="1"/>
          <tpl fld="2" item="15"/>
          <tpl hier="10" item="2"/>
          <tpl hier="11" item="0"/>
          <tpl fld="0" item="0"/>
        </tpls>
      </n>
      <n v="-1217.5" in="0">
        <tpls c="5">
          <tpl fld="1" item="2"/>
          <tpl fld="2" item="5"/>
          <tpl hier="10" item="2"/>
          <tpl hier="11" item="0"/>
          <tpl fld="0" item="0"/>
        </tpls>
      </n>
      <n v="-288106.5" in="0">
        <tpls c="5">
          <tpl fld="1" item="10"/>
          <tpl hier="9" item="4294967295"/>
          <tpl hier="10" item="2"/>
          <tpl hier="11" item="0"/>
          <tpl fld="0" item="0"/>
        </tpls>
      </n>
      <n v="-1322" in="0">
        <tpls c="5">
          <tpl fld="1" item="2"/>
          <tpl fld="2" item="5"/>
          <tpl hier="10" item="2"/>
          <tpl hier="11" item="0"/>
          <tpl fld="0" item="1"/>
        </tpls>
      </n>
      <n v="-3603" in="0">
        <tpls c="5">
          <tpl fld="1" item="8"/>
          <tpl fld="2" item="13"/>
          <tpl hier="10" item="2"/>
          <tpl hier="11" item="0"/>
          <tpl fld="0" item="1"/>
        </tpls>
      </n>
      <n v="-4206" in="0">
        <tpls c="5">
          <tpl fld="1" item="6"/>
          <tpl fld="2" item="15"/>
          <tpl hier="10" item="2"/>
          <tpl hier="11" item="0"/>
          <tpl fld="0" item="1"/>
        </tpls>
      </n>
      <n v="-2240" in="0">
        <tpls c="5">
          <tpl fld="1" item="7"/>
          <tpl fld="2" item="3"/>
          <tpl hier="10" item="2"/>
          <tpl hier="11" item="0"/>
          <tpl fld="0" item="1"/>
        </tpls>
      </n>
      <m in="0">
        <tpls c="5">
          <tpl fld="1" item="9"/>
          <tpl fld="2" item="14"/>
          <tpl hier="10" item="2"/>
          <tpl hier="11" item="0"/>
          <tpl fld="0" item="1"/>
        </tpls>
      </m>
      <n v="-2932.5" in="0">
        <tpls c="5">
          <tpl fld="1" item="7"/>
          <tpl fld="2" item="2"/>
          <tpl hier="10" item="2"/>
          <tpl hier="11" item="0"/>
          <tpl fld="0" item="0"/>
        </tpls>
      </n>
      <n v="-26037" in="0">
        <tpls c="4">
          <tpl fld="2" item="2"/>
          <tpl hier="10" item="2"/>
          <tpl hier="11" item="0"/>
          <tpl fld="0" item="1"/>
        </tpls>
      </n>
      <n v="-5556" in="0">
        <tpls c="5">
          <tpl fld="1" item="7"/>
          <tpl fld="2" item="15"/>
          <tpl hier="10" item="2"/>
          <tpl hier="11" item="0"/>
          <tpl fld="0" item="0"/>
        </tpls>
      </n>
      <n v="-184253" in="0">
        <tpls c="5">
          <tpl fld="1" item="0"/>
          <tpl fld="2" item="0"/>
          <tpl hier="10" item="2"/>
          <tpl hier="11" item="0"/>
          <tpl fld="0" item="0"/>
        </tpls>
      </n>
      <m in="0">
        <tpls c="5">
          <tpl fld="1" item="4"/>
          <tpl fld="2" item="7"/>
          <tpl hier="10" item="2"/>
          <tpl hier="11" item="0"/>
          <tpl fld="0" item="1"/>
        </tpls>
      </m>
      <n v="-1140" in="0">
        <tpls c="5">
          <tpl fld="1" item="0"/>
          <tpl fld="2" item="1"/>
          <tpl hier="10" item="2"/>
          <tpl hier="11" item="0"/>
          <tpl fld="0" item="1"/>
        </tpls>
      </n>
      <n v="-18649" in="0">
        <tpls c="5">
          <tpl fld="1" item="9"/>
          <tpl fld="2" item="6"/>
          <tpl hier="10" item="2"/>
          <tpl hier="11" item="0"/>
          <tpl fld="0" item="1"/>
        </tpls>
      </n>
      <n v="-27946" in="0">
        <tpls c="5">
          <tpl fld="1" item="10"/>
          <tpl fld="2" item="10"/>
          <tpl hier="10" item="2"/>
          <tpl hier="11" item="0"/>
          <tpl fld="0" item="1"/>
        </tpls>
      </n>
      <n v="-3682.25" in="0">
        <tpls c="5">
          <tpl fld="1" item="0"/>
          <tpl fld="2" item="1"/>
          <tpl hier="10" item="2"/>
          <tpl hier="11" item="0"/>
          <tpl fld="0" item="0"/>
        </tpls>
      </n>
      <n v="-4108.25" in="0">
        <tpls c="5">
          <tpl fld="1" item="1"/>
          <tpl fld="2" item="1"/>
          <tpl hier="10" item="2"/>
          <tpl hier="11" item="0"/>
          <tpl fld="0" item="0"/>
        </tpls>
      </n>
      <n v="-2589" in="0">
        <tpls c="5">
          <tpl fld="1" item="1"/>
          <tpl fld="2" item="12"/>
          <tpl hier="10" item="2"/>
          <tpl hier="11" item="0"/>
          <tpl fld="0" item="1"/>
        </tpls>
      </n>
      <n v="-221529.25" in="0">
        <tpls c="5">
          <tpl fld="1" item="7"/>
          <tpl fld="2" item="0"/>
          <tpl hier="10" item="2"/>
          <tpl hier="11" item="0"/>
          <tpl fld="0" item="0"/>
        </tpls>
      </n>
      <m in="0">
        <tpls c="5">
          <tpl fld="1" item="9"/>
          <tpl fld="2" item="4"/>
          <tpl hier="10" item="2"/>
          <tpl hier="11" item="0"/>
          <tpl fld="0" item="1"/>
        </tpls>
      </m>
      <n v="-13200" in="0">
        <tpls c="5">
          <tpl fld="1" item="3"/>
          <tpl fld="2" item="10"/>
          <tpl hier="10" item="2"/>
          <tpl hier="11" item="0"/>
          <tpl fld="0" item="1"/>
        </tpls>
      </n>
      <m in="0">
        <tpls c="5">
          <tpl fld="1" item="2"/>
          <tpl fld="2" item="4"/>
          <tpl hier="10" item="2"/>
          <tpl hier="11" item="0"/>
          <tpl fld="0" item="0"/>
        </tpls>
      </m>
      <n v="-259884.5" in="0">
        <tpls c="5">
          <tpl fld="1" item="1"/>
          <tpl hier="9" item="4294967295"/>
          <tpl hier="10" item="2"/>
          <tpl hier="11" item="0"/>
          <tpl fld="0" item="0"/>
        </tpls>
      </n>
      <m in="0">
        <tpls c="5">
          <tpl fld="1" item="11"/>
          <tpl fld="2" item="8"/>
          <tpl hier="10" item="2"/>
          <tpl hier="11" item="0"/>
          <tpl fld="0" item="1"/>
        </tpls>
      </m>
      <n v="-15869" in="0">
        <tpls c="5">
          <tpl fld="1" item="1"/>
          <tpl fld="2" item="6"/>
          <tpl hier="10" item="2"/>
          <tpl hier="11" item="0"/>
          <tpl fld="0" item="1"/>
        </tpls>
      </n>
      <m in="0">
        <tpls c="5">
          <tpl fld="1" item="0"/>
          <tpl fld="2" item="7"/>
          <tpl hier="10" item="2"/>
          <tpl hier="11" item="0"/>
          <tpl fld="0" item="1"/>
        </tpls>
      </m>
      <n v="-1266.75" in="0">
        <tpls c="5">
          <tpl fld="1" item="1"/>
          <tpl fld="2" item="5"/>
          <tpl hier="10" item="2"/>
          <tpl hier="11" item="0"/>
          <tpl fld="0" item="0"/>
        </tpls>
      </n>
      <m in="0">
        <tpls c="5">
          <tpl fld="1" item="0"/>
          <tpl fld="2" item="7"/>
          <tpl hier="10" item="2"/>
          <tpl hier="11" item="0"/>
          <tpl fld="0" item="0"/>
        </tpls>
      </m>
      <n v="-2472" in="0">
        <tpls c="5">
          <tpl fld="1" item="7"/>
          <tpl fld="2" item="2"/>
          <tpl hier="10" item="2"/>
          <tpl hier="11" item="0"/>
          <tpl fld="0" item="1"/>
        </tpls>
      </n>
      <n v="-423123" in="0">
        <tpls c="5">
          <tpl fld="1" item="8"/>
          <tpl hier="9" item="4294967295"/>
          <tpl hier="10" item="2"/>
          <tpl hier="11" item="0"/>
          <tpl fld="0" item="1"/>
        </tpls>
      </n>
      <m in="0">
        <tpls c="5">
          <tpl fld="1" item="1"/>
          <tpl fld="2" item="9"/>
          <tpl hier="10" item="2"/>
          <tpl hier="11" item="0"/>
          <tpl fld="0" item="0"/>
        </tpls>
      </m>
      <m in="0">
        <tpls c="5">
          <tpl fld="1" item="2"/>
          <tpl fld="2" item="7"/>
          <tpl hier="10" item="2"/>
          <tpl hier="11" item="0"/>
          <tpl fld="0" item="1"/>
        </tpls>
      </m>
      <n v="-1904" in="0">
        <tpls c="5">
          <tpl fld="1" item="8"/>
          <tpl fld="2" item="2"/>
          <tpl hier="10" item="2"/>
          <tpl hier="11" item="0"/>
          <tpl fld="0" item="0"/>
        </tpls>
      </n>
      <n v="-1845" in="0">
        <tpls c="5">
          <tpl fld="1" item="6"/>
          <tpl fld="2" item="5"/>
          <tpl hier="10" item="2"/>
          <tpl hier="11" item="0"/>
          <tpl fld="0" item="1"/>
        </tpls>
      </n>
      <m in="0">
        <tpls c="5">
          <tpl fld="1" item="8"/>
          <tpl fld="2" item="7"/>
          <tpl hier="10" item="2"/>
          <tpl hier="11" item="0"/>
          <tpl fld="0" item="0"/>
        </tpls>
      </m>
      <n v="-4049.5" in="0">
        <tpls c="5">
          <tpl fld="1" item="4"/>
          <tpl fld="2" item="12"/>
          <tpl hier="10" item="2"/>
          <tpl hier="11" item="0"/>
          <tpl fld="0" item="0"/>
        </tpls>
      </n>
      <m in="0">
        <tpls c="5">
          <tpl fld="1" item="7"/>
          <tpl fld="2" item="7"/>
          <tpl hier="10" item="2"/>
          <tpl hier="11" item="0"/>
          <tpl fld="0" item="0"/>
        </tpls>
      </m>
      <n v="-1130" in="0">
        <tpls c="5">
          <tpl fld="1" item="4"/>
          <tpl fld="2" item="1"/>
          <tpl hier="10" item="2"/>
          <tpl hier="11" item="0"/>
          <tpl fld="0" item="1"/>
        </tpls>
      </n>
      <n v="-503" in="0">
        <tpls c="5">
          <tpl fld="1" item="6"/>
          <tpl fld="2" item="11"/>
          <tpl hier="10" item="2"/>
          <tpl hier="11" item="0"/>
          <tpl fld="0" item="0"/>
        </tpls>
      </n>
      <n v="-6247.25" in="0">
        <tpls c="5">
          <tpl fld="1" item="2"/>
          <tpl fld="2" item="13"/>
          <tpl hier="10" item="2"/>
          <tpl hier="11" item="0"/>
          <tpl fld="0" item="0"/>
        </tpls>
      </n>
      <n v="-1269" in="0">
        <tpls c="5">
          <tpl fld="1" item="4"/>
          <tpl fld="2" item="5"/>
          <tpl hier="10" item="2"/>
          <tpl hier="11" item="0"/>
          <tpl fld="0" item="0"/>
        </tpls>
      </n>
      <m in="0">
        <tpls c="5">
          <tpl fld="1" item="10"/>
          <tpl fld="2" item="14"/>
          <tpl hier="10" item="2"/>
          <tpl hier="11" item="0"/>
          <tpl fld="0" item="1"/>
        </tpls>
      </m>
      <n v="-150964" in="0">
        <tpls c="4">
          <tpl fld="2" item="6"/>
          <tpl hier="10" item="2"/>
          <tpl hier="11" item="0"/>
          <tpl fld="0" item="1"/>
        </tpls>
      </n>
      <n v="-513831" in="0">
        <tpls c="5">
          <tpl fld="1" item="6"/>
          <tpl hier="9" item="4294967295"/>
          <tpl hier="10" item="2"/>
          <tpl hier="11" item="0"/>
          <tpl fld="0" item="1"/>
        </tpls>
      </n>
      <n v="-4646.5" in="0">
        <tpls c="5">
          <tpl fld="1" item="11"/>
          <tpl fld="2" item="15"/>
          <tpl hier="10" item="2"/>
          <tpl hier="11" item="0"/>
          <tpl fld="0" item="0"/>
        </tpls>
      </n>
      <n v="-27901" in="0">
        <tpls c="5">
          <tpl fld="1" item="0"/>
          <tpl fld="2" item="10"/>
          <tpl hier="10" item="2"/>
          <tpl hier="11" item="0"/>
          <tpl fld="0" item="1"/>
        </tpls>
      </n>
      <n v="-4083.5" in="0">
        <tpls c="5">
          <tpl fld="1" item="7"/>
          <tpl fld="2" item="1"/>
          <tpl hier="10" item="2"/>
          <tpl hier="11" item="0"/>
          <tpl fld="0" item="0"/>
        </tpls>
      </n>
      <n v="-2077" in="0">
        <tpls c="5">
          <tpl fld="1" item="4"/>
          <tpl fld="2" item="3"/>
          <tpl hier="10" item="2"/>
          <tpl hier="11" item="0"/>
          <tpl fld="0" item="1"/>
        </tpls>
      </n>
      <m in="0">
        <tpls c="5">
          <tpl fld="1" item="6"/>
          <tpl fld="2" item="7"/>
          <tpl hier="10" item="2"/>
          <tpl hier="11" item="0"/>
          <tpl fld="0" item="0"/>
        </tpls>
      </m>
      <n v="-5354.75" in="0">
        <tpls c="5">
          <tpl fld="1" item="1"/>
          <tpl fld="2" item="13"/>
          <tpl hier="10" item="2"/>
          <tpl hier="11" item="0"/>
          <tpl fld="0" item="0"/>
        </tpls>
      </n>
      <m in="0">
        <tpls c="5">
          <tpl fld="1" item="4"/>
          <tpl fld="2" item="14"/>
          <tpl hier="10" item="2"/>
          <tpl hier="11" item="0"/>
          <tpl fld="0" item="1"/>
        </tpls>
      </m>
      <n v="-4050364" in="0">
        <tpls c="4">
          <tpl hier="9" item="4294967295"/>
          <tpl hier="10" item="2"/>
          <tpl hier="11" item="0"/>
          <tpl fld="0" item="1"/>
        </tpls>
      </n>
      <n v="-587" in="0">
        <tpls c="5">
          <tpl fld="1" item="0"/>
          <tpl fld="2" item="11"/>
          <tpl hier="10" item="2"/>
          <tpl hier="11" item="0"/>
          <tpl fld="0" item="1"/>
        </tpls>
      </n>
      <m in="0">
        <tpls c="5">
          <tpl fld="1" item="2"/>
          <tpl fld="2" item="7"/>
          <tpl hier="10" item="2"/>
          <tpl hier="11" item="0"/>
          <tpl fld="0" item="0"/>
        </tpls>
      </m>
      <n v="-9194" in="0">
        <tpls c="5">
          <tpl fld="1" item="4"/>
          <tpl fld="2" item="10"/>
          <tpl hier="10" item="2"/>
          <tpl hier="11" item="0"/>
          <tpl fld="0" item="1"/>
        </tpls>
      </n>
      <n v="-8945" in="0">
        <tpls c="5">
          <tpl fld="1" item="11"/>
          <tpl fld="2" item="12"/>
          <tpl hier="10" item="2"/>
          <tpl hier="11" item="0"/>
          <tpl fld="0" item="1"/>
        </tpls>
      </n>
      <m in="0">
        <tpls c="5">
          <tpl fld="1" item="6"/>
          <tpl fld="2" item="7"/>
          <tpl hier="10" item="2"/>
          <tpl hier="11" item="0"/>
          <tpl fld="0" item="1"/>
        </tpls>
      </m>
      <n v="-4908" in="0">
        <tpls c="4">
          <tpl fld="2" item="11"/>
          <tpl hier="10" item="2"/>
          <tpl hier="11" item="0"/>
          <tpl fld="0" item="1"/>
        </tpls>
      </n>
      <n v="-13188.75" in="0">
        <tpls c="5">
          <tpl fld="1" item="4"/>
          <tpl fld="2" item="10"/>
          <tpl hier="10" item="2"/>
          <tpl hier="11" item="0"/>
          <tpl fld="0" item="0"/>
        </tpls>
      </n>
      <n v="-25797" in="0">
        <tpls c="4">
          <tpl fld="2" item="2"/>
          <tpl hier="10" item="2"/>
          <tpl hier="11" item="0"/>
          <tpl fld="0" item="0"/>
        </tpls>
      </n>
      <m in="0">
        <tpls c="5">
          <tpl fld="1" item="7"/>
          <tpl fld="2" item="14"/>
          <tpl hier="10" item="2"/>
          <tpl hier="11" item="0"/>
          <tpl fld="0" item="0"/>
        </tpls>
      </m>
      <m in="0">
        <tpls c="4">
          <tpl fld="2" item="7"/>
          <tpl hier="10" item="2"/>
          <tpl hier="11" item="0"/>
          <tpl fld="0" item="0"/>
        </tpls>
      </m>
      <n v="-3459.5" in="0">
        <tpls c="5">
          <tpl fld="1" item="5"/>
          <tpl fld="2" item="13"/>
          <tpl hier="10" item="2"/>
          <tpl hier="11" item="0"/>
          <tpl fld="0" item="0"/>
        </tpls>
      </n>
      <n v="-13560" in="0">
        <tpls c="4">
          <tpl fld="2" item="1"/>
          <tpl hier="10" item="2"/>
          <tpl hier="11" item="0"/>
          <tpl fld="0" item="1"/>
        </tpls>
      </n>
      <n v="-6515" in="0">
        <tpls c="5">
          <tpl fld="1" item="0"/>
          <tpl fld="2" item="12"/>
          <tpl hier="10" item="2"/>
          <tpl hier="11" item="0"/>
          <tpl fld="0" item="1"/>
        </tpls>
      </n>
      <m in="0">
        <tpls c="5">
          <tpl fld="1" item="2"/>
          <tpl fld="2" item="8"/>
          <tpl hier="10" item="2"/>
          <tpl hier="11" item="0"/>
          <tpl fld="0" item="1"/>
        </tpls>
      </m>
      <n v="-221963" in="0">
        <tpls c="5">
          <tpl fld="1" item="7"/>
          <tpl fld="2" item="0"/>
          <tpl hier="10" item="2"/>
          <tpl hier="11" item="0"/>
          <tpl fld="0" item="1"/>
        </tpls>
      </n>
      <m in="0">
        <tpls c="4">
          <tpl fld="2" item="7"/>
          <tpl hier="10" item="2"/>
          <tpl hier="11" item="0"/>
          <tpl fld="0" item="1"/>
        </tpls>
      </m>
      <n v="-4475" in="0">
        <tpls c="5">
          <tpl fld="1" item="5"/>
          <tpl fld="2" item="13"/>
          <tpl hier="10" item="2"/>
          <tpl hier="11" item="0"/>
          <tpl fld="0" item="1"/>
        </tpls>
      </n>
      <n v="-201374.25" in="0">
        <tpls c="4">
          <tpl fld="2" item="6"/>
          <tpl hier="10" item="2"/>
          <tpl hier="11" item="0"/>
          <tpl fld="0" item="0"/>
        </tpls>
      </n>
      <n v="-612.5" in="0">
        <tpls c="5">
          <tpl fld="1" item="11"/>
          <tpl fld="2" item="11"/>
          <tpl hier="10" item="2"/>
          <tpl hier="11" item="0"/>
          <tpl fld="0" item="0"/>
        </tpls>
      </n>
      <n v="-1765" in="0">
        <tpls c="5">
          <tpl fld="1" item="11"/>
          <tpl fld="2" item="3"/>
          <tpl hier="10" item="2"/>
          <tpl hier="11" item="0"/>
          <tpl fld="0" item="1"/>
        </tpls>
      </n>
      <n v="-153352.75" in="0">
        <tpls c="4">
          <tpl fld="2" item="10"/>
          <tpl hier="10" item="2"/>
          <tpl hier="11" item="0"/>
          <tpl fld="0" item="0"/>
        </tpls>
      </n>
      <m in="0">
        <tpls c="5">
          <tpl fld="1" item="11"/>
          <tpl fld="2" item="9"/>
          <tpl hier="10" item="2"/>
          <tpl hier="11" item="0"/>
          <tpl fld="0" item="0"/>
        </tpls>
      </m>
      <n v="-2877446" in="0">
        <tpls c="4">
          <tpl fld="2" item="0"/>
          <tpl hier="10" item="2"/>
          <tpl hier="11" item="0"/>
          <tpl fld="0" item="0"/>
        </tpls>
      </n>
      <n v="-1130" in="0">
        <tpls c="5">
          <tpl fld="1" item="8"/>
          <tpl fld="2" item="1"/>
          <tpl hier="10" item="2"/>
          <tpl hier="11" item="0"/>
          <tpl fld="0" item="1"/>
        </tpls>
      </n>
      <n v="-12765" in="0">
        <tpls c="4">
          <tpl fld="2" item="5"/>
          <tpl hier="10" item="2"/>
          <tpl hier="11" item="0"/>
          <tpl fld="0" item="1"/>
        </tpls>
      </n>
      <n v="-173511" in="0">
        <tpls c="4">
          <tpl fld="2" item="10"/>
          <tpl hier="10" item="2"/>
          <tpl hier="11" item="0"/>
          <tpl fld="0" item="1"/>
        </tpls>
      </n>
      <n v="-1010.5" in="0">
        <tpls c="5">
          <tpl fld="1" item="11"/>
          <tpl fld="2" item="5"/>
          <tpl hier="10" item="2"/>
          <tpl hier="11" item="0"/>
          <tpl fld="0" item="0"/>
        </tpls>
      </n>
      <n v="-27934.5" in="0">
        <tpls c="4">
          <tpl fld="2" item="3"/>
          <tpl hier="10" item="2"/>
          <tpl hier="11" item="0"/>
          <tpl fld="0" item="0"/>
        </tpls>
      </n>
      <m in="0">
        <tpls c="5">
          <tpl fld="1" item="8"/>
          <tpl fld="2" item="4"/>
          <tpl hier="10" item="2"/>
          <tpl hier="11" item="0"/>
          <tpl fld="0" item="1"/>
        </tpls>
      </m>
      <n v="-8425" in="0">
        <tpls c="5">
          <tpl fld="1" item="11"/>
          <tpl fld="2" item="10"/>
          <tpl hier="10" item="2"/>
          <tpl hier="11" item="0"/>
          <tpl fld="0" item="0"/>
        </tpls>
      </n>
      <n v="-522493" in="0">
        <tpls c="5">
          <tpl fld="1" item="9"/>
          <tpl hier="9" item="4294967295"/>
          <tpl hier="10" item="2"/>
          <tpl hier="11" item="0"/>
          <tpl fld="0" item="1"/>
        </tpls>
      </n>
      <n v="-1919.5" in="0">
        <tpls c="5">
          <tpl fld="1" item="3"/>
          <tpl fld="2" item="3"/>
          <tpl hier="10" item="2"/>
          <tpl hier="11" item="0"/>
          <tpl fld="0" item="0"/>
        </tpls>
      </n>
      <n v="-2099.5" in="0">
        <tpls c="5">
          <tpl fld="1" item="9"/>
          <tpl fld="2" item="2"/>
          <tpl hier="10" item="2"/>
          <tpl hier="11" item="0"/>
          <tpl fld="0" item="0"/>
        </tpls>
      </n>
      <n v="-2107.75" in="0">
        <tpls c="5">
          <tpl fld="1" item="11"/>
          <tpl fld="2" item="2"/>
          <tpl hier="10" item="2"/>
          <tpl hier="11" item="0"/>
          <tpl fld="0" item="0"/>
        </tpls>
      </n>
      <n v="-504.5" in="0">
        <tpls c="5">
          <tpl fld="1" item="10"/>
          <tpl fld="2" item="11"/>
          <tpl hier="10" item="2"/>
          <tpl hier="11" item="0"/>
          <tpl fld="0" item="0"/>
        </tpls>
      </n>
      <m in="0">
        <tpls c="5">
          <tpl fld="1" item="1"/>
          <tpl fld="2" item="3"/>
          <tpl hier="10" item="2"/>
          <tpl hier="11" item="0"/>
          <tpl fld="0" item="1"/>
        </tpls>
      </m>
      <n v="-2763" in="0">
        <tpls c="5">
          <tpl fld="1" item="2"/>
          <tpl fld="2" item="12"/>
          <tpl hier="10" item="2"/>
          <tpl hier="11" item="0"/>
          <tpl fld="0" item="1"/>
        </tpls>
      </n>
      <m in="0">
        <tpls c="4">
          <tpl fld="2" item="4"/>
          <tpl hier="10" item="2"/>
          <tpl hier="11" item="0"/>
          <tpl fld="0" item="0"/>
        </tpls>
      </m>
      <m in="0">
        <tpls c="5">
          <tpl fld="1" item="5"/>
          <tpl fld="2" item="8"/>
          <tpl hier="10" item="2"/>
          <tpl hier="11" item="0"/>
          <tpl fld="0" item="0"/>
        </tpls>
      </m>
      <n v="-4435" in="0">
        <tpls c="5">
          <tpl fld="1" item="1"/>
          <tpl fld="2" item="12"/>
          <tpl hier="10" item="2"/>
          <tpl hier="11" item="0"/>
          <tpl fld="0" item="0"/>
        </tpls>
      </n>
      <n v="-429624" in="0">
        <tpls c="5">
          <tpl fld="1" item="2"/>
          <tpl hier="9" item="4294967295"/>
          <tpl hier="10" item="2"/>
          <tpl hier="11" item="0"/>
          <tpl fld="0" item="1"/>
        </tpls>
      </n>
      <n v="-5118.75" in="0">
        <tpls c="5">
          <tpl fld="1" item="0"/>
          <tpl fld="2" item="15"/>
          <tpl hier="10" item="2"/>
          <tpl hier="11" item="0"/>
          <tpl fld="0" item="0"/>
        </tpls>
      </n>
      <m in="0">
        <tpls c="5">
          <tpl fld="1" item="10"/>
          <tpl fld="2" item="8"/>
          <tpl hier="10" item="2"/>
          <tpl hier="11" item="0"/>
          <tpl fld="0" item="1"/>
        </tpls>
      </m>
      <n v="-706.5" in="0">
        <tpls c="5">
          <tpl fld="1" item="4"/>
          <tpl fld="2" item="11"/>
          <tpl hier="10" item="2"/>
          <tpl hier="11" item="0"/>
          <tpl fld="0" item="0"/>
        </tpls>
      </n>
      <n v="-4595.25" in="0">
        <tpls c="5">
          <tpl fld="1" item="11"/>
          <tpl fld="2" item="12"/>
          <tpl hier="10" item="2"/>
          <tpl hier="11" item="0"/>
          <tpl fld="0" item="0"/>
        </tpls>
      </n>
      <n v="-5091.75" in="0">
        <tpls c="5">
          <tpl fld="1" item="5"/>
          <tpl fld="2" item="12"/>
          <tpl hier="10" item="2"/>
          <tpl hier="11" item="0"/>
          <tpl fld="0" item="0"/>
        </tpls>
      </n>
      <n v="-3256" in="0">
        <tpls c="5">
          <tpl fld="1" item="2"/>
          <tpl fld="2" item="15"/>
          <tpl hier="10" item="2"/>
          <tpl hier="11" item="0"/>
          <tpl fld="0" item="1"/>
        </tpls>
      </n>
      <n v="-13632" in="0">
        <tpls c="5">
          <tpl fld="1" item="6"/>
          <tpl fld="2" item="6"/>
          <tpl hier="10" item="2"/>
          <tpl hier="11" item="0"/>
          <tpl fld="0" item="0"/>
        </tpls>
      </n>
      <n v="-4168.75" in="0">
        <tpls c="5">
          <tpl fld="1" item="8"/>
          <tpl fld="2" item="1"/>
          <tpl hier="10" item="2"/>
          <tpl hier="11" item="0"/>
          <tpl fld="0" item="0"/>
        </tpls>
      </n>
      <m in="0">
        <tpls c="5">
          <tpl fld="1" item="9"/>
          <tpl fld="2" item="9"/>
          <tpl hier="10" item="2"/>
          <tpl hier="11" item="0"/>
          <tpl fld="0" item="0"/>
        </tpls>
      </m>
      <n v="-9027.75" in="0">
        <tpls c="5">
          <tpl fld="1" item="9"/>
          <tpl fld="2" item="15"/>
          <tpl hier="10" item="2"/>
          <tpl hier="11" item="0"/>
          <tpl fld="0" item="0"/>
        </tpls>
      </n>
      <n v="-253" in="0">
        <tpls c="5">
          <tpl fld="1" item="2"/>
          <tpl fld="2" item="11"/>
          <tpl hier="10" item="2"/>
          <tpl hier="11" item="0"/>
          <tpl fld="0" item="1"/>
        </tpls>
      </n>
      <m in="0">
        <tpls c="5">
          <tpl fld="1" item="4"/>
          <tpl fld="2" item="14"/>
          <tpl hier="10" item="2"/>
          <tpl hier="11" item="0"/>
          <tpl fld="0" item="0"/>
        </tpls>
      </m>
      <n v="-232345.25" in="0">
        <tpls c="5">
          <tpl fld="1" item="2"/>
          <tpl fld="2" item="0"/>
          <tpl hier="10" item="2"/>
          <tpl hier="11" item="0"/>
          <tpl fld="0" item="0"/>
        </tpls>
      </n>
      <n v="-1140" in="0">
        <tpls c="5">
          <tpl fld="1" item="11"/>
          <tpl fld="2" item="1"/>
          <tpl hier="10" item="2"/>
          <tpl hier="11" item="0"/>
          <tpl fld="0" item="1"/>
        </tpls>
      </n>
      <n v="-268502.75" in="0">
        <tpls c="5">
          <tpl fld="1" item="5"/>
          <tpl fld="2" item="0"/>
          <tpl hier="10" item="2"/>
          <tpl hier="11" item="0"/>
          <tpl fld="0" item="0"/>
        </tpls>
      </n>
      <m in="0">
        <tpls c="5">
          <tpl fld="1" item="11"/>
          <tpl fld="2" item="9"/>
          <tpl hier="10" item="2"/>
          <tpl hier="11" item="0"/>
          <tpl fld="0" item="1"/>
        </tpls>
      </m>
      <m in="0">
        <tpls c="5">
          <tpl fld="1" item="6"/>
          <tpl fld="2" item="4"/>
          <tpl hier="10" item="2"/>
          <tpl hier="11" item="0"/>
          <tpl fld="0" item="0"/>
        </tpls>
      </m>
      <m in="0">
        <tpls c="5">
          <tpl fld="1" item="4"/>
          <tpl fld="2" item="4"/>
          <tpl hier="10" item="2"/>
          <tpl hier="11" item="0"/>
          <tpl fld="0" item="1"/>
        </tpls>
      </m>
      <n v="-4968.5" in="0">
        <tpls c="5">
          <tpl fld="1" item="3"/>
          <tpl fld="2" item="12"/>
          <tpl hier="10" item="2"/>
          <tpl hier="11" item="0"/>
          <tpl fld="0" item="0"/>
        </tpls>
      </n>
      <n v="-585.25" in="0">
        <tpls c="5">
          <tpl fld="1" item="2"/>
          <tpl fld="2" item="11"/>
          <tpl hier="10" item="2"/>
          <tpl hier="11" item="0"/>
          <tpl fld="0" item="0"/>
        </tpls>
      </n>
      <m in="0">
        <tpls c="5">
          <tpl fld="1" item="5"/>
          <tpl fld="2" item="8"/>
          <tpl hier="10" item="2"/>
          <tpl hier="11" item="0"/>
          <tpl fld="0" item="1"/>
        </tpls>
      </m>
      <n v="-1134.25" in="0">
        <tpls c="5">
          <tpl fld="1" item="7"/>
          <tpl fld="2" item="5"/>
          <tpl hier="10" item="2"/>
          <tpl hier="11" item="0"/>
          <tpl fld="0" item="0"/>
        </tpls>
      </n>
      <m in="0">
        <tpls c="5">
          <tpl fld="1" item="7"/>
          <tpl fld="2" item="7"/>
          <tpl hier="10" item="2"/>
          <tpl hier="11" item="0"/>
          <tpl fld="0" item="1"/>
        </tpls>
      </m>
      <n v="-11231" in="0">
        <tpls c="5">
          <tpl fld="1" item="2"/>
          <tpl fld="2" item="10"/>
          <tpl hier="10" item="2"/>
          <tpl hier="11" item="0"/>
          <tpl fld="0" item="0"/>
        </tpls>
      </n>
      <n v="-208" in="0">
        <tpls c="5">
          <tpl fld="1" item="6"/>
          <tpl fld="2" item="11"/>
          <tpl hier="10" item="2"/>
          <tpl hier="11" item="0"/>
          <tpl fld="0" item="1"/>
        </tpls>
      </n>
      <n v="-2174" in="0">
        <tpls c="5">
          <tpl fld="1" item="2"/>
          <tpl fld="2" item="13"/>
          <tpl hier="10" item="2"/>
          <tpl hier="11" item="0"/>
          <tpl fld="0" item="1"/>
        </tpls>
      </n>
      <m in="0">
        <tpls c="5">
          <tpl fld="1" item="4"/>
          <tpl fld="2" item="4"/>
          <tpl hier="10" item="2"/>
          <tpl hier="11" item="0"/>
          <tpl fld="0" item="0"/>
        </tpls>
      </m>
      <m in="0">
        <tpls c="5">
          <tpl fld="1" item="7"/>
          <tpl fld="2" item="14"/>
          <tpl hier="10" item="2"/>
          <tpl hier="11" item="0"/>
          <tpl fld="0" item="1"/>
        </tpls>
      </m>
      <m in="0">
        <tpls c="4">
          <tpl fld="2" item="8"/>
          <tpl hier="10" item="2"/>
          <tpl hier="11" item="0"/>
          <tpl fld="0" item="1"/>
        </tpls>
      </m>
      <n v="-3547120.75" in="0">
        <tpls c="4">
          <tpl hier="9" item="4294967295"/>
          <tpl hier="10" item="2"/>
          <tpl hier="11" item="0"/>
          <tpl fld="0" item="0"/>
        </tpls>
      </n>
      <n v="-6498.5" in="0">
        <tpls c="5">
          <tpl fld="1" item="10"/>
          <tpl fld="2" item="15"/>
          <tpl hier="10" item="2"/>
          <tpl hier="11" item="0"/>
          <tpl fld="0" item="0"/>
        </tpls>
      </n>
      <n v="-16102.75" in="0">
        <tpls c="5">
          <tpl fld="1" item="0"/>
          <tpl fld="2" item="10"/>
          <tpl hier="10" item="2"/>
          <tpl hier="11" item="0"/>
          <tpl fld="0" item="0"/>
        </tpls>
      </n>
      <n v="-2092.25" in="0">
        <tpls c="5">
          <tpl fld="1" item="2"/>
          <tpl fld="2" item="2"/>
          <tpl hier="10" item="2"/>
          <tpl hier="11" item="0"/>
          <tpl fld="0" item="0"/>
        </tpls>
      </n>
      <n v="-3359" in="0">
        <tpls c="5">
          <tpl fld="1" item="4"/>
          <tpl fld="2" item="13"/>
          <tpl hier="10" item="2"/>
          <tpl hier="11" item="0"/>
          <tpl fld="0" item="0"/>
        </tpls>
      </n>
      <n v="-11371" in="0">
        <tpls c="5">
          <tpl fld="1" item="1"/>
          <tpl fld="2" item="10"/>
          <tpl hier="10" item="2"/>
          <tpl hier="11" item="0"/>
          <tpl fld="0" item="1"/>
        </tpls>
      </n>
      <n v="-6414" in="0">
        <tpls c="4">
          <tpl fld="2" item="11"/>
          <tpl hier="10" item="2"/>
          <tpl hier="11" item="0"/>
          <tpl fld="0" item="0"/>
        </tpls>
      </n>
      <m in="0">
        <tpls c="5">
          <tpl fld="1" item="4"/>
          <tpl fld="2" item="9"/>
          <tpl hier="10" item="2"/>
          <tpl hier="11" item="0"/>
          <tpl fld="0" item="0"/>
        </tpls>
      </m>
      <n v="-27142" in="0">
        <tpls c="4">
          <tpl fld="2" item="3"/>
          <tpl hier="10" item="2"/>
          <tpl hier="11" item="0"/>
          <tpl fld="0" item="1"/>
        </tpls>
      </n>
      <n v="-1672" in="0">
        <tpls c="5">
          <tpl fld="1" item="10"/>
          <tpl fld="2" item="15"/>
          <tpl hier="10" item="2"/>
          <tpl hier="11" item="0"/>
          <tpl fld="0" item="1"/>
        </tpls>
      </n>
      <m in="0">
        <tpls c="5">
          <tpl fld="1" item="1"/>
          <tpl fld="2" item="8"/>
          <tpl hier="10" item="2"/>
          <tpl hier="11" item="0"/>
          <tpl fld="0" item="1"/>
        </tpls>
      </m>
      <n v="-992" in="0">
        <tpls c="5">
          <tpl fld="1" item="6"/>
          <tpl fld="2" item="3"/>
          <tpl hier="10" item="2"/>
          <tpl hier="11" item="0"/>
          <tpl fld="0" item="1"/>
        </tpls>
      </n>
      <n v="-1336" in="0">
        <tpls c="5">
          <tpl fld="1" item="8"/>
          <tpl fld="2" item="5"/>
          <tpl hier="10" item="2"/>
          <tpl hier="11" item="0"/>
          <tpl fld="0" item="1"/>
        </tpls>
      </n>
      <n v="-18737" in="0">
        <tpls c="5">
          <tpl fld="1" item="5"/>
          <tpl fld="2" item="10"/>
          <tpl hier="10" item="2"/>
          <tpl hier="11" item="0"/>
          <tpl fld="0" item="1"/>
        </tpls>
      </n>
      <n v="-9836" in="0">
        <tpls c="5">
          <tpl fld="1" item="1"/>
          <tpl fld="2" item="13"/>
          <tpl hier="10" item="2"/>
          <tpl hier="11" item="0"/>
          <tpl fld="0" item="1"/>
        </tpls>
      </n>
      <m in="0">
        <tpls c="5">
          <tpl fld="1" item="9"/>
          <tpl fld="2" item="14"/>
          <tpl hier="10" item="2"/>
          <tpl hier="11" item="0"/>
          <tpl fld="0" item="0"/>
        </tpls>
      </m>
      <n v="-419.75" in="0">
        <tpls c="5">
          <tpl fld="1" item="0"/>
          <tpl fld="2" item="11"/>
          <tpl hier="10" item="2"/>
          <tpl hier="11" item="0"/>
          <tpl fld="0" item="0"/>
        </tpls>
      </n>
      <n v="-128" in="0">
        <tpls c="5">
          <tpl fld="1" item="7"/>
          <tpl fld="2" item="11"/>
          <tpl hier="10" item="2"/>
          <tpl hier="11" item="0"/>
          <tpl fld="0" item="1"/>
        </tpls>
      </n>
      <n v="-3746" in="0">
        <tpls c="5">
          <tpl fld="1" item="6"/>
          <tpl fld="2" item="13"/>
          <tpl hier="10" item="2"/>
          <tpl hier="11" item="0"/>
          <tpl fld="0" item="1"/>
        </tpls>
      </n>
      <n v="-17308" in="0">
        <tpls c="5">
          <tpl fld="1" item="6"/>
          <tpl fld="2" item="10"/>
          <tpl hier="10" item="2"/>
          <tpl hier="11" item="0"/>
          <tpl fld="0" item="0"/>
        </tpls>
      </n>
      <n v="-233095.5" in="0">
        <tpls c="5">
          <tpl fld="1" item="4"/>
          <tpl fld="2" item="0"/>
          <tpl hier="10" item="2"/>
          <tpl hier="11" item="0"/>
          <tpl fld="0" item="0"/>
        </tpls>
      </n>
      <n v="-58497.75" in="0">
        <tpls c="4">
          <tpl fld="2" item="13"/>
          <tpl hier="10" item="2"/>
          <tpl hier="11" item="0"/>
          <tpl fld="0" item="0"/>
        </tpls>
      </n>
      <n v="-2898" in="0">
        <tpls c="5">
          <tpl fld="1" item="3"/>
          <tpl fld="2" item="2"/>
          <tpl hier="10" item="2"/>
          <tpl hier="11" item="0"/>
          <tpl fld="0" item="1"/>
        </tpls>
      </n>
      <n v="-328297" in="0">
        <tpls c="5">
          <tpl fld="1" item="1"/>
          <tpl fld="2" item="0"/>
          <tpl hier="10" item="2"/>
          <tpl hier="11" item="0"/>
          <tpl fld="0" item="1"/>
        </tpls>
      </n>
      <n v="-16519" in="0">
        <tpls c="5">
          <tpl fld="1" item="6"/>
          <tpl fld="2" item="10"/>
          <tpl hier="10" item="2"/>
          <tpl hier="11" item="0"/>
          <tpl fld="0" item="1"/>
        </tpls>
      </n>
      <n v="-4158.75" in="0">
        <tpls c="5">
          <tpl fld="1" item="4"/>
          <tpl fld="2" item="1"/>
          <tpl hier="10" item="2"/>
          <tpl hier="11" item="0"/>
          <tpl fld="0" item="0"/>
        </tpls>
      </n>
      <m in="0">
        <tpls c="5">
          <tpl fld="1" item="3"/>
          <tpl fld="2" item="7"/>
          <tpl hier="10" item="2"/>
          <tpl hier="11" item="0"/>
          <tpl fld="0" item="1"/>
        </tpls>
      </m>
      <m in="0">
        <tpls c="5">
          <tpl fld="1" item="8"/>
          <tpl fld="2" item="8"/>
          <tpl hier="10" item="2"/>
          <tpl hier="11" item="0"/>
          <tpl fld="0" item="0"/>
        </tpls>
      </m>
      <n v="-4693" in="0">
        <tpls c="5">
          <tpl fld="1" item="9"/>
          <tpl fld="2" item="13"/>
          <tpl hier="10" item="2"/>
          <tpl hier="11" item="0"/>
          <tpl fld="0" item="0"/>
        </tpls>
      </n>
      <n v="-286008.5" in="0">
        <tpls c="5">
          <tpl fld="1" item="2"/>
          <tpl hier="9" item="4294967295"/>
          <tpl hier="10" item="2"/>
          <tpl hier="11" item="0"/>
          <tpl fld="0" item="0"/>
        </tpls>
      </n>
      <n v="-3059" in="0">
        <tpls c="5">
          <tpl fld="1" item="0"/>
          <tpl fld="2" item="13"/>
          <tpl hier="10" item="2"/>
          <tpl hier="11" item="0"/>
          <tpl fld="0" item="1"/>
        </tpls>
      </n>
      <n v="-981" in="0">
        <tpls c="5">
          <tpl fld="1" item="1"/>
          <tpl fld="2" item="5"/>
          <tpl hier="10" item="2"/>
          <tpl hier="11" item="0"/>
          <tpl fld="0" item="1"/>
        </tpls>
      </n>
      <n v="-2374" in="0">
        <tpls c="5">
          <tpl fld="1" item="4"/>
          <tpl fld="2" item="2"/>
          <tpl hier="10" item="2"/>
          <tpl hier="11" item="0"/>
          <tpl fld="0" item="0"/>
        </tpls>
      </n>
      <n v="-7653" in="0">
        <tpls c="5">
          <tpl fld="1" item="9"/>
          <tpl fld="2" item="13"/>
          <tpl hier="10" item="2"/>
          <tpl hier="11" item="0"/>
          <tpl fld="0" item="1"/>
        </tpls>
      </n>
      <n v="-225255" in="0">
        <tpls c="5">
          <tpl fld="1" item="0"/>
          <tpl hier="9" item="4294967295"/>
          <tpl hier="10" item="2"/>
          <tpl hier="11" item="0"/>
          <tpl fld="0" item="1"/>
        </tpls>
      </n>
      <n v="-20462.5" in="0">
        <tpls c="5">
          <tpl fld="1" item="4"/>
          <tpl fld="2" item="6"/>
          <tpl hier="10" item="2"/>
          <tpl hier="11" item="0"/>
          <tpl fld="0" item="0"/>
        </tpls>
      </n>
      <n v="-2457" in="0">
        <tpls c="5">
          <tpl fld="1" item="4"/>
          <tpl fld="2" item="2"/>
          <tpl hier="10" item="2"/>
          <tpl hier="11" item="0"/>
          <tpl fld="0" item="1"/>
        </tpls>
      </n>
      <n v="-6173" in="0">
        <tpls c="5">
          <tpl fld="1" item="4"/>
          <tpl fld="2" item="12"/>
          <tpl hier="10" item="2"/>
          <tpl hier="11" item="0"/>
          <tpl fld="0" item="1"/>
        </tpls>
      </n>
      <m in="0">
        <tpls c="5">
          <tpl fld="1" item="6"/>
          <tpl fld="2" item="14"/>
          <tpl hier="10" item="2"/>
          <tpl hier="11" item="0"/>
          <tpl fld="0" item="0"/>
        </tpls>
      </m>
      <m in="0">
        <tpls c="5">
          <tpl fld="1" item="7"/>
          <tpl fld="2" item="8"/>
          <tpl hier="10" item="2"/>
          <tpl hier="11" item="0"/>
          <tpl fld="0" item="1"/>
        </tpls>
      </m>
      <m in="0">
        <tpls c="5">
          <tpl fld="1" item="6"/>
          <tpl fld="2" item="14"/>
          <tpl hier="10" item="2"/>
          <tpl hier="11" item="0"/>
          <tpl fld="0" item="1"/>
        </tpls>
      </m>
      <m in="0">
        <tpls c="5">
          <tpl fld="1" item="11"/>
          <tpl fld="2" item="7"/>
          <tpl hier="10" item="2"/>
          <tpl hier="11" item="0"/>
          <tpl fld="0" item="1"/>
        </tpls>
      </m>
      <m in="0">
        <tpls c="5">
          <tpl fld="1" item="6"/>
          <tpl fld="2" item="8"/>
          <tpl hier="10" item="2"/>
          <tpl hier="11" item="0"/>
          <tpl fld="0" item="0"/>
        </tpls>
      </m>
      <n v="-3462" in="0">
        <tpls c="5">
          <tpl fld="1" item="10"/>
          <tpl fld="2" item="13"/>
          <tpl hier="10" item="2"/>
          <tpl hier="11" item="0"/>
          <tpl fld="0" item="0"/>
        </tpls>
      </n>
      <n v="-1812" in="0">
        <tpls c="5">
          <tpl fld="1" item="0"/>
          <tpl fld="2" item="15"/>
          <tpl hier="10" item="2"/>
          <tpl hier="11" item="0"/>
          <tpl fld="0" item="1"/>
        </tpls>
      </n>
      <n v="-471867" in="0">
        <tpls c="5">
          <tpl fld="1" item="6"/>
          <tpl fld="2" item="0"/>
          <tpl hier="10" item="2"/>
          <tpl hier="11" item="0"/>
          <tpl fld="0" item="1"/>
        </tpls>
      </n>
      <n v="-2354.5" in="0">
        <tpls c="5">
          <tpl fld="1" item="5"/>
          <tpl fld="2" item="3"/>
          <tpl hier="10" item="2"/>
          <tpl hier="11" item="0"/>
          <tpl fld="0" item="0"/>
        </tpls>
      </n>
      <m in="0">
        <tpls c="4">
          <tpl fld="2" item="14"/>
          <tpl hier="10" item="2"/>
          <tpl hier="11" item="0"/>
          <tpl fld="0" item="1"/>
        </tpls>
      </m>
      <n v="-4632" in="0">
        <tpls c="5">
          <tpl fld="1" item="8"/>
          <tpl fld="2" item="3"/>
          <tpl hier="10" item="2"/>
          <tpl hier="11" item="0"/>
          <tpl fld="0" item="1"/>
        </tpls>
      </n>
      <m in="0">
        <tpls c="5">
          <tpl fld="1" item="9"/>
          <tpl fld="2" item="8"/>
          <tpl hier="10" item="2"/>
          <tpl hier="11" item="0"/>
          <tpl fld="0" item="1"/>
        </tpls>
      </m>
      <n v="-2001.5" in="0">
        <tpls c="5">
          <tpl fld="1" item="6"/>
          <tpl fld="2" item="3"/>
          <tpl hier="10" item="2"/>
          <tpl hier="11" item="0"/>
          <tpl fld="0" item="0"/>
        </tpls>
      </n>
      <m in="0">
        <tpls c="4">
          <tpl fld="2" item="9"/>
          <tpl hier="10" item="2"/>
          <tpl hier="11" item="0"/>
          <tpl fld="0" item="1"/>
        </tpls>
      </m>
      <n v="-331227" in="0">
        <tpls c="5">
          <tpl fld="1" item="3"/>
          <tpl hier="9" item="4294967295"/>
          <tpl hier="10" item="2"/>
          <tpl hier="11" item="0"/>
          <tpl fld="0" item="0"/>
        </tpls>
      </n>
      <n v="-1616" in="0">
        <tpls c="5">
          <tpl fld="1" item="8"/>
          <tpl fld="2" item="2"/>
          <tpl hier="10" item="2"/>
          <tpl hier="11" item="0"/>
          <tpl fld="0" item="1"/>
        </tpls>
      </n>
      <n v="-8567" in="0">
        <tpls c="5">
          <tpl fld="1" item="10"/>
          <tpl fld="2" item="12"/>
          <tpl hier="10" item="2"/>
          <tpl hier="11" item="0"/>
          <tpl fld="0" item="1"/>
        </tpls>
      </n>
      <n v="-4647" in="0">
        <tpls c="5">
          <tpl fld="1" item="0"/>
          <tpl fld="2" item="3"/>
          <tpl hier="10" item="2"/>
          <tpl hier="11" item="0"/>
          <tpl fld="0" item="1"/>
        </tpls>
      </n>
      <n v="-322" in="0">
        <tpls c="5">
          <tpl fld="1" item="11"/>
          <tpl fld="2" item="11"/>
          <tpl hier="10" item="2"/>
          <tpl hier="11" item="0"/>
          <tpl fld="0" item="1"/>
        </tpls>
      </n>
      <n v="-16068" in="0">
        <tpls c="5">
          <tpl fld="1" item="0"/>
          <tpl fld="2" item="6"/>
          <tpl hier="10" item="2"/>
          <tpl hier="11" item="0"/>
          <tpl fld="0" item="0"/>
        </tpls>
      </n>
      <n v="-10968" in="0">
        <tpls c="5">
          <tpl fld="1" item="6"/>
          <tpl fld="2" item="6"/>
          <tpl hier="10" item="2"/>
          <tpl hier="11" item="0"/>
          <tpl fld="0" item="1"/>
        </tpls>
      </n>
      <m in="0">
        <tpls c="5">
          <tpl fld="1" item="11"/>
          <tpl fld="2" item="4"/>
          <tpl hier="10" item="2"/>
          <tpl hier="11" item="0"/>
          <tpl fld="0" item="1"/>
        </tpls>
      </m>
      <m in="0">
        <tpls c="5">
          <tpl fld="1" item="7"/>
          <tpl fld="2" item="4"/>
          <tpl hier="10" item="2"/>
          <tpl hier="11" item="0"/>
          <tpl fld="0" item="1"/>
        </tpls>
      </m>
      <n v="-4045" in="0">
        <tpls c="5">
          <tpl fld="1" item="4"/>
          <tpl fld="2" item="15"/>
          <tpl hier="10" item="2"/>
          <tpl hier="11" item="0"/>
          <tpl fld="0" item="1"/>
        </tpls>
      </n>
      <m in="0">
        <tpls c="5">
          <tpl fld="1" item="11"/>
          <tpl fld="2" item="8"/>
          <tpl hier="10" item="2"/>
          <tpl hier="11" item="0"/>
          <tpl fld="0" item="0"/>
        </tpls>
      </m>
      <n v="-563" in="0">
        <tpls c="5">
          <tpl fld="1" item="9"/>
          <tpl fld="2" item="11"/>
          <tpl hier="10" item="2"/>
          <tpl hier="11" item="0"/>
          <tpl fld="0" item="1"/>
        </tpls>
      </n>
      <n v="-242807.25" in="0">
        <tpls c="5">
          <tpl fld="1" item="0"/>
          <tpl hier="9" item="4294967295"/>
          <tpl hier="10" item="2"/>
          <tpl hier="11" item="0"/>
          <tpl fld="0" item="0"/>
        </tpls>
      </n>
      <m in="0">
        <tpls c="5">
          <tpl fld="1" item="9"/>
          <tpl fld="2" item="4"/>
          <tpl hier="10" item="2"/>
          <tpl hier="11" item="0"/>
          <tpl fld="0" item="0"/>
        </tpls>
      </m>
      <n v="-6080" in="0">
        <tpls c="5">
          <tpl fld="1" item="0"/>
          <tpl fld="2" item="13"/>
          <tpl hier="10" item="2"/>
          <tpl hier="11" item="0"/>
          <tpl fld="0" item="0"/>
        </tpls>
      </n>
      <n v="-2096" in="0">
        <tpls c="5">
          <tpl fld="1" item="7"/>
          <tpl fld="2" item="3"/>
          <tpl hier="10" item="2"/>
          <tpl hier="11" item="0"/>
          <tpl fld="0" item="0"/>
        </tpls>
      </n>
      <n v="-6974.25" in="0">
        <tpls c="5">
          <tpl fld="1" item="11"/>
          <tpl fld="2" item="13"/>
          <tpl hier="10" item="2"/>
          <tpl hier="11" item="0"/>
          <tpl fld="0" item="0"/>
        </tpls>
      </n>
      <m in="0">
        <tpls c="5">
          <tpl fld="1" item="0"/>
          <tpl fld="2" item="14"/>
          <tpl hier="10" item="2"/>
          <tpl hier="11" item="0"/>
          <tpl fld="0" item="1"/>
        </tpls>
      </m>
      <n v="-1783" in="0">
        <tpls c="5">
          <tpl fld="1" item="9"/>
          <tpl fld="2" item="3"/>
          <tpl hier="10" item="2"/>
          <tpl hier="11" item="0"/>
          <tpl fld="0" item="1"/>
        </tpls>
      </n>
      <n v="-968" in="0">
        <tpls c="5">
          <tpl fld="1" item="1"/>
          <tpl fld="2" item="11"/>
          <tpl hier="10" item="2"/>
          <tpl hier="11" item="0"/>
          <tpl fld="0" item="1"/>
        </tpls>
      </n>
      <n v="-4344" in="0">
        <tpls c="5">
          <tpl fld="1" item="11"/>
          <tpl fld="2" item="13"/>
          <tpl hier="10" item="2"/>
          <tpl hier="11" item="0"/>
          <tpl fld="0" item="1"/>
        </tpls>
      </n>
      <m in="0">
        <tpls c="5">
          <tpl fld="1" item="0"/>
          <tpl fld="2" item="14"/>
          <tpl hier="10" item="2"/>
          <tpl hier="11" item="0"/>
          <tpl fld="0" item="0"/>
        </tpls>
      </m>
      <n v="-1853" in="0">
        <tpls c="5">
          <tpl fld="1" item="2"/>
          <tpl fld="2" item="3"/>
          <tpl hier="10" item="2"/>
          <tpl hier="11" item="0"/>
          <tpl fld="0" item="1"/>
        </tpls>
      </n>
      <n v="-233280" in="0">
        <tpls c="5">
          <tpl fld="1" item="3"/>
          <tpl hier="9" item="4294967295"/>
          <tpl hier="10" item="2"/>
          <tpl hier="11" item="0"/>
          <tpl fld="0" item="1"/>
        </tpls>
      </n>
      <m in="0">
        <tpls c="5">
          <tpl fld="1" item="5"/>
          <tpl fld="2" item="4"/>
          <tpl hier="10" item="2"/>
          <tpl hier="11" item="0"/>
          <tpl fld="0" item="1"/>
        </tpls>
      </m>
      <n v="-2570" in="0">
        <tpls c="5">
          <tpl fld="1" item="9"/>
          <tpl fld="2" item="2"/>
          <tpl hier="10" item="2"/>
          <tpl hier="11" item="0"/>
          <tpl fld="0" item="1"/>
        </tpls>
      </n>
      <m in="0">
        <tpls c="5">
          <tpl fld="1" item="10"/>
          <tpl fld="2" item="8"/>
          <tpl hier="10" item="2"/>
          <tpl hier="11" item="0"/>
          <tpl fld="0" item="0"/>
        </tpls>
      </m>
      <n v="-12835.5" in="0">
        <tpls c="5">
          <tpl fld="1" item="8"/>
          <tpl fld="2" item="10"/>
          <tpl hier="10" item="2"/>
          <tpl hier="11" item="0"/>
          <tpl fld="0" item="0"/>
        </tpls>
      </n>
      <n v="-5496" in="0">
        <tpls c="5">
          <tpl fld="1" item="2"/>
          <tpl fld="2" item="15"/>
          <tpl hier="10" item="2"/>
          <tpl hier="11" item="0"/>
          <tpl fld="0" item="0"/>
        </tpls>
      </n>
      <m in="0">
        <tpls c="5">
          <tpl fld="1" item="9"/>
          <tpl fld="2" item="7"/>
          <tpl hier="10" item="2"/>
          <tpl hier="11" item="0"/>
          <tpl fld="0" item="1"/>
        </tpls>
      </m>
      <n v="-2379.75" in="0">
        <tpls c="5">
          <tpl fld="1" item="4"/>
          <tpl fld="2" item="3"/>
          <tpl hier="10" item="2"/>
          <tpl hier="11" item="0"/>
          <tpl fld="0" item="0"/>
        </tpls>
      </n>
      <m in="0">
        <tpls c="5">
          <tpl fld="1" item="10"/>
          <tpl fld="2" item="4"/>
          <tpl hier="10" item="2"/>
          <tpl hier="11" item="0"/>
          <tpl fld="0" item="1"/>
        </tpls>
      </m>
      <m in="0">
        <tpls c="5">
          <tpl fld="1" item="1"/>
          <tpl fld="2" item="8"/>
          <tpl hier="10" item="2"/>
          <tpl hier="11" item="0"/>
          <tpl fld="0" item="0"/>
        </tpls>
      </m>
      <m in="0">
        <tpls c="5">
          <tpl fld="1" item="9"/>
          <tpl fld="2" item="9"/>
          <tpl hier="10" item="2"/>
          <tpl hier="11" item="0"/>
          <tpl fld="0" item="1"/>
        </tpls>
      </m>
      <m in="0">
        <tpls c="5">
          <tpl fld="1" item="2"/>
          <tpl fld="2" item="14"/>
          <tpl hier="10" item="2"/>
          <tpl hier="11" item="0"/>
          <tpl fld="0" item="1"/>
        </tpls>
      </m>
      <n v="-17329.5" in="0">
        <tpls c="5">
          <tpl fld="1" item="9"/>
          <tpl fld="2" item="10"/>
          <tpl hier="10" item="2"/>
          <tpl hier="11" item="0"/>
          <tpl fld="0" item="0"/>
        </tpls>
      </n>
      <n v="-4657" in="0">
        <tpls c="5">
          <tpl fld="1" item="5"/>
          <tpl fld="2" item="1"/>
          <tpl hier="10" item="2"/>
          <tpl hier="11" item="0"/>
          <tpl fld="0" item="0"/>
        </tpls>
      </n>
      <n v="-4133" in="0">
        <tpls c="5">
          <tpl fld="1" item="10"/>
          <tpl fld="2" item="12"/>
          <tpl hier="10" item="2"/>
          <tpl hier="11" item="0"/>
          <tpl fld="0" item="0"/>
        </tpls>
      </n>
      <n v="-403" in="0">
        <tpls c="5">
          <tpl fld="1" item="4"/>
          <tpl fld="2" item="11"/>
          <tpl hier="10" item="2"/>
          <tpl hier="11" item="0"/>
          <tpl fld="0" item="1"/>
        </tpls>
      </n>
      <n v="-298666.25" in="0">
        <tpls c="5">
          <tpl fld="1" item="8"/>
          <tpl hier="9" item="4294967295"/>
          <tpl hier="10" item="2"/>
          <tpl hier="11" item="0"/>
          <tpl fld="0" item="0"/>
        </tpls>
      </n>
      <m in="0">
        <tpls c="5">
          <tpl fld="1" item="1"/>
          <tpl fld="2" item="14"/>
          <tpl hier="10" item="2"/>
          <tpl hier="11" item="0"/>
          <tpl fld="0" item="0"/>
        </tpls>
      </m>
      <n v="-1949" in="0">
        <tpls c="5">
          <tpl fld="1" item="1"/>
          <tpl fld="2" item="2"/>
          <tpl hier="10" item="2"/>
          <tpl hier="11" item="0"/>
          <tpl fld="0" item="0"/>
        </tpls>
      </n>
      <n v="-2915.75" in="0">
        <tpls c="5">
          <tpl fld="1" item="2"/>
          <tpl fld="2" item="3"/>
          <tpl hier="10" item="2"/>
          <tpl hier="11" item="0"/>
          <tpl fld="0" item="0"/>
        </tpls>
      </n>
      <n v="-1168" in="0">
        <tpls c="5">
          <tpl fld="1" item="6"/>
          <tpl fld="2" item="5"/>
          <tpl hier="10" item="2"/>
          <tpl hier="11" item="0"/>
          <tpl fld="0" item="0"/>
        </tpls>
      </n>
      <m in="0">
        <tpls c="5">
          <tpl fld="1" item="2"/>
          <tpl fld="2" item="9"/>
          <tpl hier="10" item="2"/>
          <tpl hier="11" item="0"/>
          <tpl fld="0" item="1"/>
        </tpls>
      </m>
      <n v="-378638" in="0">
        <tpls c="5">
          <tpl fld="1" item="8"/>
          <tpl fld="2" item="0"/>
          <tpl hier="10" item="2"/>
          <tpl hier="11" item="0"/>
          <tpl fld="0" item="1"/>
        </tpls>
      </n>
      <m in="0">
        <tpls c="5">
          <tpl fld="1" item="9"/>
          <tpl fld="2" item="7"/>
          <tpl hier="10" item="2"/>
          <tpl hier="11" item="0"/>
          <tpl fld="0" item="0"/>
        </tpls>
      </m>
      <m in="0">
        <tpls c="5">
          <tpl fld="1" item="3"/>
          <tpl fld="2" item="9"/>
          <tpl hier="10" item="2"/>
          <tpl hier="11" item="0"/>
          <tpl fld="0" item="0"/>
        </tpls>
      </m>
      <n v="-203521.5" in="0">
        <tpls c="5">
          <tpl fld="1" item="1"/>
          <tpl fld="2" item="0"/>
          <tpl hier="10" item="2"/>
          <tpl hier="11" item="0"/>
          <tpl fld="0" item="0"/>
        </tpls>
      </n>
      <m in="0">
        <tpls c="5">
          <tpl fld="1" item="2"/>
          <tpl fld="2" item="4"/>
          <tpl hier="10" item="2"/>
          <tpl hier="11" item="0"/>
          <tpl fld="0" item="1"/>
        </tpls>
      </m>
      <m in="0">
        <tpls c="5">
          <tpl fld="1" item="10"/>
          <tpl fld="2" item="9"/>
          <tpl hier="10" item="2"/>
          <tpl hier="11" item="0"/>
          <tpl fld="0" item="1"/>
        </tpls>
      </m>
      <m in="0">
        <tpls c="5">
          <tpl fld="1" item="5"/>
          <tpl fld="2" item="9"/>
          <tpl hier="10" item="2"/>
          <tpl hier="11" item="0"/>
          <tpl fld="0" item="1"/>
        </tpls>
      </m>
      <n v="-4838.25" in="0">
        <tpls c="5">
          <tpl fld="1" item="8"/>
          <tpl fld="2" item="12"/>
          <tpl hier="10" item="2"/>
          <tpl hier="11" item="0"/>
          <tpl fld="0" item="0"/>
        </tpls>
      </n>
      <n v="-1048.5" in="0">
        <tpls c="5">
          <tpl fld="1" item="8"/>
          <tpl fld="2" item="5"/>
          <tpl hier="10" item="2"/>
          <tpl hier="11" item="0"/>
          <tpl fld="0" item="0"/>
        </tpls>
      </n>
      <n v="-997" in="0">
        <tpls c="5">
          <tpl fld="1" item="9"/>
          <tpl fld="2" item="5"/>
          <tpl hier="10" item="2"/>
          <tpl hier="11" item="0"/>
          <tpl fld="0" item="1"/>
        </tpls>
      </n>
      <m in="0">
        <tpls c="5">
          <tpl fld="1" item="10"/>
          <tpl fld="2" item="5"/>
          <tpl hier="10" item="2"/>
          <tpl hier="11" item="0"/>
          <tpl fld="0" item="1"/>
        </tpls>
      </m>
      <n v="-321421" in="0">
        <tpls c="5">
          <tpl fld="1" item="5"/>
          <tpl hier="9" item="4294967295"/>
          <tpl hier="10" item="2"/>
          <tpl hier="11" item="0"/>
          <tpl fld="0" item="0"/>
        </tpls>
      </n>
      <n v="-3578" in="0">
        <tpls c="5">
          <tpl fld="1" item="1"/>
          <tpl fld="2" item="15"/>
          <tpl hier="10" item="2"/>
          <tpl hier="11" item="0"/>
          <tpl fld="0" item="1"/>
        </tpls>
      </n>
      <n v="-2337.5" in="0">
        <tpls c="5">
          <tpl fld="1" item="0"/>
          <tpl fld="2" item="3"/>
          <tpl hier="10" item="2"/>
          <tpl hier="11" item="0"/>
          <tpl fld="0" item="0"/>
        </tpls>
      </n>
      <m in="0">
        <tpls c="5">
          <tpl fld="1" item="3"/>
          <tpl fld="2" item="4"/>
          <tpl hier="10" item="2"/>
          <tpl hier="11" item="0"/>
          <tpl fld="0" item="0"/>
        </tpls>
      </m>
      <m in="0">
        <tpls c="5">
          <tpl fld="1" item="2"/>
          <tpl fld="2" item="9"/>
          <tpl hier="10" item="2"/>
          <tpl hier="11" item="0"/>
          <tpl fld="0" item="0"/>
        </tpls>
      </m>
      <n v="-7998" in="0">
        <tpls c="5">
          <tpl fld="1" item="7"/>
          <tpl fld="2" item="6"/>
          <tpl hier="10" item="2"/>
          <tpl hier="11" item="0"/>
          <tpl fld="0" item="1"/>
        </tpls>
      </n>
      <n v="-2350" in="0">
        <tpls c="5">
          <tpl fld="1" item="6"/>
          <tpl fld="2" item="2"/>
          <tpl hier="10" item="2"/>
          <tpl hier="11" item="0"/>
          <tpl fld="0" item="1"/>
        </tpls>
      </n>
      <m in="0">
        <tpls c="5">
          <tpl fld="1" item="1"/>
          <tpl fld="2" item="4"/>
          <tpl hier="10" item="2"/>
          <tpl hier="11" item="0"/>
          <tpl fld="0" item="0"/>
        </tpls>
      </m>
      <m in="0">
        <tpls c="5">
          <tpl fld="1" item="8"/>
          <tpl fld="2" item="9"/>
          <tpl hier="10" item="2"/>
          <tpl hier="11" item="0"/>
          <tpl fld="0" item="0"/>
        </tpls>
      </m>
      <n v="-2441" in="0">
        <tpls c="5">
          <tpl fld="1" item="5"/>
          <tpl fld="2" item="5"/>
          <tpl hier="10" item="2"/>
          <tpl hier="11" item="0"/>
          <tpl fld="0" item="1"/>
        </tpls>
      </n>
      <n v="-3995" in="0">
        <tpls c="5">
          <tpl fld="1" item="8"/>
          <tpl fld="2" item="12"/>
          <tpl hier="10" item="2"/>
          <tpl hier="11" item="0"/>
          <tpl fld="0" item="1"/>
        </tpls>
      </n>
      <n v="-3624.5" in="0">
        <tpls c="5">
          <tpl fld="1" item="10"/>
          <tpl fld="2" item="1"/>
          <tpl hier="10" item="2"/>
          <tpl hier="11" item="0"/>
          <tpl fld="0" item="0"/>
        </tpls>
      </n>
      <n v="-7207" in="0">
        <tpls c="5">
          <tpl fld="1" item="9"/>
          <tpl fld="2" item="10"/>
          <tpl hier="10" item="2"/>
          <tpl hier="11" item="0"/>
          <tpl fld="0" item="1"/>
        </tpls>
      </n>
      <n v="-1964" in="0">
        <tpls c="5">
          <tpl fld="1" item="10"/>
          <tpl fld="2" item="2"/>
          <tpl hier="10" item="2"/>
          <tpl hier="11" item="0"/>
          <tpl fld="0" item="1"/>
        </tpls>
      </n>
      <n v="-186628" in="0">
        <tpls c="5">
          <tpl fld="1" item="5"/>
          <tpl hier="9" item="4294967295"/>
          <tpl hier="10" item="2"/>
          <tpl hier="11" item="0"/>
          <tpl fld="0" item="1"/>
        </tpls>
      </n>
      <n v="-4982" in="0">
        <tpls c="5">
          <tpl fld="1" item="5"/>
          <tpl fld="2" item="15"/>
          <tpl hier="10" item="2"/>
          <tpl hier="11" item="0"/>
          <tpl fld="0" item="0"/>
        </tpls>
      </n>
      <m in="0">
        <tpls c="5">
          <tpl fld="1" item="0"/>
          <tpl fld="2" item="4"/>
          <tpl hier="10" item="2"/>
          <tpl hier="11" item="0"/>
          <tpl fld="0" item="1"/>
        </tpls>
      </m>
      <n v="-4393.5" in="0">
        <tpls c="5">
          <tpl fld="1" item="3"/>
          <tpl fld="2" item="1"/>
          <tpl hier="10" item="2"/>
          <tpl hier="11" item="0"/>
          <tpl fld="0" item="0"/>
        </tpls>
      </n>
      <n v="-125957" in="0">
        <tpls c="5">
          <tpl fld="1" item="5"/>
          <tpl fld="2" item="0"/>
          <tpl hier="10" item="2"/>
          <tpl hier="11" item="0"/>
          <tpl fld="0" item="1"/>
        </tpls>
      </n>
      <n v="-2063.75" in="0">
        <tpls c="5">
          <tpl fld="1" item="11"/>
          <tpl fld="2" item="3"/>
          <tpl hier="10" item="2"/>
          <tpl hier="11" item="0"/>
          <tpl fld="0" item="0"/>
        </tpls>
      </n>
      <m in="0">
        <tpls c="5">
          <tpl fld="1" item="1"/>
          <tpl fld="2" item="4"/>
          <tpl hier="10" item="2"/>
          <tpl hier="11" item="0"/>
          <tpl fld="0" item="1"/>
        </tpls>
      </m>
      <m in="0">
        <tpls c="5">
          <tpl fld="1" item="8"/>
          <tpl fld="2" item="9"/>
          <tpl hier="10" item="2"/>
          <tpl hier="11" item="0"/>
          <tpl fld="0" item="1"/>
        </tpls>
      </m>
      <m in="0">
        <tpls c="5">
          <tpl fld="1" item="5"/>
          <tpl fld="2" item="7"/>
          <tpl hier="10" item="2"/>
          <tpl hier="11" item="0"/>
          <tpl fld="0" item="1"/>
        </tpls>
      </m>
      <n v="-4354.25" in="0">
        <tpls c="5">
          <tpl fld="1" item="7"/>
          <tpl fld="2" item="12"/>
          <tpl hier="10" item="2"/>
          <tpl hier="11" item="0"/>
          <tpl fld="0" item="0"/>
        </tpls>
      </n>
      <m in="0">
        <tpls c="5">
          <tpl fld="1" item="10"/>
          <tpl fld="2" item="4"/>
          <tpl hier="10" item="2"/>
          <tpl hier="11" item="0"/>
          <tpl fld="0" item="0"/>
        </tpls>
      </m>
      <n v="-475601" in="0">
        <tpls c="5">
          <tpl fld="1" item="9"/>
          <tpl fld="2" item="0"/>
          <tpl hier="10" item="2"/>
          <tpl hier="11" item="0"/>
          <tpl fld="0" item="1"/>
        </tpls>
      </n>
      <n v="-1068" in="0">
        <tpls c="5">
          <tpl fld="1" item="5"/>
          <tpl fld="2" item="5"/>
          <tpl hier="10" item="2"/>
          <tpl hier="11" item="0"/>
          <tpl fld="0" item="0"/>
        </tpls>
      </n>
      <n v="-290896.25" in="0">
        <tpls c="5">
          <tpl fld="1" item="4"/>
          <tpl hier="9" item="4294967295"/>
          <tpl hier="10" item="2"/>
          <tpl hier="11" item="0"/>
          <tpl fld="0" item="0"/>
        </tpls>
      </n>
      <n v="-4994" in="0">
        <tpls c="5">
          <tpl fld="1" item="5"/>
          <tpl fld="2" item="15"/>
          <tpl hier="10" item="2"/>
          <tpl hier="11" item="0"/>
          <tpl fld="0" item="1"/>
        </tpls>
      </n>
      <m in="0">
        <tpls c="5">
          <tpl fld="1" item="0"/>
          <tpl fld="2" item="4"/>
          <tpl hier="10" item="2"/>
          <tpl hier="11" item="0"/>
          <tpl fld="0" item="0"/>
        </tpls>
      </m>
      <n v="-3734.5" in="0">
        <tpls c="5">
          <tpl fld="1" item="6"/>
          <tpl fld="2" item="1"/>
          <tpl hier="10" item="2"/>
          <tpl hier="11" item="0"/>
          <tpl fld="0" item="0"/>
        </tpls>
      </n>
      <m in="0">
        <tpls c="5">
          <tpl fld="1" item="9"/>
          <tpl fld="2" item="8"/>
          <tpl hier="10" item="2"/>
          <tpl hier="11" item="0"/>
          <tpl fld="0" item="0"/>
        </tpls>
      </m>
      <n v="-242633.5" in="0">
        <tpls c="5">
          <tpl fld="1" item="8"/>
          <tpl fld="2" item="0"/>
          <tpl hier="10" item="2"/>
          <tpl hier="11" item="0"/>
          <tpl fld="0" item="0"/>
        </tpls>
      </n>
      <n v="-1130" in="0">
        <tpls c="5">
          <tpl fld="1" item="1"/>
          <tpl fld="2" item="1"/>
          <tpl hier="10" item="2"/>
          <tpl hier="11" item="0"/>
          <tpl fld="0" item="1"/>
        </tpls>
      </n>
      <n v="-1676" in="0">
        <tpls c="5">
          <tpl fld="1" item="10"/>
          <tpl fld="2" item="3"/>
          <tpl hier="10" item="2"/>
          <tpl hier="11" item="0"/>
          <tpl fld="0" item="1"/>
        </tpls>
      </n>
      <n v="-15766" in="0">
        <tpls c="5">
          <tpl fld="1" item="11"/>
          <tpl fld="2" item="6"/>
          <tpl hier="10" item="2"/>
          <tpl hier="11" item="0"/>
          <tpl fld="0" item="1"/>
        </tpls>
      </n>
      <m in="0">
        <tpls c="5">
          <tpl fld="1" item="5"/>
          <tpl fld="2" item="4"/>
          <tpl hier="10" item="2"/>
          <tpl hier="11" item="0"/>
          <tpl fld="0" item="0"/>
        </tpls>
      </m>
      <m in="0">
        <tpls c="5">
          <tpl fld="1" item="7"/>
          <tpl fld="2" item="9"/>
          <tpl hier="10" item="2"/>
          <tpl hier="11" item="0"/>
          <tpl fld="0" item="0"/>
        </tpls>
      </m>
      <n v="-12759" in="0">
        <tpls c="5">
          <tpl fld="1" item="5"/>
          <tpl fld="2" item="6"/>
          <tpl hier="10" item="2"/>
          <tpl hier="11" item="0"/>
          <tpl fld="0" item="1"/>
        </tpls>
      </n>
      <n v="-3615" in="0">
        <tpls c="5">
          <tpl fld="1" item="7"/>
          <tpl fld="2" item="12"/>
          <tpl hier="10" item="2"/>
          <tpl hier="11" item="0"/>
          <tpl fld="0" item="1"/>
        </tpls>
      </n>
      <n v="-1635" in="0">
        <tpls c="5">
          <tpl fld="1" item="10"/>
          <tpl fld="2" item="5"/>
          <tpl hier="10" item="2"/>
          <tpl hier="11" item="0"/>
          <tpl fld="0" item="0"/>
        </tpls>
      </n>
      <m in="0">
        <tpls c="5">
          <tpl fld="1" item="3"/>
          <tpl fld="2" item="14"/>
          <tpl hier="10" item="2"/>
          <tpl hier="11" item="0"/>
          <tpl fld="0" item="0"/>
        </tpls>
      </m>
      <n v="-7898.75" in="0">
        <tpls c="5">
          <tpl fld="1" item="5"/>
          <tpl fld="2" item="10"/>
          <tpl hier="10" item="2"/>
          <tpl hier="11" item="0"/>
          <tpl fld="0" item="0"/>
        </tpls>
      </n>
      <n v="-251553" in="0">
        <tpls c="5">
          <tpl fld="1" item="4"/>
          <tpl hier="9" item="4294967295"/>
          <tpl hier="10" item="2"/>
          <tpl hier="11" item="0"/>
          <tpl fld="0" item="1"/>
        </tpls>
      </n>
      <n v="-2575" in="0">
        <tpls c="5">
          <tpl fld="1" item="3"/>
          <tpl fld="2" item="15"/>
          <tpl hier="10" item="2"/>
          <tpl hier="11" item="0"/>
          <tpl fld="0" item="1"/>
        </tpls>
      </n>
      <n v="-998" in="0">
        <tpls c="5">
          <tpl fld="1" item="0"/>
          <tpl fld="2" item="5"/>
          <tpl hier="10" item="2"/>
          <tpl hier="11" item="0"/>
          <tpl fld="0" item="1"/>
        </tpls>
      </n>
      <m in="0">
        <tpls c="5">
          <tpl fld="1" item="1"/>
          <tpl fld="2" item="7"/>
          <tpl hier="10" item="2"/>
          <tpl hier="11" item="0"/>
          <tpl fld="0" item="0"/>
        </tpls>
      </m>
      <n v="-16068" in="0">
        <tpls c="5">
          <tpl fld="1" item="7"/>
          <tpl fld="2" item="6"/>
          <tpl hier="10" item="2"/>
          <tpl hier="11" item="0"/>
          <tpl fld="0" item="0"/>
        </tpls>
      </n>
      <m in="0">
        <tpls c="5">
          <tpl fld="1" item="1"/>
          <tpl fld="2" item="14"/>
          <tpl hier="10" item="2"/>
          <tpl hier="11" item="0"/>
          <tpl fld="0" item="1"/>
        </tpls>
      </m>
      <n v="-15595.25" in="0">
        <tpls c="5">
          <tpl fld="1" item="8"/>
          <tpl fld="2" item="6"/>
          <tpl hier="10" item="2"/>
          <tpl hier="11" item="0"/>
          <tpl fld="0" item="0"/>
        </tpls>
      </n>
      <m in="0">
        <tpls c="5">
          <tpl fld="1" item="10"/>
          <tpl fld="2" item="7"/>
          <tpl hier="10" item="2"/>
          <tpl hier="11" item="0"/>
          <tpl fld="0" item="0"/>
        </tpls>
      </m>
      <n v="-1127.5" in="0">
        <tpls c="5">
          <tpl fld="1" item="3"/>
          <tpl fld="2" item="5"/>
          <tpl hier="10" item="2"/>
          <tpl hier="11" item="0"/>
          <tpl fld="0" item="0"/>
        </tpls>
      </n>
      <m in="0">
        <tpls c="5">
          <tpl fld="1" item="7"/>
          <tpl fld="2" item="9"/>
          <tpl hier="10" item="2"/>
          <tpl hier="11" item="0"/>
          <tpl fld="0" item="1"/>
        </tpls>
      </m>
      <n v="-1120" in="0">
        <tpls c="5">
          <tpl fld="1" item="5"/>
          <tpl fld="2" item="1"/>
          <tpl hier="10" item="2"/>
          <tpl hier="11" item="0"/>
          <tpl fld="0" item="1"/>
        </tpls>
      </n>
      <n v="-4174.25" in="0">
        <tpls c="5">
          <tpl fld="1" item="6"/>
          <tpl fld="2" item="12"/>
          <tpl hier="10" item="2"/>
          <tpl hier="11" item="0"/>
          <tpl fld="0" item="0"/>
        </tpls>
      </n>
      <n v="-1891" in="0">
        <tpls c="5">
          <tpl fld="1" item="10"/>
          <tpl fld="2" item="2"/>
          <tpl hier="10" item="2"/>
          <tpl hier="11" item="0"/>
          <tpl fld="0" item="0"/>
        </tpls>
      </n>
      <m in="0">
        <tpls c="5">
          <tpl fld="1" item="3"/>
          <tpl fld="2" item="14"/>
          <tpl hier="10" item="2"/>
          <tpl hier="11" item="0"/>
          <tpl fld="0" item="1"/>
        </tpls>
      </m>
      <m in="0">
        <tpls c="5">
          <tpl fld="1" item="5"/>
          <tpl fld="2" item="9"/>
          <tpl hier="10" item="2"/>
          <tpl hier="11" item="0"/>
          <tpl fld="0" item="0"/>
        </tpls>
      </m>
      <n v="-300311" in="0">
        <tpls c="5">
          <tpl fld="1" item="9"/>
          <tpl hier="9" item="4294967295"/>
          <tpl hier="10" item="2"/>
          <tpl hier="11" item="0"/>
          <tpl fld="0" item="0"/>
        </tpls>
      </n>
      <n v="-5853" in="0">
        <tpls c="5">
          <tpl fld="1" item="4"/>
          <tpl fld="2" item="15"/>
          <tpl hier="10" item="2"/>
          <tpl hier="11" item="0"/>
          <tpl fld="0" item="0"/>
        </tpls>
      </n>
      <n v="-1204" in="0">
        <tpls c="5">
          <tpl fld="1" item="0"/>
          <tpl fld="2" item="5"/>
          <tpl hier="10" item="2"/>
          <tpl hier="11" item="0"/>
          <tpl fld="0" item="0"/>
        </tpls>
      </n>
      <n v="-2259.25" in="0">
        <tpls c="5">
          <tpl fld="1" item="9"/>
          <tpl fld="2" item="3"/>
          <tpl hier="10" item="2"/>
          <tpl hier="11" item="0"/>
          <tpl fld="0" item="0"/>
        </tpls>
      </n>
      <n v="-595" in="0">
        <tpls c="5">
          <tpl fld="1" item="1"/>
          <tpl fld="2" item="11"/>
          <tpl hier="10" item="2"/>
          <tpl hier="11" item="0"/>
          <tpl fld="0" item="0"/>
        </tpls>
      </n>
      <n v="-278266.5" in="0">
        <tpls c="5">
          <tpl fld="1" item="6"/>
          <tpl fld="2" item="0"/>
          <tpl hier="10" item="2"/>
          <tpl hier="11" item="0"/>
          <tpl fld="0" item="0"/>
        </tpls>
      </n>
      <n v="-400" in="0">
        <tpls c="5">
          <tpl fld="1" item="5"/>
          <tpl fld="2" item="11"/>
          <tpl hier="10" item="2"/>
          <tpl hier="11" item="0"/>
          <tpl fld="0" item="1"/>
        </tpls>
      </n>
      <n v="-396" in="0">
        <tpls c="5">
          <tpl fld="1" item="3"/>
          <tpl fld="2" item="5"/>
          <tpl hier="10" item="2"/>
          <tpl hier="11" item="0"/>
          <tpl fld="0" item="1"/>
        </tpls>
      </n>
      <m in="0">
        <tpls c="5">
          <tpl fld="1" item="6"/>
          <tpl fld="2" item="9"/>
          <tpl hier="10" item="2"/>
          <tpl hier="11" item="0"/>
          <tpl fld="0" item="0"/>
        </tpls>
      </m>
      <n v="-1967" in="0">
        <tpls c="5">
          <tpl fld="1" item="5"/>
          <tpl fld="2" item="2"/>
          <tpl hier="10" item="2"/>
          <tpl hier="11" item="0"/>
          <tpl fld="0" item="1"/>
        </tpls>
      </n>
      <m in="0">
        <tpls c="5">
          <tpl fld="1" item="6"/>
          <tpl fld="2" item="12"/>
          <tpl hier="10" item="2"/>
          <tpl hier="11" item="0"/>
          <tpl fld="0" item="1"/>
        </tpls>
      </m>
      <n v="-233701.25" in="0">
        <tpls c="5">
          <tpl fld="1" item="10"/>
          <tpl fld="2" item="0"/>
          <tpl hier="10" item="2"/>
          <tpl hier="11" item="0"/>
          <tpl fld="0" item="0"/>
        </tpls>
      </n>
      <m in="0">
        <tpls c="5">
          <tpl fld="1" item="2"/>
          <tpl fld="2" item="14"/>
          <tpl hier="10" item="2"/>
          <tpl hier="11" item="0"/>
          <tpl fld="0" item="0"/>
        </tpls>
      </m>
      <m in="0">
        <tpls c="5">
          <tpl fld="1" item="5"/>
          <tpl fld="2" item="7"/>
          <tpl hier="10" item="2"/>
          <tpl hier="11" item="0"/>
          <tpl fld="0" item="0"/>
        </tpls>
      </m>
      <n v="-322802.5" in="0">
        <tpls c="5">
          <tpl fld="1" item="11"/>
          <tpl hier="9" item="4294967295"/>
          <tpl hier="10" item="2"/>
          <tpl hier="11" item="0"/>
          <tpl fld="0" item="0"/>
        </tpls>
      </n>
      <n v="-7320.75" in="0">
        <tpls c="5">
          <tpl fld="1" item="3"/>
          <tpl fld="2" item="15"/>
          <tpl hier="10" item="2"/>
          <tpl hier="11" item="0"/>
          <tpl fld="0" item="0"/>
        </tpls>
      </n>
      <n v="-21377" in="0">
        <tpls c="5">
          <tpl fld="1" item="0"/>
          <tpl fld="2" item="6"/>
          <tpl hier="10" item="2"/>
          <tpl hier="11" item="0"/>
          <tpl fld="0" item="1"/>
        </tpls>
      </n>
      <n v="-1120" in="0">
        <tpls c="5">
          <tpl fld="1" item="7"/>
          <tpl fld="2" item="1"/>
          <tpl hier="10" item="2"/>
          <tpl hier="11" item="0"/>
          <tpl fld="0" item="1"/>
        </tpls>
      </n>
      <n v="-386476" in="0">
        <tpls c="5">
          <tpl fld="1" item="2"/>
          <tpl fld="2" item="0"/>
          <tpl hier="10" item="2"/>
          <tpl hier="11" item="0"/>
          <tpl fld="0" item="1"/>
        </tpls>
      </n>
      <m in="0">
        <tpls c="5">
          <tpl fld="1" item="1"/>
          <tpl fld="2" item="9"/>
          <tpl hier="10" item="2"/>
          <tpl hier="11" item="0"/>
          <tpl fld="0" item="1"/>
        </tpls>
      </m>
      <n v="-18668" in="0">
        <tpls c="5">
          <tpl fld="1" item="11"/>
          <tpl fld="2" item="6"/>
          <tpl hier="10" item="2"/>
          <tpl hier="11" item="0"/>
          <tpl fld="0" item="0"/>
        </tpls>
      </n>
      <n v="-55760" in="0">
        <tpls c="4">
          <tpl fld="2" item="12"/>
          <tpl hier="10" item="2"/>
          <tpl hier="11" item="0"/>
          <tpl fld="0" item="0"/>
        </tpls>
      </n>
      <n v="-18085" in="0">
        <tpls c="5">
          <tpl fld="1" item="4"/>
          <tpl fld="2" item="6"/>
          <tpl hier="10" item="2"/>
          <tpl hier="11" item="0"/>
          <tpl fld="0" item="1"/>
        </tpls>
      </n>
      <n v="-198" in="0">
        <tpls c="5">
          <tpl fld="1" item="8"/>
          <tpl fld="2" item="11"/>
          <tpl hier="10" item="2"/>
          <tpl hier="11" item="0"/>
          <tpl fld="0" item="1"/>
        </tpls>
      </n>
      <n v="-14448.5" in="0">
        <tpls c="5">
          <tpl fld="1" item="1"/>
          <tpl fld="2" item="6"/>
          <tpl hier="10" item="2"/>
          <tpl hier="11" item="0"/>
          <tpl fld="0" item="0"/>
        </tpls>
      </n>
      <n v="-4896" in="0">
        <tpls c="5">
          <tpl fld="1" item="7"/>
          <tpl fld="2" item="13"/>
          <tpl hier="10" item="2"/>
          <tpl hier="11" item="0"/>
          <tpl fld="0" item="1"/>
        </tpls>
      </n>
      <n v="-5434" in="0">
        <tpls c="5">
          <tpl fld="1" item="7"/>
          <tpl fld="2" item="10"/>
          <tpl hier="10" item="2"/>
          <tpl hier="11" item="0"/>
          <tpl fld="0" item="1"/>
        </tpls>
      </n>
      <n v="-4450" in="0">
        <tpls c="5">
          <tpl fld="1" item="9"/>
          <tpl fld="2" item="1"/>
          <tpl hier="10" item="2"/>
          <tpl hier="11" item="0"/>
          <tpl fld="0" item="0"/>
        </tpls>
      </n>
      <m in="0">
        <tpls c="5">
          <tpl fld="1" item="0"/>
          <tpl fld="2" item="8"/>
          <tpl hier="10" item="2"/>
          <tpl hier="11" item="0"/>
          <tpl fld="0" item="1"/>
        </tpls>
      </m>
      <n v="-234878" in="0">
        <tpls c="5">
          <tpl fld="1" item="9"/>
          <tpl fld="2" item="0"/>
          <tpl hier="10" item="2"/>
          <tpl hier="11" item="0"/>
          <tpl fld="0" item="0"/>
        </tpls>
      </n>
      <m in="0">
        <tpls c="5">
          <tpl fld="1" item="1"/>
          <tpl fld="2" item="7"/>
          <tpl hier="10" item="3"/>
          <tpl hier="11" item="0"/>
          <tpl fld="0" item="1"/>
        </tpls>
      </m>
      <m in="0">
        <tpls c="5">
          <tpl fld="1" item="3"/>
          <tpl fld="2" item="2"/>
          <tpl hier="10" item="3"/>
          <tpl hier="11" item="0"/>
          <tpl fld="0" item="0"/>
        </tpls>
      </m>
      <n v="-29214" in="0">
        <tpls c="5">
          <tpl fld="1" item="2"/>
          <tpl fld="2" item="6"/>
          <tpl hier="10" item="3"/>
          <tpl hier="11" item="0"/>
          <tpl fld="0" item="1"/>
        </tpls>
      </n>
      <n v="-367" in="0">
        <tpls c="5">
          <tpl fld="1" item="3"/>
          <tpl fld="2" item="11"/>
          <tpl hier="10" item="3"/>
          <tpl hier="11" item="0"/>
          <tpl fld="0" item="1"/>
        </tpls>
      </n>
      <n v="-12465.25" in="0">
        <tpls c="5">
          <tpl fld="1" item="3"/>
          <tpl fld="2" item="10"/>
          <tpl hier="10" item="3"/>
          <tpl hier="11" item="0"/>
          <tpl fld="0" item="0"/>
        </tpls>
      </n>
      <n v="-2299.5" in="0">
        <tpls c="5">
          <tpl fld="1" item="10"/>
          <tpl fld="2" item="3"/>
          <tpl hier="10" item="3"/>
          <tpl hier="11" item="0"/>
          <tpl fld="0" item="0"/>
        </tpls>
      </n>
      <m in="0">
        <tpls c="5">
          <tpl fld="1" item="11"/>
          <tpl fld="2" item="7"/>
          <tpl hier="10" item="3"/>
          <tpl hier="11" item="0"/>
          <tpl fld="0" item="0"/>
        </tpls>
      </m>
      <n v="-7480" in="0">
        <tpls c="5">
          <tpl fld="1" item="3"/>
          <tpl fld="2" item="6"/>
          <tpl hier="10" item="3"/>
          <tpl hier="11" item="0"/>
          <tpl fld="0" item="1"/>
        </tpls>
      </n>
      <m in="0">
        <tpls c="5">
          <tpl fld="1" item="4"/>
          <tpl fld="2" item="9"/>
          <tpl hier="10" item="3"/>
          <tpl hier="11" item="0"/>
          <tpl fld="0" item="1"/>
        </tpls>
      </m>
      <n v="-652" in="0">
        <tpls c="5">
          <tpl fld="1" item="10"/>
          <tpl fld="2" item="11"/>
          <tpl hier="10" item="3"/>
          <tpl hier="11" item="0"/>
          <tpl fld="0" item="1"/>
        </tpls>
      </n>
      <n v="-3941.75" in="0">
        <tpls c="5">
          <tpl fld="1" item="7"/>
          <tpl fld="2" item="13"/>
          <tpl hier="10" item="3"/>
          <tpl hier="11" item="0"/>
          <tpl fld="0" item="0"/>
        </tpls>
      </n>
      <n v="-1246" in="0">
        <tpls c="5">
          <tpl fld="1" item="11"/>
          <tpl fld="2" item="5"/>
          <tpl hier="10" item="3"/>
          <tpl hier="11" item="0"/>
          <tpl fld="0" item="1"/>
        </tpls>
      </n>
      <m in="0">
        <tpls c="5">
          <tpl fld="1" item="5"/>
          <tpl fld="2" item="14"/>
          <tpl hier="10" item="3"/>
          <tpl hier="11" item="0"/>
          <tpl fld="0" item="0"/>
        </tpls>
      </m>
      <n v="-54319" in="0">
        <tpls c="4">
          <tpl fld="2" item="13"/>
          <tpl hier="10" item="3"/>
          <tpl hier="11" item="0"/>
          <tpl fld="0" item="1"/>
        </tpls>
      </n>
      <n v="-309755.5" in="0">
        <tpls c="5">
          <tpl fld="1" item="7"/>
          <tpl hier="9" item="4294967295"/>
          <tpl hier="10" item="3"/>
          <tpl hier="11" item="0"/>
          <tpl fld="0" item="0"/>
        </tpls>
      </n>
      <n v="-1909" in="0">
        <tpls c="5">
          <tpl fld="1" item="11"/>
          <tpl fld="2" item="15"/>
          <tpl hier="10" item="3"/>
          <tpl hier="11" item="0"/>
          <tpl fld="0" item="1"/>
        </tpls>
      </n>
      <m in="0">
        <tpls c="5">
          <tpl fld="1" item="0"/>
          <tpl fld="2" item="8"/>
          <tpl hier="10" item="3"/>
          <tpl hier="11" item="0"/>
          <tpl fld="0" item="0"/>
        </tpls>
      </m>
      <n v="-2080" in="0">
        <tpls c="5">
          <tpl fld="1" item="6"/>
          <tpl fld="2" item="1"/>
          <tpl hier="10" item="3"/>
          <tpl hier="11" item="0"/>
          <tpl fld="0" item="1"/>
        </tpls>
      </n>
      <m in="0">
        <tpls c="5">
          <tpl fld="1" item="3"/>
          <tpl fld="2" item="7"/>
          <tpl hier="10" item="3"/>
          <tpl hier="11" item="0"/>
          <tpl fld="0" item="0"/>
        </tpls>
      </m>
      <m in="0">
        <tpls c="5">
          <tpl fld="1" item="6"/>
          <tpl fld="2" item="9"/>
          <tpl hier="10" item="3"/>
          <tpl hier="11" item="0"/>
          <tpl fld="0" item="1"/>
        </tpls>
      </m>
      <n v="-1268" in="0">
        <tpls c="5">
          <tpl fld="1" item="3"/>
          <tpl fld="2" item="3"/>
          <tpl hier="10" item="3"/>
          <tpl hier="11" item="0"/>
          <tpl fld="0" item="1"/>
        </tpls>
      </n>
      <n v="-492.75" in="0">
        <tpls c="5">
          <tpl fld="1" item="9"/>
          <tpl fld="2" item="11"/>
          <tpl hier="10" item="3"/>
          <tpl hier="11" item="0"/>
          <tpl fld="0" item="0"/>
        </tpls>
      </n>
      <n v="-10572" in="0">
        <tpls c="5">
          <tpl fld="1" item="10"/>
          <tpl fld="2" item="6"/>
          <tpl hier="10" item="3"/>
          <tpl hier="11" item="0"/>
          <tpl fld="0" item="1"/>
        </tpls>
      </n>
      <n v="-255457" in="0">
        <tpls c="5">
          <tpl fld="1" item="3"/>
          <tpl fld="2" item="0"/>
          <tpl hier="10" item="3"/>
          <tpl hier="11" item="0"/>
          <tpl fld="0" item="1"/>
        </tpls>
      </n>
      <n v="-17881" in="0">
        <tpls c="5">
          <tpl fld="1" item="2"/>
          <tpl fld="2" item="6"/>
          <tpl hier="10" item="3"/>
          <tpl hier="11" item="0"/>
          <tpl fld="0" item="0"/>
        </tpls>
      </n>
      <n v="-834" in="0">
        <tpls c="5">
          <tpl fld="1" item="4"/>
          <tpl fld="2" item="5"/>
          <tpl hier="10" item="3"/>
          <tpl hier="11" item="0"/>
          <tpl fld="0" item="1"/>
        </tpls>
      </n>
      <n v="-611.25" in="0">
        <tpls c="5">
          <tpl fld="1" item="8"/>
          <tpl fld="2" item="11"/>
          <tpl hier="10" item="3"/>
          <tpl hier="11" item="0"/>
          <tpl fld="0" item="0"/>
        </tpls>
      </n>
      <n v="-3649.5" in="0">
        <tpls c="5">
          <tpl fld="1" item="3"/>
          <tpl fld="2" item="13"/>
          <tpl hier="10" item="3"/>
          <tpl hier="11" item="0"/>
          <tpl fld="0" item="0"/>
        </tpls>
      </n>
      <m in="0">
        <tpls c="5">
          <tpl fld="1" item="11"/>
          <tpl fld="2" item="2"/>
          <tpl hier="10" item="3"/>
          <tpl hier="11" item="0"/>
          <tpl fld="0" item="1"/>
        </tpls>
      </m>
      <m in="0">
        <tpls c="5">
          <tpl fld="1" item="5"/>
          <tpl fld="2" item="14"/>
          <tpl hier="10" item="3"/>
          <tpl hier="11" item="0"/>
          <tpl fld="0" item="1"/>
        </tpls>
      </m>
      <n v="-40296" in="0">
        <tpls c="4">
          <tpl fld="2" item="12"/>
          <tpl hier="10" item="3"/>
          <tpl hier="11" item="0"/>
          <tpl fld="0" item="1"/>
        </tpls>
      </n>
      <n v="-464593" in="0">
        <tpls c="5">
          <tpl fld="1" item="7"/>
          <tpl hier="9" item="4294967295"/>
          <tpl hier="10" item="3"/>
          <tpl hier="11" item="0"/>
          <tpl fld="0" item="1"/>
        </tpls>
      </n>
      <n v="-73136.75" in="0">
        <tpls c="4">
          <tpl fld="2" item="15"/>
          <tpl hier="10" item="3"/>
          <tpl hier="11" item="0"/>
          <tpl fld="0" item="0"/>
        </tpls>
      </n>
      <m in="0">
        <tpls c="5">
          <tpl fld="1" item="0"/>
          <tpl fld="2" item="9"/>
          <tpl hier="10" item="3"/>
          <tpl hier="11" item="0"/>
          <tpl fld="0" item="1"/>
        </tpls>
      </m>
      <m in="0">
        <tpls c="5">
          <tpl fld="1" item="6"/>
          <tpl fld="2" item="4"/>
          <tpl hier="10" item="3"/>
          <tpl hier="11" item="0"/>
          <tpl fld="0" item="1"/>
        </tpls>
      </m>
      <n v="-2040" in="0">
        <tpls c="5">
          <tpl fld="1" item="2"/>
          <tpl fld="2" item="1"/>
          <tpl hier="10" item="3"/>
          <tpl hier="11" item="0"/>
          <tpl fld="0" item="1"/>
        </tpls>
      </n>
      <m in="0">
        <tpls c="5">
          <tpl fld="1" item="2"/>
          <tpl fld="2" item="2"/>
          <tpl hier="10" item="3"/>
          <tpl hier="11" item="0"/>
          <tpl fld="0" item="1"/>
        </tpls>
      </m>
      <m in="0">
        <tpls c="5">
          <tpl fld="1" item="3"/>
          <tpl fld="2" item="8"/>
          <tpl hier="10" item="3"/>
          <tpl hier="11" item="0"/>
          <tpl fld="0" item="1"/>
        </tpls>
      </m>
      <m in="0">
        <tpls c="5">
          <tpl fld="1" item="3"/>
          <tpl fld="2" item="9"/>
          <tpl hier="10" item="3"/>
          <tpl hier="11" item="0"/>
          <tpl fld="0" item="1"/>
        </tpls>
      </m>
      <n v="-458.5" in="0">
        <tpls c="5">
          <tpl fld="1" item="5"/>
          <tpl fld="2" item="11"/>
          <tpl hier="10" item="3"/>
          <tpl hier="11" item="0"/>
          <tpl fld="0" item="0"/>
        </tpls>
      </n>
      <n v="-15326.75" in="0">
        <tpls c="5">
          <tpl fld="1" item="9"/>
          <tpl fld="2" item="6"/>
          <tpl hier="10" item="3"/>
          <tpl hier="11" item="0"/>
          <tpl fld="0" item="0"/>
        </tpls>
      </n>
      <m in="0">
        <tpls c="5">
          <tpl fld="1" item="4"/>
          <tpl fld="2" item="7"/>
          <tpl hier="10" item="3"/>
          <tpl hier="11" item="0"/>
          <tpl fld="0" item="0"/>
        </tpls>
      </m>
      <n v="-141213" in="0">
        <tpls c="5">
          <tpl fld="1" item="4"/>
          <tpl fld="2" item="0"/>
          <tpl hier="10" item="3"/>
          <tpl hier="11" item="0"/>
          <tpl fld="0" item="1"/>
        </tpls>
      </n>
      <n v="-469.75" in="0">
        <tpls c="5">
          <tpl fld="1" item="7"/>
          <tpl fld="2" item="11"/>
          <tpl hier="10" item="3"/>
          <tpl hier="11" item="0"/>
          <tpl fld="0" item="0"/>
        </tpls>
      </n>
      <n v="-7100" in="0">
        <tpls c="5">
          <tpl fld="1" item="3"/>
          <tpl fld="2" item="13"/>
          <tpl hier="10" item="3"/>
          <tpl hier="11" item="0"/>
          <tpl fld="0" item="1"/>
        </tpls>
      </n>
      <n v="-37971" in="0">
        <tpls c="5">
          <tpl fld="1" item="11"/>
          <tpl fld="2" item="0"/>
          <tpl hier="10" item="3"/>
          <tpl hier="11" item="0"/>
          <tpl fld="0" item="1"/>
        </tpls>
      </n>
      <m in="0">
        <tpls c="5">
          <tpl fld="1" item="11"/>
          <tpl fld="2" item="14"/>
          <tpl hier="10" item="3"/>
          <tpl hier="11" item="0"/>
          <tpl fld="0" item="0"/>
        </tpls>
      </m>
      <n v="-2546576" in="0">
        <tpls c="4">
          <tpl fld="2" item="0"/>
          <tpl hier="10" item="3"/>
          <tpl hier="11" item="0"/>
          <tpl fld="0" item="1"/>
        </tpls>
      </n>
      <n v="-298859.5" in="0">
        <tpls c="5">
          <tpl fld="1" item="6"/>
          <tpl hier="9" item="4294967295"/>
          <tpl hier="10" item="3"/>
          <tpl hier="11" item="0"/>
          <tpl fld="0" item="0"/>
        </tpls>
      </n>
      <n v="-28873" in="0">
        <tpls c="4">
          <tpl fld="2" item="15"/>
          <tpl hier="10" item="3"/>
          <tpl hier="11" item="0"/>
          <tpl fld="0" item="1"/>
        </tpls>
      </n>
      <m in="0">
        <tpls c="5">
          <tpl fld="1" item="0"/>
          <tpl fld="2" item="9"/>
          <tpl hier="10" item="3"/>
          <tpl hier="11" item="0"/>
          <tpl fld="0" item="0"/>
        </tpls>
      </m>
      <m in="0">
        <tpls c="4">
          <tpl fld="2" item="4"/>
          <tpl hier="10" item="3"/>
          <tpl hier="11" item="0"/>
          <tpl fld="0" item="1"/>
        </tpls>
      </m>
      <n v="-4687.75" in="0">
        <tpls c="5">
          <tpl fld="1" item="8"/>
          <tpl fld="2" item="15"/>
          <tpl hier="10" item="3"/>
          <tpl hier="11" item="0"/>
          <tpl fld="0" item="0"/>
        </tpls>
      </n>
      <m in="0">
        <tpls c="5">
          <tpl fld="1" item="3"/>
          <tpl fld="2" item="8"/>
          <tpl hier="10" item="3"/>
          <tpl hier="11" item="0"/>
          <tpl fld="0" item="0"/>
        </tpls>
      </m>
      <n v="-487.5" in="0">
        <tpls c="5">
          <tpl fld="1" item="3"/>
          <tpl fld="2" item="11"/>
          <tpl hier="10" item="3"/>
          <tpl hier="11" item="0"/>
          <tpl fld="0" item="0"/>
        </tpls>
      </n>
      <m in="0">
        <tpls c="5">
          <tpl fld="1" item="11"/>
          <tpl fld="2" item="14"/>
          <tpl hier="10" item="3"/>
          <tpl hier="11" item="0"/>
          <tpl fld="0" item="1"/>
        </tpls>
      </m>
      <n v="-871" in="0">
        <tpls c="5">
          <tpl fld="1" item="8"/>
          <tpl fld="2" item="15"/>
          <tpl hier="10" item="3"/>
          <tpl hier="11" item="0"/>
          <tpl fld="0" item="1"/>
        </tpls>
      </n>
      <n v="-2080" in="0">
        <tpls c="5">
          <tpl fld="1" item="3"/>
          <tpl fld="2" item="1"/>
          <tpl hier="10" item="3"/>
          <tpl hier="11" item="0"/>
          <tpl fld="0" item="1"/>
        </tpls>
      </n>
      <n v="-2060" in="0">
        <tpls c="5">
          <tpl fld="1" item="9"/>
          <tpl fld="2" item="1"/>
          <tpl hier="10" item="3"/>
          <tpl hier="11" item="0"/>
          <tpl fld="0" item="1"/>
        </tpls>
      </n>
      <n v="-1940" in="0">
        <tpls c="5">
          <tpl fld="1" item="9"/>
          <tpl fld="2" item="12"/>
          <tpl hier="10" item="3"/>
          <tpl hier="11" item="0"/>
          <tpl fld="0" item="1"/>
        </tpls>
      </n>
      <m in="0">
        <tpls c="5">
          <tpl fld="1" item="10"/>
          <tpl fld="2" item="14"/>
          <tpl hier="10" item="3"/>
          <tpl hier="11" item="0"/>
          <tpl fld="0" item="0"/>
        </tpls>
      </m>
      <n v="-3882.5" in="0">
        <tpls c="5">
          <tpl fld="1" item="0"/>
          <tpl fld="2" item="12"/>
          <tpl hier="10" item="3"/>
          <tpl hier="11" item="0"/>
          <tpl fld="0" item="0"/>
        </tpls>
      </n>
      <n v="-256" in="0">
        <tpls c="5">
          <tpl fld="1" item="7"/>
          <tpl fld="2" item="5"/>
          <tpl hier="10" item="3"/>
          <tpl hier="11" item="0"/>
          <tpl fld="0" item="1"/>
        </tpls>
      </n>
      <n v="-4974.75" in="0">
        <tpls c="5">
          <tpl fld="1" item="11"/>
          <tpl fld="2" item="1"/>
          <tpl hier="10" item="3"/>
          <tpl hier="11" item="0"/>
          <tpl fld="0" item="0"/>
        </tpls>
      </n>
      <n v="-5160.25" in="0">
        <tpls c="5">
          <tpl fld="1" item="2"/>
          <tpl fld="2" item="12"/>
          <tpl hier="10" item="3"/>
          <tpl hier="11" item="0"/>
          <tpl fld="0" item="0"/>
        </tpls>
      </n>
      <m in="0">
        <tpls c="5">
          <tpl fld="1" item="8"/>
          <tpl fld="2" item="14"/>
          <tpl hier="10" item="3"/>
          <tpl hier="11" item="0"/>
          <tpl fld="0" item="0"/>
        </tpls>
      </m>
      <n v="-4265" in="0">
        <tpls c="5">
          <tpl fld="1" item="7"/>
          <tpl fld="2" item="15"/>
          <tpl hier="10" item="3"/>
          <tpl hier="11" item="0"/>
          <tpl fld="0" item="1"/>
        </tpls>
      </n>
      <m in="0">
        <tpls c="5">
          <tpl fld="1" item="2"/>
          <tpl fld="2" item="8"/>
          <tpl hier="10" item="3"/>
          <tpl hier="11" item="0"/>
          <tpl fld="0" item="0"/>
        </tpls>
      </m>
      <n v="-197139.75" in="0">
        <tpls c="5">
          <tpl fld="1" item="3"/>
          <tpl fld="2" item="0"/>
          <tpl hier="10" item="3"/>
          <tpl hier="11" item="0"/>
          <tpl fld="0" item="0"/>
        </tpls>
      </n>
      <m in="0">
        <tpls c="5">
          <tpl fld="1" item="8"/>
          <tpl fld="2" item="8"/>
          <tpl hier="10" item="3"/>
          <tpl hier="11" item="0"/>
          <tpl fld="0" item="1"/>
        </tpls>
      </m>
      <n v="-3013" in="0">
        <tpls c="5">
          <tpl fld="1" item="5"/>
          <tpl fld="2" item="12"/>
          <tpl hier="10" item="3"/>
          <tpl hier="11" item="0"/>
          <tpl fld="0" item="1"/>
        </tpls>
      </n>
      <m in="0">
        <tpls c="5">
          <tpl fld="1" item="8"/>
          <tpl fld="2" item="14"/>
          <tpl hier="10" item="3"/>
          <tpl hier="11" item="0"/>
          <tpl fld="0" item="1"/>
        </tpls>
      </m>
      <n v="-6901.5" in="0">
        <tpls c="5">
          <tpl fld="1" item="6"/>
          <tpl fld="2" item="15"/>
          <tpl hier="10" item="3"/>
          <tpl hier="11" item="0"/>
          <tpl fld="0" item="0"/>
        </tpls>
      </n>
      <n v="-16405.25" in="0">
        <tpls c="5">
          <tpl fld="1" item="10"/>
          <tpl fld="2" item="6"/>
          <tpl hier="10" item="3"/>
          <tpl hier="11" item="0"/>
          <tpl fld="0" item="0"/>
        </tpls>
      </n>
      <m in="0">
        <tpls c="5">
          <tpl fld="1" item="11"/>
          <tpl fld="2" item="4"/>
          <tpl hier="10" item="3"/>
          <tpl hier="11" item="0"/>
          <tpl fld="0" item="0"/>
        </tpls>
      </m>
      <n v="-158560" in="0">
        <tpls c="5">
          <tpl fld="1" item="0"/>
          <tpl fld="2" item="0"/>
          <tpl hier="10" item="3"/>
          <tpl hier="11" item="0"/>
          <tpl fld="0" item="1"/>
        </tpls>
      </n>
      <m in="0">
        <tpls c="5">
          <tpl fld="1" item="1"/>
          <tpl fld="2" item="2"/>
          <tpl hier="10" item="3"/>
          <tpl hier="11" item="0"/>
          <tpl fld="0" item="1"/>
        </tpls>
      </m>
      <n v="-1668" in="0">
        <tpls c="5">
          <tpl fld="1" item="11"/>
          <tpl fld="2" item="10"/>
          <tpl hier="10" item="3"/>
          <tpl hier="11" item="0"/>
          <tpl fld="0" item="1"/>
        </tpls>
      </n>
      <n v="-60326" in="0">
        <tpls c="5">
          <tpl fld="1" item="11"/>
          <tpl hier="9" item="4294967295"/>
          <tpl hier="10" item="3"/>
          <tpl hier="11" item="0"/>
          <tpl fld="0" item="1"/>
        </tpls>
      </n>
      <n v="-2314.25" in="0">
        <tpls c="5">
          <tpl fld="1" item="8"/>
          <tpl fld="2" item="3"/>
          <tpl hier="10" item="3"/>
          <tpl hier="11" item="0"/>
          <tpl fld="0" item="0"/>
        </tpls>
      </n>
      <m in="0">
        <tpls c="5">
          <tpl fld="1" item="10"/>
          <tpl fld="2" item="7"/>
          <tpl hier="10" item="3"/>
          <tpl hier="11" item="0"/>
          <tpl fld="0" item="1"/>
        </tpls>
      </m>
      <n v="-12465.25" in="0">
        <tpls c="5">
          <tpl fld="1" item="10"/>
          <tpl fld="2" item="10"/>
          <tpl hier="10" item="3"/>
          <tpl hier="11" item="0"/>
          <tpl fld="0" item="0"/>
        </tpls>
      </n>
      <n v="-266738.25" in="0">
        <tpls c="5">
          <tpl fld="1" item="11"/>
          <tpl fld="2" item="0"/>
          <tpl hier="10" item="3"/>
          <tpl hier="11" item="0"/>
          <tpl fld="0" item="0"/>
        </tpls>
      </n>
      <m in="0">
        <tpls c="5">
          <tpl fld="1" item="3"/>
          <tpl fld="2" item="4"/>
          <tpl hier="10" item="3"/>
          <tpl hier="11" item="0"/>
          <tpl fld="0" item="1"/>
        </tpls>
      </m>
      <n v="-2857" in="0">
        <tpls c="5">
          <tpl fld="1" item="10"/>
          <tpl fld="2" item="13"/>
          <tpl hier="10" item="3"/>
          <tpl hier="11" item="0"/>
          <tpl fld="0" item="1"/>
        </tpls>
      </n>
      <n v="-1300" in="0">
        <tpls c="5">
          <tpl fld="1" item="5"/>
          <tpl fld="2" item="3"/>
          <tpl hier="10" item="3"/>
          <tpl hier="11" item="0"/>
          <tpl fld="0" item="1"/>
        </tpls>
      </n>
      <n v="-5620.5" in="0">
        <tpls c="5">
          <tpl fld="1" item="8"/>
          <tpl fld="2" item="13"/>
          <tpl hier="10" item="3"/>
          <tpl hier="11" item="0"/>
          <tpl fld="0" item="0"/>
        </tpls>
      </n>
      <m in="0">
        <tpls c="5">
          <tpl fld="1" item="0"/>
          <tpl fld="2" item="2"/>
          <tpl hier="10" item="3"/>
          <tpl hier="11" item="0"/>
          <tpl fld="0" item="1"/>
        </tpls>
      </m>
      <m in="0">
        <tpls c="5">
          <tpl fld="1" item="6"/>
          <tpl fld="2" item="2"/>
          <tpl hier="10" item="3"/>
          <tpl hier="11" item="0"/>
          <tpl fld="0" item="0"/>
        </tpls>
      </m>
      <n v="-467" in="0">
        <tpls c="5">
          <tpl fld="1" item="8"/>
          <tpl fld="2" item="10"/>
          <tpl hier="10" item="3"/>
          <tpl hier="11" item="0"/>
          <tpl fld="0" item="1"/>
        </tpls>
      </n>
      <m in="0">
        <tpls c="5">
          <tpl fld="1" item="0"/>
          <tpl fld="2" item="2"/>
          <tpl hier="10" item="3"/>
          <tpl hier="11" item="0"/>
          <tpl fld="0" item="0"/>
        </tpls>
      </m>
      <n v="-5737.75" in="0">
        <tpls c="5">
          <tpl fld="1" item="6"/>
          <tpl fld="2" item="13"/>
          <tpl hier="10" item="3"/>
          <tpl hier="11" item="0"/>
          <tpl fld="0" item="0"/>
        </tpls>
      </n>
      <m in="0">
        <tpls c="5">
          <tpl fld="1" item="10"/>
          <tpl fld="2" item="9"/>
          <tpl hier="10" item="3"/>
          <tpl hier="11" item="0"/>
          <tpl fld="0" item="0"/>
        </tpls>
      </m>
      <n v="-2060" in="0">
        <tpls c="5">
          <tpl fld="1" item="10"/>
          <tpl fld="2" item="1"/>
          <tpl hier="10" item="3"/>
          <tpl hier="11" item="0"/>
          <tpl fld="0" item="1"/>
        </tpls>
      </n>
      <m in="0">
        <tpls c="5">
          <tpl fld="1" item="8"/>
          <tpl fld="2" item="7"/>
          <tpl hier="10" item="3"/>
          <tpl hier="11" item="0"/>
          <tpl fld="0" item="1"/>
        </tpls>
      </m>
      <n v="-14617.25" in="0">
        <tpls c="5">
          <tpl fld="1" item="5"/>
          <tpl fld="2" item="6"/>
          <tpl hier="10" item="3"/>
          <tpl hier="11" item="0"/>
          <tpl fld="0" item="0"/>
        </tpls>
      </n>
      <m in="0">
        <tpls c="5">
          <tpl fld="1" item="4"/>
          <tpl fld="2" item="8"/>
          <tpl hier="10" item="3"/>
          <tpl hier="11" item="0"/>
          <tpl fld="0" item="0"/>
        </tpls>
      </m>
      <n v="-1026" in="0">
        <tpls c="5">
          <tpl fld="1" item="9"/>
          <tpl fld="2" item="5"/>
          <tpl hier="10" item="3"/>
          <tpl hier="11" item="0"/>
          <tpl fld="0" item="0"/>
        </tpls>
      </n>
      <n v="-249004" in="0">
        <tpls c="5">
          <tpl fld="1" item="10"/>
          <tpl hier="9" item="4294967295"/>
          <tpl hier="10" item="3"/>
          <tpl hier="11" item="0"/>
          <tpl fld="0" item="1"/>
        </tpls>
      </n>
      <n v="-4076.5" in="0">
        <tpls c="5">
          <tpl fld="1" item="9"/>
          <tpl fld="2" item="12"/>
          <tpl hier="10" item="3"/>
          <tpl hier="11" item="0"/>
          <tpl fld="0" item="0"/>
        </tpls>
      </n>
      <m in="0">
        <tpls c="5">
          <tpl fld="1" item="5"/>
          <tpl fld="2" item="2"/>
          <tpl hier="10" item="3"/>
          <tpl hier="11" item="0"/>
          <tpl fld="0" item="0"/>
        </tpls>
      </m>
      <m in="0">
        <tpls c="5">
          <tpl fld="1" item="7"/>
          <tpl fld="2" item="4"/>
          <tpl hier="10" item="3"/>
          <tpl hier="11" item="0"/>
          <tpl fld="0" item="0"/>
        </tpls>
      </m>
      <n v="-19584" in="0">
        <tpls c="5">
          <tpl fld="1" item="3"/>
          <tpl fld="2" item="6"/>
          <tpl hier="10" item="3"/>
          <tpl hier="11" item="0"/>
          <tpl fld="0" item="0"/>
        </tpls>
      </n>
      <n v="-8175" in="0">
        <tpls c="5">
          <tpl fld="1" item="4"/>
          <tpl fld="2" item="13"/>
          <tpl hier="10" item="3"/>
          <tpl hier="11" item="0"/>
          <tpl fld="0" item="1"/>
        </tpls>
      </n>
      <n v="-1314" in="0">
        <tpls c="5">
          <tpl fld="1" item="9"/>
          <tpl fld="2" item="15"/>
          <tpl hier="10" item="3"/>
          <tpl hier="11" item="0"/>
          <tpl fld="0" item="1"/>
        </tpls>
      </n>
      <n v="-2420.5" in="0">
        <tpls c="5">
          <tpl fld="1" item="1"/>
          <tpl fld="2" item="3"/>
          <tpl hier="10" item="3"/>
          <tpl hier="11" item="0"/>
          <tpl fld="0" item="0"/>
        </tpls>
      </n>
      <m in="0">
        <tpls c="5">
          <tpl fld="1" item="7"/>
          <tpl fld="2" item="8"/>
          <tpl hier="10" item="3"/>
          <tpl hier="11" item="0"/>
          <tpl fld="0" item="0"/>
        </tpls>
      </m>
      <n v="-14282.25" in="0">
        <tpls c="4">
          <tpl fld="2" item="5"/>
          <tpl hier="10" item="3"/>
          <tpl hier="11" item="0"/>
          <tpl fld="0" item="0"/>
        </tpls>
      </n>
      <n v="-15018.5" in="0">
        <tpls c="5">
          <tpl fld="1" item="1"/>
          <tpl fld="2" item="10"/>
          <tpl hier="10" item="3"/>
          <tpl hier="11" item="0"/>
          <tpl fld="0" item="0"/>
        </tpls>
      </n>
      <n v="-220924" in="0">
        <tpls c="5">
          <tpl fld="1" item="10"/>
          <tpl fld="2" item="0"/>
          <tpl hier="10" item="3"/>
          <tpl hier="11" item="0"/>
          <tpl fld="0" item="1"/>
        </tpls>
      </n>
      <n v="-6392" in="0">
        <tpls c="5">
          <tpl fld="1" item="3"/>
          <tpl fld="2" item="12"/>
          <tpl hier="10" item="3"/>
          <tpl hier="11" item="0"/>
          <tpl fld="0" item="1"/>
        </tpls>
      </n>
      <m in="0">
        <tpls c="4">
          <tpl fld="2" item="9"/>
          <tpl hier="10" item="3"/>
          <tpl hier="11" item="0"/>
          <tpl fld="0" item="0"/>
        </tpls>
      </m>
      <n v="-4096" in="0">
        <tpls c="5">
          <tpl fld="1" item="2"/>
          <tpl fld="2" item="1"/>
          <tpl hier="10" item="3"/>
          <tpl hier="11" item="0"/>
          <tpl fld="0" item="0"/>
        </tpls>
      </n>
      <m in="0">
        <tpls c="4">
          <tpl fld="2" item="14"/>
          <tpl hier="10" item="3"/>
          <tpl hier="11" item="0"/>
          <tpl fld="0" item="0"/>
        </tpls>
      </m>
      <n v="-2150" in="0">
        <tpls c="5">
          <tpl fld="1" item="2"/>
          <tpl fld="2" item="10"/>
          <tpl hier="10" item="3"/>
          <tpl hier="11" item="0"/>
          <tpl fld="0" item="1"/>
        </tpls>
      </n>
      <m in="0">
        <tpls c="5">
          <tpl fld="1" item="6"/>
          <tpl fld="2" item="8"/>
          <tpl hier="10" item="3"/>
          <tpl hier="11" item="0"/>
          <tpl fld="0" item="1"/>
        </tpls>
      </m>
      <n v="-53900" in="0">
        <tpls c="4">
          <tpl fld="2" item="1"/>
          <tpl hier="10" item="3"/>
          <tpl hier="11" item="0"/>
          <tpl fld="0" item="0"/>
        </tpls>
      </n>
      <n v="-24825" in="0">
        <tpls c="5">
          <tpl fld="1" item="8"/>
          <tpl fld="2" item="6"/>
          <tpl hier="10" item="3"/>
          <tpl hier="11" item="0"/>
          <tpl fld="0" item="1"/>
        </tpls>
      </n>
      <m in="0">
        <tpls c="4">
          <tpl fld="2" item="8"/>
          <tpl hier="10" item="3"/>
          <tpl hier="11" item="0"/>
          <tpl fld="0" item="0"/>
        </tpls>
      </m>
      <n v="-265799" in="0">
        <tpls c="5">
          <tpl fld="1" item="1"/>
          <tpl hier="9" item="4294967295"/>
          <tpl hier="10" item="3"/>
          <tpl hier="11" item="0"/>
          <tpl fld="0" item="1"/>
        </tpls>
      </n>
      <m in="0">
        <tpls c="5">
          <tpl fld="1" item="8"/>
          <tpl fld="2" item="4"/>
          <tpl hier="10" item="3"/>
          <tpl hier="11" item="0"/>
          <tpl fld="0" item="0"/>
        </tpls>
      </m>
      <m in="0">
        <tpls c="5">
          <tpl fld="1" item="4"/>
          <tpl fld="2" item="8"/>
          <tpl hier="10" item="3"/>
          <tpl hier="11" item="0"/>
          <tpl fld="0" item="1"/>
        </tpls>
      </m>
      <n v="-14262.25" in="0">
        <tpls c="5">
          <tpl fld="1" item="7"/>
          <tpl fld="2" item="10"/>
          <tpl hier="10" item="3"/>
          <tpl hier="11" item="0"/>
          <tpl fld="0" item="0"/>
        </tpls>
      </n>
      <n v="-6838.75" in="0">
        <tpls c="5">
          <tpl fld="1" item="1"/>
          <tpl fld="2" item="15"/>
          <tpl hier="10" item="3"/>
          <tpl hier="11" item="0"/>
          <tpl fld="0" item="0"/>
        </tpls>
      </n>
      <n v="-1057" in="0">
        <tpls c="5">
          <tpl fld="1" item="2"/>
          <tpl fld="2" item="5"/>
          <tpl hier="10" item="3"/>
          <tpl hier="11" item="0"/>
          <tpl fld="0" item="0"/>
        </tpls>
      </n>
      <n v="-299259" in="0">
        <tpls c="5">
          <tpl fld="1" item="10"/>
          <tpl hier="9" item="4294967295"/>
          <tpl hier="10" item="3"/>
          <tpl hier="11" item="0"/>
          <tpl fld="0" item="0"/>
        </tpls>
      </n>
      <m in="0">
        <tpls c="5">
          <tpl fld="1" item="2"/>
          <tpl fld="2" item="5"/>
          <tpl hier="10" item="3"/>
          <tpl hier="11" item="0"/>
          <tpl fld="0" item="1"/>
        </tpls>
      </m>
      <n v="-2258" in="0">
        <tpls c="5">
          <tpl fld="1" item="8"/>
          <tpl fld="2" item="13"/>
          <tpl hier="10" item="3"/>
          <tpl hier="11" item="0"/>
          <tpl fld="0" item="1"/>
        </tpls>
      </n>
      <n v="-3692" in="0">
        <tpls c="5">
          <tpl fld="1" item="6"/>
          <tpl fld="2" item="15"/>
          <tpl hier="10" item="3"/>
          <tpl hier="11" item="0"/>
          <tpl fld="0" item="1"/>
        </tpls>
      </n>
      <n v="-2579" in="0">
        <tpls c="5">
          <tpl fld="1" item="7"/>
          <tpl fld="2" item="3"/>
          <tpl hier="10" item="3"/>
          <tpl hier="11" item="0"/>
          <tpl fld="0" item="1"/>
        </tpls>
      </n>
      <m in="0">
        <tpls c="5">
          <tpl fld="1" item="9"/>
          <tpl fld="2" item="14"/>
          <tpl hier="10" item="3"/>
          <tpl hier="11" item="0"/>
          <tpl fld="0" item="1"/>
        </tpls>
      </m>
      <m in="0">
        <tpls c="5">
          <tpl fld="1" item="7"/>
          <tpl fld="2" item="2"/>
          <tpl hier="10" item="3"/>
          <tpl hier="11" item="0"/>
          <tpl fld="0" item="0"/>
        </tpls>
      </m>
      <m in="0">
        <tpls c="4">
          <tpl fld="2" item="2"/>
          <tpl hier="10" item="3"/>
          <tpl hier="11" item="0"/>
          <tpl fld="0" item="1"/>
        </tpls>
      </m>
      <n v="-6818.5" in="0">
        <tpls c="5">
          <tpl fld="1" item="7"/>
          <tpl fld="2" item="15"/>
          <tpl hier="10" item="3"/>
          <tpl hier="11" item="0"/>
          <tpl fld="0" item="0"/>
        </tpls>
      </n>
      <n v="-275534.75" in="0">
        <tpls c="5">
          <tpl fld="1" item="0"/>
          <tpl fld="2" item="0"/>
          <tpl hier="10" item="3"/>
          <tpl hier="11" item="0"/>
          <tpl fld="0" item="0"/>
        </tpls>
      </n>
      <m in="0">
        <tpls c="5">
          <tpl fld="1" item="4"/>
          <tpl fld="2" item="7"/>
          <tpl hier="10" item="3"/>
          <tpl hier="11" item="0"/>
          <tpl fld="0" item="1"/>
        </tpls>
      </m>
      <n v="-2040" in="0">
        <tpls c="5">
          <tpl fld="1" item="0"/>
          <tpl fld="2" item="1"/>
          <tpl hier="10" item="3"/>
          <tpl hier="11" item="0"/>
          <tpl fld="0" item="1"/>
        </tpls>
      </n>
      <n v="-12153" in="0">
        <tpls c="5">
          <tpl fld="1" item="9"/>
          <tpl fld="2" item="6"/>
          <tpl hier="10" item="3"/>
          <tpl hier="11" item="0"/>
          <tpl fld="0" item="1"/>
        </tpls>
      </n>
      <n v="-2557" in="0">
        <tpls c="5">
          <tpl fld="1" item="10"/>
          <tpl fld="2" item="10"/>
          <tpl hier="10" item="3"/>
          <tpl hier="11" item="0"/>
          <tpl fld="0" item="1"/>
        </tpls>
      </n>
      <n v="-4824.75" in="0">
        <tpls c="5">
          <tpl fld="1" item="0"/>
          <tpl fld="2" item="1"/>
          <tpl hier="10" item="3"/>
          <tpl hier="11" item="0"/>
          <tpl fld="0" item="0"/>
        </tpls>
      </n>
      <n v="-4328.5" in="0">
        <tpls c="5">
          <tpl fld="1" item="1"/>
          <tpl fld="2" item="1"/>
          <tpl hier="10" item="3"/>
          <tpl hier="11" item="0"/>
          <tpl fld="0" item="0"/>
        </tpls>
      </n>
      <n v="-4713" in="0">
        <tpls c="5">
          <tpl fld="1" item="1"/>
          <tpl fld="2" item="12"/>
          <tpl hier="10" item="3"/>
          <tpl hier="11" item="0"/>
          <tpl fld="0" item="1"/>
        </tpls>
      </n>
      <n v="-249891.5" in="0">
        <tpls c="5">
          <tpl fld="1" item="7"/>
          <tpl fld="2" item="0"/>
          <tpl hier="10" item="3"/>
          <tpl hier="11" item="0"/>
          <tpl fld="0" item="0"/>
        </tpls>
      </n>
      <m in="0">
        <tpls c="5">
          <tpl fld="1" item="9"/>
          <tpl fld="2" item="4"/>
          <tpl hier="10" item="3"/>
          <tpl hier="11" item="0"/>
          <tpl fld="0" item="1"/>
        </tpls>
      </m>
      <n v="-1805" in="0">
        <tpls c="5">
          <tpl fld="1" item="3"/>
          <tpl fld="2" item="10"/>
          <tpl hier="10" item="3"/>
          <tpl hier="11" item="0"/>
          <tpl fld="0" item="1"/>
        </tpls>
      </n>
      <m in="0">
        <tpls c="5">
          <tpl fld="1" item="2"/>
          <tpl fld="2" item="4"/>
          <tpl hier="10" item="3"/>
          <tpl hier="11" item="0"/>
          <tpl fld="0" item="0"/>
        </tpls>
      </m>
      <n v="-274106.5" in="0">
        <tpls c="5">
          <tpl fld="1" item="1"/>
          <tpl hier="9" item="4294967295"/>
          <tpl hier="10" item="3"/>
          <tpl hier="11" item="0"/>
          <tpl fld="0" item="0"/>
        </tpls>
      </n>
      <m in="0">
        <tpls c="5">
          <tpl fld="1" item="11"/>
          <tpl fld="2" item="8"/>
          <tpl hier="10" item="3"/>
          <tpl hier="11" item="0"/>
          <tpl fld="0" item="1"/>
        </tpls>
      </m>
      <m in="0">
        <tpls c="5">
          <tpl fld="1" item="1"/>
          <tpl fld="2" item="6"/>
          <tpl hier="10" item="3"/>
          <tpl hier="11" item="0"/>
          <tpl fld="0" item="1"/>
        </tpls>
      </m>
      <m in="0">
        <tpls c="5">
          <tpl fld="1" item="0"/>
          <tpl fld="2" item="7"/>
          <tpl hier="10" item="3"/>
          <tpl hier="11" item="0"/>
          <tpl fld="0" item="1"/>
        </tpls>
      </m>
      <n v="-1165.5" in="0">
        <tpls c="5">
          <tpl fld="1" item="1"/>
          <tpl fld="2" item="5"/>
          <tpl hier="10" item="3"/>
          <tpl hier="11" item="0"/>
          <tpl fld="0" item="0"/>
        </tpls>
      </n>
      <m in="0">
        <tpls c="5">
          <tpl fld="1" item="0"/>
          <tpl fld="2" item="7"/>
          <tpl hier="10" item="3"/>
          <tpl hier="11" item="0"/>
          <tpl fld="0" item="0"/>
        </tpls>
      </m>
      <m in="0">
        <tpls c="5">
          <tpl fld="1" item="7"/>
          <tpl fld="2" item="2"/>
          <tpl hier="10" item="3"/>
          <tpl hier="11" item="0"/>
          <tpl fld="0" item="1"/>
        </tpls>
      </m>
      <n v="-90481" in="0">
        <tpls c="5">
          <tpl fld="1" item="8"/>
          <tpl hier="9" item="4294967295"/>
          <tpl hier="10" item="3"/>
          <tpl hier="11" item="0"/>
          <tpl fld="0" item="1"/>
        </tpls>
      </n>
      <m in="0">
        <tpls c="5">
          <tpl fld="1" item="1"/>
          <tpl fld="2" item="9"/>
          <tpl hier="10" item="3"/>
          <tpl hier="11" item="0"/>
          <tpl fld="0" item="0"/>
        </tpls>
      </m>
      <m in="0">
        <tpls c="5">
          <tpl fld="1" item="2"/>
          <tpl fld="2" item="7"/>
          <tpl hier="10" item="3"/>
          <tpl hier="11" item="0"/>
          <tpl fld="0" item="1"/>
        </tpls>
      </m>
      <m in="0">
        <tpls c="5">
          <tpl fld="1" item="8"/>
          <tpl fld="2" item="2"/>
          <tpl hier="10" item="3"/>
          <tpl hier="11" item="0"/>
          <tpl fld="0" item="0"/>
        </tpls>
      </m>
      <n v="-1269" in="0">
        <tpls c="5">
          <tpl fld="1" item="6"/>
          <tpl fld="2" item="5"/>
          <tpl hier="10" item="3"/>
          <tpl hier="11" item="0"/>
          <tpl fld="0" item="1"/>
        </tpls>
      </n>
      <m in="0">
        <tpls c="5">
          <tpl fld="1" item="8"/>
          <tpl fld="2" item="7"/>
          <tpl hier="10" item="3"/>
          <tpl hier="11" item="0"/>
          <tpl fld="0" item="0"/>
        </tpls>
      </m>
      <n v="-3982.75" in="0">
        <tpls c="5">
          <tpl fld="1" item="4"/>
          <tpl fld="2" item="12"/>
          <tpl hier="10" item="3"/>
          <tpl hier="11" item="0"/>
          <tpl fld="0" item="0"/>
        </tpls>
      </n>
      <m in="0">
        <tpls c="5">
          <tpl fld="1" item="7"/>
          <tpl fld="2" item="7"/>
          <tpl hier="10" item="3"/>
          <tpl hier="11" item="0"/>
          <tpl fld="0" item="0"/>
        </tpls>
      </m>
      <n v="-2040" in="0">
        <tpls c="5">
          <tpl fld="1" item="4"/>
          <tpl fld="2" item="1"/>
          <tpl hier="10" item="3"/>
          <tpl hier="11" item="0"/>
          <tpl fld="0" item="1"/>
        </tpls>
      </n>
      <n v="-425.75" in="0">
        <tpls c="5">
          <tpl fld="1" item="6"/>
          <tpl fld="2" item="11"/>
          <tpl hier="10" item="3"/>
          <tpl hier="11" item="0"/>
          <tpl fld="0" item="0"/>
        </tpls>
      </n>
      <n v="-3736.75" in="0">
        <tpls c="5">
          <tpl fld="1" item="2"/>
          <tpl fld="2" item="13"/>
          <tpl hier="10" item="3"/>
          <tpl hier="11" item="0"/>
          <tpl fld="0" item="0"/>
        </tpls>
      </n>
      <n v="-1266.5" in="0">
        <tpls c="5">
          <tpl fld="1" item="4"/>
          <tpl fld="2" item="5"/>
          <tpl hier="10" item="3"/>
          <tpl hier="11" item="0"/>
          <tpl fld="0" item="0"/>
        </tpls>
      </n>
      <m in="0">
        <tpls c="5">
          <tpl fld="1" item="10"/>
          <tpl fld="2" item="14"/>
          <tpl hier="10" item="3"/>
          <tpl hier="11" item="0"/>
          <tpl fld="0" item="1"/>
        </tpls>
      </m>
      <n v="-122257" in="0">
        <tpls c="4">
          <tpl fld="2" item="6"/>
          <tpl hier="10" item="3"/>
          <tpl hier="11" item="0"/>
          <tpl fld="0" item="1"/>
        </tpls>
      </n>
      <n v="-327590" in="0">
        <tpls c="5">
          <tpl fld="1" item="6"/>
          <tpl hier="9" item="4294967295"/>
          <tpl hier="10" item="3"/>
          <tpl hier="11" item="0"/>
          <tpl fld="0" item="1"/>
        </tpls>
      </n>
      <n v="-6698" in="0">
        <tpls c="5">
          <tpl fld="1" item="11"/>
          <tpl fld="2" item="15"/>
          <tpl hier="10" item="3"/>
          <tpl hier="11" item="0"/>
          <tpl fld="0" item="0"/>
        </tpls>
      </n>
      <n v="-1129" in="0">
        <tpls c="5">
          <tpl fld="1" item="0"/>
          <tpl fld="2" item="10"/>
          <tpl hier="10" item="3"/>
          <tpl hier="11" item="0"/>
          <tpl fld="0" item="1"/>
        </tpls>
      </n>
      <n v="-4809" in="0">
        <tpls c="5">
          <tpl fld="1" item="7"/>
          <tpl fld="2" item="1"/>
          <tpl hier="10" item="3"/>
          <tpl hier="11" item="0"/>
          <tpl fld="0" item="0"/>
        </tpls>
      </n>
      <m in="0">
        <tpls c="5">
          <tpl fld="1" item="4"/>
          <tpl fld="2" item="3"/>
          <tpl hier="10" item="3"/>
          <tpl hier="11" item="0"/>
          <tpl fld="0" item="1"/>
        </tpls>
      </m>
      <m in="0">
        <tpls c="5">
          <tpl fld="1" item="6"/>
          <tpl fld="2" item="7"/>
          <tpl hier="10" item="3"/>
          <tpl hier="11" item="0"/>
          <tpl fld="0" item="0"/>
        </tpls>
      </m>
      <n v="-4665.25" in="0">
        <tpls c="5">
          <tpl fld="1" item="1"/>
          <tpl fld="2" item="13"/>
          <tpl hier="10" item="3"/>
          <tpl hier="11" item="0"/>
          <tpl fld="0" item="0"/>
        </tpls>
      </n>
      <m in="0">
        <tpls c="5">
          <tpl fld="1" item="4"/>
          <tpl fld="2" item="14"/>
          <tpl hier="10" item="3"/>
          <tpl hier="11" item="0"/>
          <tpl fld="0" item="1"/>
        </tpls>
      </m>
      <n v="-2875664" in="0">
        <tpls c="4">
          <tpl hier="9" item="4294967295"/>
          <tpl hier="10" item="3"/>
          <tpl hier="11" item="0"/>
          <tpl fld="0" item="1"/>
        </tpls>
      </n>
      <n v="-324" in="0">
        <tpls c="5">
          <tpl fld="1" item="0"/>
          <tpl fld="2" item="11"/>
          <tpl hier="10" item="3"/>
          <tpl hier="11" item="0"/>
          <tpl fld="0" item="1"/>
        </tpls>
      </n>
      <m in="0">
        <tpls c="5">
          <tpl fld="1" item="2"/>
          <tpl fld="2" item="7"/>
          <tpl hier="10" item="3"/>
          <tpl hier="11" item="0"/>
          <tpl fld="0" item="0"/>
        </tpls>
      </m>
      <n v="-1172" in="0">
        <tpls c="5">
          <tpl fld="1" item="4"/>
          <tpl fld="2" item="10"/>
          <tpl hier="10" item="3"/>
          <tpl hier="11" item="0"/>
          <tpl fld="0" item="1"/>
        </tpls>
      </n>
      <n v="-4611" in="0">
        <tpls c="5">
          <tpl fld="1" item="11"/>
          <tpl fld="2" item="12"/>
          <tpl hier="10" item="3"/>
          <tpl hier="11" item="0"/>
          <tpl fld="0" item="1"/>
        </tpls>
      </n>
      <m in="0">
        <tpls c="5">
          <tpl fld="1" item="6"/>
          <tpl fld="2" item="7"/>
          <tpl hier="10" item="3"/>
          <tpl hier="11" item="0"/>
          <tpl fld="0" item="1"/>
        </tpls>
      </m>
      <n v="-5220" in="0">
        <tpls c="4">
          <tpl fld="2" item="11"/>
          <tpl hier="10" item="3"/>
          <tpl hier="11" item="0"/>
          <tpl fld="0" item="1"/>
        </tpls>
      </n>
      <n v="-11086.25" in="0">
        <tpls c="5">
          <tpl fld="1" item="4"/>
          <tpl fld="2" item="10"/>
          <tpl hier="10" item="3"/>
          <tpl hier="11" item="0"/>
          <tpl fld="0" item="0"/>
        </tpls>
      </n>
      <m in="0">
        <tpls c="4">
          <tpl fld="2" item="2"/>
          <tpl hier="10" item="3"/>
          <tpl hier="11" item="0"/>
          <tpl fld="0" item="0"/>
        </tpls>
      </m>
      <m in="0">
        <tpls c="5">
          <tpl fld="1" item="7"/>
          <tpl fld="2" item="14"/>
          <tpl hier="10" item="3"/>
          <tpl hier="11" item="0"/>
          <tpl fld="0" item="0"/>
        </tpls>
      </m>
      <m in="0">
        <tpls c="4">
          <tpl fld="2" item="7"/>
          <tpl hier="10" item="3"/>
          <tpl hier="11" item="0"/>
          <tpl fld="0" item="0"/>
        </tpls>
      </m>
      <n v="-5784.25" in="0">
        <tpls c="5">
          <tpl fld="1" item="5"/>
          <tpl fld="2" item="13"/>
          <tpl hier="10" item="3"/>
          <tpl hier="11" item="0"/>
          <tpl fld="0" item="0"/>
        </tpls>
      </n>
      <n v="-24640" in="0">
        <tpls c="4">
          <tpl fld="2" item="1"/>
          <tpl hier="10" item="3"/>
          <tpl hier="11" item="0"/>
          <tpl fld="0" item="1"/>
        </tpls>
      </n>
      <n v="-5891" in="0">
        <tpls c="5">
          <tpl fld="1" item="0"/>
          <tpl fld="2" item="12"/>
          <tpl hier="10" item="3"/>
          <tpl hier="11" item="0"/>
          <tpl fld="0" item="1"/>
        </tpls>
      </n>
      <m in="0">
        <tpls c="5">
          <tpl fld="1" item="2"/>
          <tpl fld="2" item="8"/>
          <tpl hier="10" item="3"/>
          <tpl hier="11" item="0"/>
          <tpl fld="0" item="1"/>
        </tpls>
      </m>
      <n v="-442644" in="0">
        <tpls c="5">
          <tpl fld="1" item="7"/>
          <tpl fld="2" item="0"/>
          <tpl hier="10" item="3"/>
          <tpl hier="11" item="0"/>
          <tpl fld="0" item="1"/>
        </tpls>
      </n>
      <m in="0">
        <tpls c="4">
          <tpl fld="2" item="7"/>
          <tpl hier="10" item="3"/>
          <tpl hier="11" item="0"/>
          <tpl fld="0" item="1"/>
        </tpls>
      </m>
      <n v="-7203" in="0">
        <tpls c="5">
          <tpl fld="1" item="5"/>
          <tpl fld="2" item="13"/>
          <tpl hier="10" item="3"/>
          <tpl hier="11" item="0"/>
          <tpl fld="0" item="1"/>
        </tpls>
      </n>
      <n v="-209684" in="0">
        <tpls c="4">
          <tpl fld="2" item="6"/>
          <tpl hier="10" item="3"/>
          <tpl hier="11" item="0"/>
          <tpl fld="0" item="0"/>
        </tpls>
      </n>
      <n v="-464.75" in="0">
        <tpls c="5">
          <tpl fld="1" item="11"/>
          <tpl fld="2" item="11"/>
          <tpl hier="10" item="3"/>
          <tpl hier="11" item="0"/>
          <tpl fld="0" item="0"/>
        </tpls>
      </n>
      <n v="-1412" in="0">
        <tpls c="5">
          <tpl fld="1" item="11"/>
          <tpl fld="2" item="3"/>
          <tpl hier="10" item="3"/>
          <tpl hier="11" item="0"/>
          <tpl fld="0" item="1"/>
        </tpls>
      </n>
      <n v="-151231.75" in="0">
        <tpls c="4">
          <tpl fld="2" item="10"/>
          <tpl hier="10" item="3"/>
          <tpl hier="11" item="0"/>
          <tpl fld="0" item="0"/>
        </tpls>
      </n>
      <m in="0">
        <tpls c="5">
          <tpl fld="1" item="11"/>
          <tpl fld="2" item="9"/>
          <tpl hier="10" item="3"/>
          <tpl hier="11" item="0"/>
          <tpl fld="0" item="0"/>
        </tpls>
      </m>
      <n v="-2994082" in="0">
        <tpls c="4">
          <tpl fld="2" item="0"/>
          <tpl hier="10" item="3"/>
          <tpl hier="11" item="0"/>
          <tpl fld="0" item="0"/>
        </tpls>
      </n>
      <n v="-2080" in="0">
        <tpls c="5">
          <tpl fld="1" item="8"/>
          <tpl fld="2" item="1"/>
          <tpl hier="10" item="3"/>
          <tpl hier="11" item="0"/>
          <tpl fld="0" item="1"/>
        </tpls>
      </n>
      <n v="-10386" in="0">
        <tpls c="4">
          <tpl fld="2" item="5"/>
          <tpl hier="10" item="3"/>
          <tpl hier="11" item="0"/>
          <tpl fld="0" item="1"/>
        </tpls>
      </n>
      <n v="-23856" in="0">
        <tpls c="4">
          <tpl fld="2" item="10"/>
          <tpl hier="10" item="3"/>
          <tpl hier="11" item="0"/>
          <tpl fld="0" item="1"/>
        </tpls>
      </n>
      <n v="-1324" in="0">
        <tpls c="5">
          <tpl fld="1" item="11"/>
          <tpl fld="2" item="5"/>
          <tpl hier="10" item="3"/>
          <tpl hier="11" item="0"/>
          <tpl fld="0" item="0"/>
        </tpls>
      </n>
      <n v="-27111.25" in="0">
        <tpls c="4">
          <tpl fld="2" item="3"/>
          <tpl hier="10" item="3"/>
          <tpl hier="11" item="0"/>
          <tpl fld="0" item="0"/>
        </tpls>
      </n>
      <m in="0">
        <tpls c="5">
          <tpl fld="1" item="8"/>
          <tpl fld="2" item="4"/>
          <tpl hier="10" item="3"/>
          <tpl hier="11" item="0"/>
          <tpl fld="0" item="1"/>
        </tpls>
      </m>
      <n v="-15642.5" in="0">
        <tpls c="5">
          <tpl fld="1" item="11"/>
          <tpl fld="2" item="10"/>
          <tpl hier="10" item="3"/>
          <tpl hier="11" item="0"/>
          <tpl fld="0" item="0"/>
        </tpls>
      </n>
      <n v="-179648" in="0">
        <tpls c="5">
          <tpl fld="1" item="9"/>
          <tpl hier="9" item="4294967295"/>
          <tpl hier="10" item="3"/>
          <tpl hier="11" item="0"/>
          <tpl fld="0" item="1"/>
        </tpls>
      </n>
      <n v="-2043.25" in="0">
        <tpls c="5">
          <tpl fld="1" item="3"/>
          <tpl fld="2" item="3"/>
          <tpl hier="10" item="3"/>
          <tpl hier="11" item="0"/>
          <tpl fld="0" item="0"/>
        </tpls>
      </n>
      <m in="0">
        <tpls c="5">
          <tpl fld="1" item="9"/>
          <tpl fld="2" item="2"/>
          <tpl hier="10" item="3"/>
          <tpl hier="11" item="0"/>
          <tpl fld="0" item="0"/>
        </tpls>
      </m>
      <m in="0">
        <tpls c="5">
          <tpl fld="1" item="11"/>
          <tpl fld="2" item="2"/>
          <tpl hier="10" item="3"/>
          <tpl hier="11" item="0"/>
          <tpl fld="0" item="0"/>
        </tpls>
      </m>
      <n v="-553.25" in="0">
        <tpls c="5">
          <tpl fld="1" item="10"/>
          <tpl fld="2" item="11"/>
          <tpl hier="10" item="3"/>
          <tpl hier="11" item="0"/>
          <tpl fld="0" item="0"/>
        </tpls>
      </n>
      <n v="-3010" in="0">
        <tpls c="5">
          <tpl fld="1" item="1"/>
          <tpl fld="2" item="3"/>
          <tpl hier="10" item="3"/>
          <tpl hier="11" item="0"/>
          <tpl fld="0" item="1"/>
        </tpls>
      </n>
      <n v="-2484" in="0">
        <tpls c="5">
          <tpl fld="1" item="2"/>
          <tpl fld="2" item="12"/>
          <tpl hier="10" item="3"/>
          <tpl hier="11" item="0"/>
          <tpl fld="0" item="1"/>
        </tpls>
      </n>
      <m in="0">
        <tpls c="4">
          <tpl fld="2" item="4"/>
          <tpl hier="10" item="3"/>
          <tpl hier="11" item="0"/>
          <tpl fld="0" item="0"/>
        </tpls>
      </m>
      <m in="0">
        <tpls c="5">
          <tpl fld="1" item="5"/>
          <tpl fld="2" item="8"/>
          <tpl hier="10" item="3"/>
          <tpl hier="11" item="0"/>
          <tpl fld="0" item="0"/>
        </tpls>
      </m>
      <n v="-5973.5" in="0">
        <tpls c="5">
          <tpl fld="1" item="1"/>
          <tpl fld="2" item="12"/>
          <tpl hier="10" item="3"/>
          <tpl hier="11" item="0"/>
          <tpl fld="0" item="0"/>
        </tpls>
      </n>
      <n v="-188187" in="0">
        <tpls c="5">
          <tpl fld="1" item="2"/>
          <tpl hier="9" item="4294967295"/>
          <tpl hier="10" item="3"/>
          <tpl hier="11" item="0"/>
          <tpl fld="0" item="1"/>
        </tpls>
      </n>
      <n v="-6340.25" in="0">
        <tpls c="5">
          <tpl fld="1" item="0"/>
          <tpl fld="2" item="15"/>
          <tpl hier="10" item="3"/>
          <tpl hier="11" item="0"/>
          <tpl fld="0" item="0"/>
        </tpls>
      </n>
      <m in="0">
        <tpls c="5">
          <tpl fld="1" item="10"/>
          <tpl fld="2" item="8"/>
          <tpl hier="10" item="3"/>
          <tpl hier="11" item="0"/>
          <tpl fld="0" item="1"/>
        </tpls>
      </m>
      <n v="-543.75" in="0">
        <tpls c="5">
          <tpl fld="1" item="4"/>
          <tpl fld="2" item="11"/>
          <tpl hier="10" item="3"/>
          <tpl hier="11" item="0"/>
          <tpl fld="0" item="0"/>
        </tpls>
      </n>
      <n v="-5013.5" in="0">
        <tpls c="5">
          <tpl fld="1" item="11"/>
          <tpl fld="2" item="12"/>
          <tpl hier="10" item="3"/>
          <tpl hier="11" item="0"/>
          <tpl fld="0" item="0"/>
        </tpls>
      </n>
      <n v="-5154.25" in="0">
        <tpls c="5">
          <tpl fld="1" item="5"/>
          <tpl fld="2" item="12"/>
          <tpl hier="10" item="3"/>
          <tpl hier="11" item="0"/>
          <tpl fld="0" item="0"/>
        </tpls>
      </n>
      <n v="-1358" in="0">
        <tpls c="5">
          <tpl fld="1" item="2"/>
          <tpl fld="2" item="15"/>
          <tpl hier="10" item="3"/>
          <tpl hier="11" item="0"/>
          <tpl fld="0" item="1"/>
        </tpls>
      </n>
      <n v="-16294" in="0">
        <tpls c="5">
          <tpl fld="1" item="6"/>
          <tpl fld="2" item="6"/>
          <tpl hier="10" item="3"/>
          <tpl hier="11" item="0"/>
          <tpl fld="0" item="0"/>
        </tpls>
      </n>
      <n v="-4074" in="0">
        <tpls c="5">
          <tpl fld="1" item="8"/>
          <tpl fld="2" item="1"/>
          <tpl hier="10" item="3"/>
          <tpl hier="11" item="0"/>
          <tpl fld="0" item="0"/>
        </tpls>
      </n>
      <m in="0">
        <tpls c="5">
          <tpl fld="1" item="9"/>
          <tpl fld="2" item="9"/>
          <tpl hier="10" item="3"/>
          <tpl hier="11" item="0"/>
          <tpl fld="0" item="0"/>
        </tpls>
      </m>
      <n v="-5198.5" in="0">
        <tpls c="5">
          <tpl fld="1" item="9"/>
          <tpl fld="2" item="15"/>
          <tpl hier="10" item="3"/>
          <tpl hier="11" item="0"/>
          <tpl fld="0" item="0"/>
        </tpls>
      </n>
      <n v="-164" in="0">
        <tpls c="5">
          <tpl fld="1" item="2"/>
          <tpl fld="2" item="11"/>
          <tpl hier="10" item="3"/>
          <tpl hier="11" item="0"/>
          <tpl fld="0" item="1"/>
        </tpls>
      </n>
      <m in="0">
        <tpls c="5">
          <tpl fld="1" item="4"/>
          <tpl fld="2" item="14"/>
          <tpl hier="10" item="3"/>
          <tpl hier="11" item="0"/>
          <tpl fld="0" item="0"/>
        </tpls>
      </m>
      <n v="-288059" in="0">
        <tpls c="5">
          <tpl fld="1" item="2"/>
          <tpl fld="2" item="0"/>
          <tpl hier="10" item="3"/>
          <tpl hier="11" item="0"/>
          <tpl fld="0" item="0"/>
        </tpls>
      </n>
      <n v="-2020" in="0">
        <tpls c="5">
          <tpl fld="1" item="11"/>
          <tpl fld="2" item="1"/>
          <tpl hier="10" item="3"/>
          <tpl hier="11" item="0"/>
          <tpl fld="0" item="1"/>
        </tpls>
      </n>
      <n v="-254768.25" in="0">
        <tpls c="5">
          <tpl fld="1" item="5"/>
          <tpl fld="2" item="0"/>
          <tpl hier="10" item="3"/>
          <tpl hier="11" item="0"/>
          <tpl fld="0" item="0"/>
        </tpls>
      </n>
      <m in="0">
        <tpls c="5">
          <tpl fld="1" item="11"/>
          <tpl fld="2" item="9"/>
          <tpl hier="10" item="3"/>
          <tpl hier="11" item="0"/>
          <tpl fld="0" item="1"/>
        </tpls>
      </m>
      <m in="0">
        <tpls c="5">
          <tpl fld="1" item="6"/>
          <tpl fld="2" item="4"/>
          <tpl hier="10" item="3"/>
          <tpl hier="11" item="0"/>
          <tpl fld="0" item="0"/>
        </tpls>
      </m>
      <m in="0">
        <tpls c="5">
          <tpl fld="1" item="4"/>
          <tpl fld="2" item="4"/>
          <tpl hier="10" item="3"/>
          <tpl hier="11" item="0"/>
          <tpl fld="0" item="1"/>
        </tpls>
      </m>
      <n v="-4592" in="0">
        <tpls c="5">
          <tpl fld="1" item="3"/>
          <tpl fld="2" item="12"/>
          <tpl hier="10" item="3"/>
          <tpl hier="11" item="0"/>
          <tpl fld="0" item="0"/>
        </tpls>
      </n>
      <n v="-504.5" in="0">
        <tpls c="5">
          <tpl fld="1" item="2"/>
          <tpl fld="2" item="11"/>
          <tpl hier="10" item="3"/>
          <tpl hier="11" item="0"/>
          <tpl fld="0" item="0"/>
        </tpls>
      </n>
      <m in="0">
        <tpls c="5">
          <tpl fld="1" item="5"/>
          <tpl fld="2" item="8"/>
          <tpl hier="10" item="3"/>
          <tpl hier="11" item="0"/>
          <tpl fld="0" item="1"/>
        </tpls>
      </m>
      <n v="-1362.5" in="0">
        <tpls c="5">
          <tpl fld="1" item="7"/>
          <tpl fld="2" item="5"/>
          <tpl hier="10" item="3"/>
          <tpl hier="11" item="0"/>
          <tpl fld="0" item="0"/>
        </tpls>
      </n>
      <m in="0">
        <tpls c="5">
          <tpl fld="1" item="7"/>
          <tpl fld="2" item="7"/>
          <tpl hier="10" item="3"/>
          <tpl hier="11" item="0"/>
          <tpl fld="0" item="1"/>
        </tpls>
      </m>
      <n v="-8974.5" in="0">
        <tpls c="5">
          <tpl fld="1" item="2"/>
          <tpl fld="2" item="10"/>
          <tpl hier="10" item="3"/>
          <tpl hier="11" item="0"/>
          <tpl fld="0" item="0"/>
        </tpls>
      </n>
      <n v="-291" in="0">
        <tpls c="5">
          <tpl fld="1" item="6"/>
          <tpl fld="2" item="11"/>
          <tpl hier="10" item="3"/>
          <tpl hier="11" item="0"/>
          <tpl fld="0" item="1"/>
        </tpls>
      </n>
      <n v="-8723" in="0">
        <tpls c="5">
          <tpl fld="1" item="2"/>
          <tpl fld="2" item="13"/>
          <tpl hier="10" item="3"/>
          <tpl hier="11" item="0"/>
          <tpl fld="0" item="1"/>
        </tpls>
      </n>
      <m in="0">
        <tpls c="5">
          <tpl fld="1" item="4"/>
          <tpl fld="2" item="4"/>
          <tpl hier="10" item="3"/>
          <tpl hier="11" item="0"/>
          <tpl fld="0" item="0"/>
        </tpls>
      </m>
      <m in="0">
        <tpls c="5">
          <tpl fld="1" item="7"/>
          <tpl fld="2" item="14"/>
          <tpl hier="10" item="3"/>
          <tpl hier="11" item="0"/>
          <tpl fld="0" item="1"/>
        </tpls>
      </m>
      <m in="0">
        <tpls c="4">
          <tpl fld="2" item="8"/>
          <tpl hier="10" item="3"/>
          <tpl hier="11" item="0"/>
          <tpl fld="0" item="1"/>
        </tpls>
      </m>
      <n v="-3645893" in="0">
        <tpls c="4">
          <tpl hier="9" item="4294967295"/>
          <tpl hier="10" item="3"/>
          <tpl hier="11" item="0"/>
          <tpl fld="0" item="0"/>
        </tpls>
      </n>
      <n v="-5014.5" in="0">
        <tpls c="5">
          <tpl fld="1" item="10"/>
          <tpl fld="2" item="15"/>
          <tpl hier="10" item="3"/>
          <tpl hier="11" item="0"/>
          <tpl fld="0" item="0"/>
        </tpls>
      </n>
      <n v="-12320.5" in="0">
        <tpls c="5">
          <tpl fld="1" item="0"/>
          <tpl fld="2" item="10"/>
          <tpl hier="10" item="3"/>
          <tpl hier="11" item="0"/>
          <tpl fld="0" item="0"/>
        </tpls>
      </n>
      <m in="0">
        <tpls c="5">
          <tpl fld="1" item="2"/>
          <tpl fld="2" item="2"/>
          <tpl hier="10" item="3"/>
          <tpl hier="11" item="0"/>
          <tpl fld="0" item="0"/>
        </tpls>
      </m>
      <n v="-3849.75" in="0">
        <tpls c="5">
          <tpl fld="1" item="4"/>
          <tpl fld="2" item="13"/>
          <tpl hier="10" item="3"/>
          <tpl hier="11" item="0"/>
          <tpl fld="0" item="0"/>
        </tpls>
      </n>
      <n v="-2646" in="0">
        <tpls c="5">
          <tpl fld="1" item="1"/>
          <tpl fld="2" item="10"/>
          <tpl hier="10" item="3"/>
          <tpl hier="11" item="0"/>
          <tpl fld="0" item="1"/>
        </tpls>
      </n>
      <n v="-6102.5" in="0">
        <tpls c="4">
          <tpl fld="2" item="11"/>
          <tpl hier="10" item="3"/>
          <tpl hier="11" item="0"/>
          <tpl fld="0" item="0"/>
        </tpls>
      </n>
      <m in="0">
        <tpls c="5">
          <tpl fld="1" item="4"/>
          <tpl fld="2" item="9"/>
          <tpl hier="10" item="3"/>
          <tpl hier="11" item="0"/>
          <tpl fld="0" item="0"/>
        </tpls>
      </m>
      <n v="-19241" in="0">
        <tpls c="4">
          <tpl fld="2" item="3"/>
          <tpl hier="10" item="3"/>
          <tpl hier="11" item="0"/>
          <tpl fld="0" item="1"/>
        </tpls>
      </n>
      <n v="-3281" in="0">
        <tpls c="5">
          <tpl fld="1" item="10"/>
          <tpl fld="2" item="15"/>
          <tpl hier="10" item="3"/>
          <tpl hier="11" item="0"/>
          <tpl fld="0" item="1"/>
        </tpls>
      </n>
      <m in="0">
        <tpls c="5">
          <tpl fld="1" item="1"/>
          <tpl fld="2" item="8"/>
          <tpl hier="10" item="3"/>
          <tpl hier="11" item="0"/>
          <tpl fld="0" item="1"/>
        </tpls>
      </m>
      <n v="-2966" in="0">
        <tpls c="5">
          <tpl fld="1" item="6"/>
          <tpl fld="2" item="3"/>
          <tpl hier="10" item="3"/>
          <tpl hier="11" item="0"/>
          <tpl fld="0" item="1"/>
        </tpls>
      </n>
      <n v="-210" in="0">
        <tpls c="5">
          <tpl fld="1" item="8"/>
          <tpl fld="2" item="5"/>
          <tpl hier="10" item="3"/>
          <tpl hier="11" item="0"/>
          <tpl fld="0" item="1"/>
        </tpls>
      </n>
      <n v="-3489" in="0">
        <tpls c="5">
          <tpl fld="1" item="5"/>
          <tpl fld="2" item="10"/>
          <tpl hier="10" item="3"/>
          <tpl hier="11" item="0"/>
          <tpl fld="0" item="1"/>
        </tpls>
      </n>
      <n v="-805" in="0">
        <tpls c="5">
          <tpl fld="1" item="1"/>
          <tpl fld="2" item="13"/>
          <tpl hier="10" item="3"/>
          <tpl hier="11" item="0"/>
          <tpl fld="0" item="1"/>
        </tpls>
      </n>
      <m in="0">
        <tpls c="5">
          <tpl fld="1" item="9"/>
          <tpl fld="2" item="14"/>
          <tpl hier="10" item="3"/>
          <tpl hier="11" item="0"/>
          <tpl fld="0" item="0"/>
        </tpls>
      </m>
      <n v="-555" in="0">
        <tpls c="5">
          <tpl fld="1" item="0"/>
          <tpl fld="2" item="11"/>
          <tpl hier="10" item="3"/>
          <tpl hier="11" item="0"/>
          <tpl fld="0" item="0"/>
        </tpls>
      </n>
      <n v="-572" in="0">
        <tpls c="5">
          <tpl fld="1" item="7"/>
          <tpl fld="2" item="11"/>
          <tpl hier="10" item="3"/>
          <tpl hier="11" item="0"/>
          <tpl fld="0" item="1"/>
        </tpls>
      </n>
      <n v="-1432" in="0">
        <tpls c="5">
          <tpl fld="1" item="6"/>
          <tpl fld="2" item="13"/>
          <tpl hier="10" item="3"/>
          <tpl hier="11" item="0"/>
          <tpl fld="0" item="1"/>
        </tpls>
      </n>
      <n v="-10624" in="0">
        <tpls c="5">
          <tpl fld="1" item="6"/>
          <tpl fld="2" item="10"/>
          <tpl hier="10" item="3"/>
          <tpl hier="11" item="0"/>
          <tpl fld="0" item="0"/>
        </tpls>
      </n>
      <n v="-285554.25" in="0">
        <tpls c="5">
          <tpl fld="1" item="4"/>
          <tpl fld="2" item="0"/>
          <tpl hier="10" item="3"/>
          <tpl hier="11" item="0"/>
          <tpl fld="0" item="0"/>
        </tpls>
      </n>
      <n v="-60000.25" in="0">
        <tpls c="4">
          <tpl fld="2" item="13"/>
          <tpl hier="10" item="3"/>
          <tpl hier="11" item="0"/>
          <tpl fld="0" item="0"/>
        </tpls>
      </n>
      <m in="0">
        <tpls c="5">
          <tpl fld="1" item="3"/>
          <tpl fld="2" item="2"/>
          <tpl hier="10" item="3"/>
          <tpl hier="11" item="0"/>
          <tpl fld="0" item="1"/>
        </tpls>
      </m>
      <n v="-247992" in="0">
        <tpls c="5">
          <tpl fld="1" item="1"/>
          <tpl fld="2" item="0"/>
          <tpl hier="10" item="3"/>
          <tpl hier="11" item="0"/>
          <tpl fld="0" item="1"/>
        </tpls>
      </n>
      <n v="-2034" in="0">
        <tpls c="5">
          <tpl fld="1" item="6"/>
          <tpl fld="2" item="10"/>
          <tpl hier="10" item="3"/>
          <tpl hier="11" item="0"/>
          <tpl fld="0" item="1"/>
        </tpls>
      </n>
      <n v="-3837.75" in="0">
        <tpls c="5">
          <tpl fld="1" item="4"/>
          <tpl fld="2" item="1"/>
          <tpl hier="10" item="3"/>
          <tpl hier="11" item="0"/>
          <tpl fld="0" item="0"/>
        </tpls>
      </n>
      <m in="0">
        <tpls c="5">
          <tpl fld="1" item="3"/>
          <tpl fld="2" item="7"/>
          <tpl hier="10" item="3"/>
          <tpl hier="11" item="0"/>
          <tpl fld="0" item="1"/>
        </tpls>
      </m>
      <m in="0">
        <tpls c="5">
          <tpl fld="1" item="8"/>
          <tpl fld="2" item="8"/>
          <tpl hier="10" item="3"/>
          <tpl hier="11" item="0"/>
          <tpl fld="0" item="0"/>
        </tpls>
      </m>
      <n v="-6935.75" in="0">
        <tpls c="5">
          <tpl fld="1" item="9"/>
          <tpl fld="2" item="13"/>
          <tpl hier="10" item="3"/>
          <tpl hier="11" item="0"/>
          <tpl fld="0" item="0"/>
        </tpls>
      </n>
      <n v="-340016.25" in="0">
        <tpls c="5">
          <tpl fld="1" item="2"/>
          <tpl hier="9" item="4294967295"/>
          <tpl hier="10" item="3"/>
          <tpl hier="11" item="0"/>
          <tpl fld="0" item="0"/>
        </tpls>
      </n>
      <n v="-8182" in="0">
        <tpls c="5">
          <tpl fld="1" item="0"/>
          <tpl fld="2" item="13"/>
          <tpl hier="10" item="3"/>
          <tpl hier="11" item="0"/>
          <tpl fld="0" item="1"/>
        </tpls>
      </n>
      <n v="-1161" in="0">
        <tpls c="5">
          <tpl fld="1" item="1"/>
          <tpl fld="2" item="5"/>
          <tpl hier="10" item="3"/>
          <tpl hier="11" item="0"/>
          <tpl fld="0" item="1"/>
        </tpls>
      </n>
      <m in="0">
        <tpls c="5">
          <tpl fld="1" item="4"/>
          <tpl fld="2" item="2"/>
          <tpl hier="10" item="3"/>
          <tpl hier="11" item="0"/>
          <tpl fld="0" item="0"/>
        </tpls>
      </m>
      <n v="-2902" in="0">
        <tpls c="5">
          <tpl fld="1" item="9"/>
          <tpl fld="2" item="13"/>
          <tpl hier="10" item="3"/>
          <tpl hier="11" item="0"/>
          <tpl fld="0" item="1"/>
        </tpls>
      </n>
      <n v="-181106" in="0">
        <tpls c="5">
          <tpl fld="1" item="0"/>
          <tpl hier="9" item="4294967295"/>
          <tpl hier="10" item="3"/>
          <tpl hier="11" item="0"/>
          <tpl fld="0" item="1"/>
        </tpls>
      </n>
      <n v="-17935.75" in="0">
        <tpls c="5">
          <tpl fld="1" item="4"/>
          <tpl fld="2" item="6"/>
          <tpl hier="10" item="3"/>
          <tpl hier="11" item="0"/>
          <tpl fld="0" item="0"/>
        </tpls>
      </n>
      <m in="0">
        <tpls c="5">
          <tpl fld="1" item="4"/>
          <tpl fld="2" item="2"/>
          <tpl hier="10" item="3"/>
          <tpl hier="11" item="0"/>
          <tpl fld="0" item="1"/>
        </tpls>
      </m>
      <n v="-930" in="0">
        <tpls c="5">
          <tpl fld="1" item="4"/>
          <tpl fld="2" item="12"/>
          <tpl hier="10" item="3"/>
          <tpl hier="11" item="0"/>
          <tpl fld="0" item="1"/>
        </tpls>
      </n>
      <m in="0">
        <tpls c="5">
          <tpl fld="1" item="6"/>
          <tpl fld="2" item="14"/>
          <tpl hier="10" item="3"/>
          <tpl hier="11" item="0"/>
          <tpl fld="0" item="0"/>
        </tpls>
      </m>
      <m in="0">
        <tpls c="5">
          <tpl fld="1" item="7"/>
          <tpl fld="2" item="8"/>
          <tpl hier="10" item="3"/>
          <tpl hier="11" item="0"/>
          <tpl fld="0" item="1"/>
        </tpls>
      </m>
      <m in="0">
        <tpls c="5">
          <tpl fld="1" item="6"/>
          <tpl fld="2" item="14"/>
          <tpl hier="10" item="3"/>
          <tpl hier="11" item="0"/>
          <tpl fld="0" item="1"/>
        </tpls>
      </m>
      <m in="0">
        <tpls c="5">
          <tpl fld="1" item="11"/>
          <tpl fld="2" item="7"/>
          <tpl hier="10" item="3"/>
          <tpl hier="11" item="0"/>
          <tpl fld="0" item="1"/>
        </tpls>
      </m>
      <m in="0">
        <tpls c="5">
          <tpl fld="1" item="6"/>
          <tpl fld="2" item="8"/>
          <tpl hier="10" item="3"/>
          <tpl hier="11" item="0"/>
          <tpl fld="0" item="0"/>
        </tpls>
      </m>
      <n v="-3963" in="0">
        <tpls c="5">
          <tpl fld="1" item="10"/>
          <tpl fld="2" item="13"/>
          <tpl hier="10" item="3"/>
          <tpl hier="11" item="0"/>
          <tpl fld="0" item="0"/>
        </tpls>
      </n>
      <n v="-541" in="0">
        <tpls c="5">
          <tpl fld="1" item="0"/>
          <tpl fld="2" item="15"/>
          <tpl hier="10" item="3"/>
          <tpl hier="11" item="0"/>
          <tpl fld="0" item="1"/>
        </tpls>
      </n>
      <n v="-307842" in="0">
        <tpls c="5">
          <tpl fld="1" item="6"/>
          <tpl fld="2" item="0"/>
          <tpl hier="10" item="3"/>
          <tpl hier="11" item="0"/>
          <tpl fld="0" item="1"/>
        </tpls>
      </n>
      <n v="-2169" in="0">
        <tpls c="5">
          <tpl fld="1" item="5"/>
          <tpl fld="2" item="3"/>
          <tpl hier="10" item="3"/>
          <tpl hier="11" item="0"/>
          <tpl fld="0" item="0"/>
        </tpls>
      </n>
      <m in="0">
        <tpls c="4">
          <tpl fld="2" item="14"/>
          <tpl hier="10" item="3"/>
          <tpl hier="11" item="0"/>
          <tpl fld="0" item="1"/>
        </tpls>
      </m>
      <n v="-1731" in="0">
        <tpls c="5">
          <tpl fld="1" item="8"/>
          <tpl fld="2" item="3"/>
          <tpl hier="10" item="3"/>
          <tpl hier="11" item="0"/>
          <tpl fld="0" item="1"/>
        </tpls>
      </n>
      <m in="0">
        <tpls c="5">
          <tpl fld="1" item="9"/>
          <tpl fld="2" item="8"/>
          <tpl hier="10" item="3"/>
          <tpl hier="11" item="0"/>
          <tpl fld="0" item="1"/>
        </tpls>
      </m>
      <n v="-2188" in="0">
        <tpls c="5">
          <tpl fld="1" item="6"/>
          <tpl fld="2" item="3"/>
          <tpl hier="10" item="3"/>
          <tpl hier="11" item="0"/>
          <tpl fld="0" item="0"/>
        </tpls>
      </n>
      <m in="0">
        <tpls c="4">
          <tpl fld="2" item="9"/>
          <tpl hier="10" item="3"/>
          <tpl hier="11" item="0"/>
          <tpl fld="0" item="1"/>
        </tpls>
      </m>
      <n v="-250119.75" in="0">
        <tpls c="5">
          <tpl fld="1" item="3"/>
          <tpl hier="9" item="4294967295"/>
          <tpl hier="10" item="3"/>
          <tpl hier="11" item="0"/>
          <tpl fld="0" item="0"/>
        </tpls>
      </n>
      <m in="0">
        <tpls c="5">
          <tpl fld="1" item="8"/>
          <tpl fld="2" item="2"/>
          <tpl hier="10" item="3"/>
          <tpl hier="11" item="0"/>
          <tpl fld="0" item="1"/>
        </tpls>
      </m>
      <n v="-3656" in="0">
        <tpls c="5">
          <tpl fld="1" item="10"/>
          <tpl fld="2" item="12"/>
          <tpl hier="10" item="3"/>
          <tpl hier="11" item="0"/>
          <tpl fld="0" item="1"/>
        </tpls>
      </n>
      <n v="-408" in="0">
        <tpls c="5">
          <tpl fld="1" item="0"/>
          <tpl fld="2" item="3"/>
          <tpl hier="10" item="3"/>
          <tpl hier="11" item="0"/>
          <tpl fld="0" item="1"/>
        </tpls>
      </n>
      <n v="-359" in="0">
        <tpls c="5">
          <tpl fld="1" item="11"/>
          <tpl fld="2" item="11"/>
          <tpl hier="10" item="3"/>
          <tpl hier="11" item="0"/>
          <tpl fld="0" item="1"/>
        </tpls>
      </n>
      <n v="-16294" in="0">
        <tpls c="5">
          <tpl fld="1" item="0"/>
          <tpl fld="2" item="6"/>
          <tpl hier="10" item="3"/>
          <tpl hier="11" item="0"/>
          <tpl fld="0" item="0"/>
        </tpls>
      </n>
      <n v="-5984" in="0">
        <tpls c="5">
          <tpl fld="1" item="6"/>
          <tpl fld="2" item="6"/>
          <tpl hier="10" item="3"/>
          <tpl hier="11" item="0"/>
          <tpl fld="0" item="1"/>
        </tpls>
      </n>
      <m in="0">
        <tpls c="5">
          <tpl fld="1" item="11"/>
          <tpl fld="2" item="4"/>
          <tpl hier="10" item="3"/>
          <tpl hier="11" item="0"/>
          <tpl fld="0" item="1"/>
        </tpls>
      </m>
      <m in="0">
        <tpls c="5">
          <tpl fld="1" item="7"/>
          <tpl fld="2" item="4"/>
          <tpl hier="10" item="3"/>
          <tpl hier="11" item="0"/>
          <tpl fld="0" item="1"/>
        </tpls>
      </m>
      <n v="-2988" in="0">
        <tpls c="5">
          <tpl fld="1" item="4"/>
          <tpl fld="2" item="15"/>
          <tpl hier="10" item="3"/>
          <tpl hier="11" item="0"/>
          <tpl fld="0" item="1"/>
        </tpls>
      </n>
      <m in="0">
        <tpls c="5">
          <tpl fld="1" item="11"/>
          <tpl fld="2" item="8"/>
          <tpl hier="10" item="3"/>
          <tpl hier="11" item="0"/>
          <tpl fld="0" item="0"/>
        </tpls>
      </m>
      <n v="-533" in="0">
        <tpls c="5">
          <tpl fld="1" item="9"/>
          <tpl fld="2" item="11"/>
          <tpl hier="10" item="3"/>
          <tpl hier="11" item="0"/>
          <tpl fld="0" item="1"/>
        </tpls>
      </n>
      <n v="-329803.25" in="0">
        <tpls c="5">
          <tpl fld="1" item="0"/>
          <tpl hier="9" item="4294967295"/>
          <tpl hier="10" item="3"/>
          <tpl hier="11" item="0"/>
          <tpl fld="0" item="0"/>
        </tpls>
      </n>
      <m in="0">
        <tpls c="5">
          <tpl fld="1" item="9"/>
          <tpl fld="2" item="4"/>
          <tpl hier="10" item="3"/>
          <tpl hier="11" item="0"/>
          <tpl fld="0" item="0"/>
        </tpls>
      </m>
      <n v="-6935.75" in="0">
        <tpls c="5">
          <tpl fld="1" item="0"/>
          <tpl fld="2" item="13"/>
          <tpl hier="10" item="3"/>
          <tpl hier="11" item="0"/>
          <tpl fld="0" item="0"/>
        </tpls>
      </n>
      <n v="-1842.25" in="0">
        <tpls c="5">
          <tpl fld="1" item="7"/>
          <tpl fld="2" item="3"/>
          <tpl hier="10" item="3"/>
          <tpl hier="11" item="0"/>
          <tpl fld="0" item="0"/>
        </tpls>
      </n>
      <n v="-5180.25" in="0">
        <tpls c="5">
          <tpl fld="1" item="11"/>
          <tpl fld="2" item="13"/>
          <tpl hier="10" item="3"/>
          <tpl hier="11" item="0"/>
          <tpl fld="0" item="0"/>
        </tpls>
      </n>
      <m in="0">
        <tpls c="5">
          <tpl fld="1" item="0"/>
          <tpl fld="2" item="14"/>
          <tpl hier="10" item="3"/>
          <tpl hier="11" item="0"/>
          <tpl fld="0" item="1"/>
        </tpls>
      </m>
      <n v="-2713" in="0">
        <tpls c="5">
          <tpl fld="1" item="9"/>
          <tpl fld="2" item="3"/>
          <tpl hier="10" item="3"/>
          <tpl hier="11" item="0"/>
          <tpl fld="0" item="1"/>
        </tpls>
      </n>
      <n v="-205" in="0">
        <tpls c="5">
          <tpl fld="1" item="1"/>
          <tpl fld="2" item="11"/>
          <tpl hier="10" item="3"/>
          <tpl hier="11" item="0"/>
          <tpl fld="0" item="1"/>
        </tpls>
      </n>
      <n v="-1110" in="0">
        <tpls c="5">
          <tpl fld="1" item="11"/>
          <tpl fld="2" item="13"/>
          <tpl hier="10" item="3"/>
          <tpl hier="11" item="0"/>
          <tpl fld="0" item="1"/>
        </tpls>
      </n>
      <m in="0">
        <tpls c="5">
          <tpl fld="1" item="0"/>
          <tpl fld="2" item="14"/>
          <tpl hier="10" item="3"/>
          <tpl hier="11" item="0"/>
          <tpl fld="0" item="0"/>
        </tpls>
      </m>
      <n v="-519" in="0">
        <tpls c="5">
          <tpl fld="1" item="2"/>
          <tpl fld="2" item="3"/>
          <tpl hier="10" item="3"/>
          <tpl hier="11" item="0"/>
          <tpl fld="0" item="1"/>
        </tpls>
      </n>
      <n v="-284540" in="0">
        <tpls c="5">
          <tpl fld="1" item="3"/>
          <tpl hier="9" item="4294967295"/>
          <tpl hier="10" item="3"/>
          <tpl hier="11" item="0"/>
          <tpl fld="0" item="1"/>
        </tpls>
      </n>
      <m in="0">
        <tpls c="5">
          <tpl fld="1" item="5"/>
          <tpl fld="2" item="4"/>
          <tpl hier="10" item="3"/>
          <tpl hier="11" item="0"/>
          <tpl fld="0" item="1"/>
        </tpls>
      </m>
      <m in="0">
        <tpls c="5">
          <tpl fld="1" item="9"/>
          <tpl fld="2" item="2"/>
          <tpl hier="10" item="3"/>
          <tpl hier="11" item="0"/>
          <tpl fld="0" item="1"/>
        </tpls>
      </m>
      <m in="0">
        <tpls c="5">
          <tpl fld="1" item="10"/>
          <tpl fld="2" item="8"/>
          <tpl hier="10" item="3"/>
          <tpl hier="11" item="0"/>
          <tpl fld="0" item="0"/>
        </tpls>
      </m>
      <n v="-14810.75" in="0">
        <tpls c="5">
          <tpl fld="1" item="8"/>
          <tpl fld="2" item="10"/>
          <tpl hier="10" item="3"/>
          <tpl hier="11" item="0"/>
          <tpl fld="0" item="0"/>
        </tpls>
      </n>
      <n v="-7550.5" in="0">
        <tpls c="5">
          <tpl fld="1" item="2"/>
          <tpl fld="2" item="15"/>
          <tpl hier="10" item="3"/>
          <tpl hier="11" item="0"/>
          <tpl fld="0" item="0"/>
        </tpls>
      </n>
      <m in="0">
        <tpls c="5">
          <tpl fld="1" item="9"/>
          <tpl fld="2" item="7"/>
          <tpl hier="10" item="3"/>
          <tpl hier="11" item="0"/>
          <tpl fld="0" item="1"/>
        </tpls>
      </m>
      <n v="-1824.25" in="0">
        <tpls c="5">
          <tpl fld="1" item="4"/>
          <tpl fld="2" item="3"/>
          <tpl hier="10" item="3"/>
          <tpl hier="11" item="0"/>
          <tpl fld="0" item="0"/>
        </tpls>
      </n>
      <m in="0">
        <tpls c="5">
          <tpl fld="1" item="10"/>
          <tpl fld="2" item="4"/>
          <tpl hier="10" item="3"/>
          <tpl hier="11" item="0"/>
          <tpl fld="0" item="1"/>
        </tpls>
      </m>
      <m in="0">
        <tpls c="5">
          <tpl fld="1" item="1"/>
          <tpl fld="2" item="8"/>
          <tpl hier="10" item="3"/>
          <tpl hier="11" item="0"/>
          <tpl fld="0" item="0"/>
        </tpls>
      </m>
      <m in="0">
        <tpls c="5">
          <tpl fld="1" item="9"/>
          <tpl fld="2" item="9"/>
          <tpl hier="10" item="3"/>
          <tpl hier="11" item="0"/>
          <tpl fld="0" item="1"/>
        </tpls>
      </m>
      <m in="0">
        <tpls c="5">
          <tpl fld="1" item="2"/>
          <tpl fld="2" item="14"/>
          <tpl hier="10" item="3"/>
          <tpl hier="11" item="0"/>
          <tpl fld="0" item="1"/>
        </tpls>
      </m>
      <n v="-11927.25" in="0">
        <tpls c="5">
          <tpl fld="1" item="9"/>
          <tpl fld="2" item="10"/>
          <tpl hier="10" item="3"/>
          <tpl hier="11" item="0"/>
          <tpl fld="0" item="0"/>
        </tpls>
      </n>
      <n v="-4204.75" in="0">
        <tpls c="5">
          <tpl fld="1" item="5"/>
          <tpl fld="2" item="1"/>
          <tpl hier="10" item="3"/>
          <tpl hier="11" item="0"/>
          <tpl fld="0" item="0"/>
        </tpls>
      </n>
      <n v="-4928" in="0">
        <tpls c="5">
          <tpl fld="1" item="10"/>
          <tpl fld="2" item="12"/>
          <tpl hier="10" item="3"/>
          <tpl hier="11" item="0"/>
          <tpl fld="0" item="0"/>
        </tpls>
      </n>
      <n v="-452" in="0">
        <tpls c="5">
          <tpl fld="1" item="4"/>
          <tpl fld="2" item="11"/>
          <tpl hier="10" item="3"/>
          <tpl hier="11" item="0"/>
          <tpl fld="0" item="1"/>
        </tpls>
      </n>
      <n v="-321912.75" in="0">
        <tpls c="5">
          <tpl fld="1" item="8"/>
          <tpl hier="9" item="4294967295"/>
          <tpl hier="10" item="3"/>
          <tpl hier="11" item="0"/>
          <tpl fld="0" item="0"/>
        </tpls>
      </n>
      <m in="0">
        <tpls c="5">
          <tpl fld="1" item="1"/>
          <tpl fld="2" item="14"/>
          <tpl hier="10" item="3"/>
          <tpl hier="11" item="0"/>
          <tpl fld="0" item="0"/>
        </tpls>
      </m>
      <m in="0">
        <tpls c="5">
          <tpl fld="1" item="1"/>
          <tpl fld="2" item="2"/>
          <tpl hier="10" item="3"/>
          <tpl hier="11" item="0"/>
          <tpl fld="0" item="0"/>
        </tpls>
      </m>
      <n v="-2996.75" in="0">
        <tpls c="5">
          <tpl fld="1" item="2"/>
          <tpl fld="2" item="3"/>
          <tpl hier="10" item="3"/>
          <tpl hier="11" item="0"/>
          <tpl fld="0" item="0"/>
        </tpls>
      </n>
      <n v="-1152" in="0">
        <tpls c="5">
          <tpl fld="1" item="6"/>
          <tpl fld="2" item="5"/>
          <tpl hier="10" item="3"/>
          <tpl hier="11" item="0"/>
          <tpl fld="0" item="0"/>
        </tpls>
      </n>
      <m in="0">
        <tpls c="5">
          <tpl fld="1" item="2"/>
          <tpl fld="2" item="9"/>
          <tpl hier="10" item="3"/>
          <tpl hier="11" item="0"/>
          <tpl fld="0" item="1"/>
        </tpls>
      </m>
      <n v="-54644" in="0">
        <tpls c="5">
          <tpl fld="1" item="8"/>
          <tpl fld="2" item="0"/>
          <tpl hier="10" item="3"/>
          <tpl hier="11" item="0"/>
          <tpl fld="0" item="1"/>
        </tpls>
      </n>
      <m in="0">
        <tpls c="5">
          <tpl fld="1" item="9"/>
          <tpl fld="2" item="7"/>
          <tpl hier="10" item="3"/>
          <tpl hier="11" item="0"/>
          <tpl fld="0" item="0"/>
        </tpls>
      </m>
      <m in="0">
        <tpls c="5">
          <tpl fld="1" item="3"/>
          <tpl fld="2" item="9"/>
          <tpl hier="10" item="3"/>
          <tpl hier="11" item="0"/>
          <tpl fld="0" item="0"/>
        </tpls>
      </m>
      <n v="-215418" in="0">
        <tpls c="5">
          <tpl fld="1" item="1"/>
          <tpl fld="2" item="0"/>
          <tpl hier="10" item="3"/>
          <tpl hier="11" item="0"/>
          <tpl fld="0" item="0"/>
        </tpls>
      </n>
      <m in="0">
        <tpls c="5">
          <tpl fld="1" item="2"/>
          <tpl fld="2" item="4"/>
          <tpl hier="10" item="3"/>
          <tpl hier="11" item="0"/>
          <tpl fld="0" item="1"/>
        </tpls>
      </m>
      <m in="0">
        <tpls c="5">
          <tpl fld="1" item="10"/>
          <tpl fld="2" item="9"/>
          <tpl hier="10" item="3"/>
          <tpl hier="11" item="0"/>
          <tpl fld="0" item="1"/>
        </tpls>
      </m>
      <m in="0">
        <tpls c="5">
          <tpl fld="1" item="5"/>
          <tpl fld="2" item="9"/>
          <tpl hier="10" item="3"/>
          <tpl hier="11" item="0"/>
          <tpl fld="0" item="1"/>
        </tpls>
      </m>
      <n v="-4383.25" in="0">
        <tpls c="5">
          <tpl fld="1" item="8"/>
          <tpl fld="2" item="12"/>
          <tpl hier="10" item="3"/>
          <tpl hier="11" item="0"/>
          <tpl fld="0" item="0"/>
        </tpls>
      </n>
      <n v="-1048.75" in="0">
        <tpls c="5">
          <tpl fld="1" item="8"/>
          <tpl fld="2" item="5"/>
          <tpl hier="10" item="3"/>
          <tpl hier="11" item="0"/>
          <tpl fld="0" item="0"/>
        </tpls>
      </n>
      <n v="-1104" in="0">
        <tpls c="5">
          <tpl fld="1" item="9"/>
          <tpl fld="2" item="5"/>
          <tpl hier="10" item="3"/>
          <tpl hier="11" item="0"/>
          <tpl fld="0" item="1"/>
        </tpls>
      </n>
      <n v="-1110" in="0">
        <tpls c="5">
          <tpl fld="1" item="10"/>
          <tpl fld="2" item="5"/>
          <tpl hier="10" item="3"/>
          <tpl hier="11" item="0"/>
          <tpl fld="0" item="1"/>
        </tpls>
      </n>
      <n v="-305631.25" in="0">
        <tpls c="5">
          <tpl fld="1" item="5"/>
          <tpl hier="9" item="4294967295"/>
          <tpl hier="10" item="3"/>
          <tpl hier="11" item="0"/>
          <tpl fld="0" item="0"/>
        </tpls>
      </n>
      <n v="-3247" in="0">
        <tpls c="5">
          <tpl fld="1" item="1"/>
          <tpl fld="2" item="15"/>
          <tpl hier="10" item="3"/>
          <tpl hier="11" item="0"/>
          <tpl fld="0" item="1"/>
        </tpls>
      </n>
      <n v="-1828.75" in="0">
        <tpls c="5">
          <tpl fld="1" item="0"/>
          <tpl fld="2" item="3"/>
          <tpl hier="10" item="3"/>
          <tpl hier="11" item="0"/>
          <tpl fld="0" item="0"/>
        </tpls>
      </n>
      <m in="0">
        <tpls c="5">
          <tpl fld="1" item="3"/>
          <tpl fld="2" item="4"/>
          <tpl hier="10" item="3"/>
          <tpl hier="11" item="0"/>
          <tpl fld="0" item="0"/>
        </tpls>
      </m>
      <m in="0">
        <tpls c="5">
          <tpl fld="1" item="2"/>
          <tpl fld="2" item="9"/>
          <tpl hier="10" item="3"/>
          <tpl hier="11" item="0"/>
          <tpl fld="0" item="0"/>
        </tpls>
      </m>
      <n v="-2929" in="0">
        <tpls c="5">
          <tpl fld="1" item="7"/>
          <tpl fld="2" item="6"/>
          <tpl hier="10" item="3"/>
          <tpl hier="11" item="0"/>
          <tpl fld="0" item="1"/>
        </tpls>
      </n>
      <m in="0">
        <tpls c="5">
          <tpl fld="1" item="6"/>
          <tpl fld="2" item="2"/>
          <tpl hier="10" item="3"/>
          <tpl hier="11" item="0"/>
          <tpl fld="0" item="1"/>
        </tpls>
      </m>
      <m in="0">
        <tpls c="5">
          <tpl fld="1" item="1"/>
          <tpl fld="2" item="4"/>
          <tpl hier="10" item="3"/>
          <tpl hier="11" item="0"/>
          <tpl fld="0" item="0"/>
        </tpls>
      </m>
      <m in="0">
        <tpls c="5">
          <tpl fld="1" item="8"/>
          <tpl fld="2" item="9"/>
          <tpl hier="10" item="3"/>
          <tpl hier="11" item="0"/>
          <tpl fld="0" item="0"/>
        </tpls>
      </m>
      <n v="-906" in="0">
        <tpls c="5">
          <tpl fld="1" item="5"/>
          <tpl fld="2" item="5"/>
          <tpl hier="10" item="3"/>
          <tpl hier="11" item="0"/>
          <tpl fld="0" item="1"/>
        </tpls>
      </n>
      <n v="-2933" in="0">
        <tpls c="5">
          <tpl fld="1" item="8"/>
          <tpl fld="2" item="12"/>
          <tpl hier="10" item="3"/>
          <tpl hier="11" item="0"/>
          <tpl fld="0" item="1"/>
        </tpls>
      </n>
      <n v="-5560.75" in="0">
        <tpls c="5">
          <tpl fld="1" item="10"/>
          <tpl fld="2" item="1"/>
          <tpl hier="10" item="3"/>
          <tpl hier="11" item="0"/>
          <tpl fld="0" item="0"/>
        </tpls>
      </n>
      <n v="-2756" in="0">
        <tpls c="5">
          <tpl fld="1" item="9"/>
          <tpl fld="2" item="10"/>
          <tpl hier="10" item="3"/>
          <tpl hier="11" item="0"/>
          <tpl fld="0" item="1"/>
        </tpls>
      </n>
      <m in="0">
        <tpls c="5">
          <tpl fld="1" item="10"/>
          <tpl fld="2" item="2"/>
          <tpl hier="10" item="3"/>
          <tpl hier="11" item="0"/>
          <tpl fld="0" item="1"/>
        </tpls>
      </m>
      <n v="-412946" in="0">
        <tpls c="5">
          <tpl fld="1" item="5"/>
          <tpl hier="9" item="4294967295"/>
          <tpl hier="10" item="3"/>
          <tpl hier="11" item="0"/>
          <tpl fld="0" item="1"/>
        </tpls>
      </n>
      <n v="-5772.25" in="0">
        <tpls c="5">
          <tpl fld="1" item="5"/>
          <tpl fld="2" item="15"/>
          <tpl hier="10" item="3"/>
          <tpl hier="11" item="0"/>
          <tpl fld="0" item="0"/>
        </tpls>
      </n>
      <m in="0">
        <tpls c="5">
          <tpl fld="1" item="0"/>
          <tpl fld="2" item="4"/>
          <tpl hier="10" item="3"/>
          <tpl hier="11" item="0"/>
          <tpl fld="0" item="1"/>
        </tpls>
      </m>
      <n v="-3689" in="0">
        <tpls c="5">
          <tpl fld="1" item="3"/>
          <tpl fld="2" item="1"/>
          <tpl hier="10" item="3"/>
          <tpl hier="11" item="0"/>
          <tpl fld="0" item="0"/>
        </tpls>
      </n>
      <n v="-385621" in="0">
        <tpls c="5">
          <tpl fld="1" item="5"/>
          <tpl fld="2" item="0"/>
          <tpl hier="10" item="3"/>
          <tpl hier="11" item="0"/>
          <tpl fld="0" item="1"/>
        </tpls>
      </n>
      <n v="-2915.75" in="0">
        <tpls c="5">
          <tpl fld="1" item="11"/>
          <tpl fld="2" item="3"/>
          <tpl hier="10" item="3"/>
          <tpl hier="11" item="0"/>
          <tpl fld="0" item="0"/>
        </tpls>
      </n>
      <m in="0">
        <tpls c="5">
          <tpl fld="1" item="1"/>
          <tpl fld="2" item="4"/>
          <tpl hier="10" item="3"/>
          <tpl hier="11" item="0"/>
          <tpl fld="0" item="1"/>
        </tpls>
      </m>
      <m in="0">
        <tpls c="5">
          <tpl fld="1" item="8"/>
          <tpl fld="2" item="9"/>
          <tpl hier="10" item="3"/>
          <tpl hier="11" item="0"/>
          <tpl fld="0" item="1"/>
        </tpls>
      </m>
      <m in="0">
        <tpls c="5">
          <tpl fld="1" item="5"/>
          <tpl fld="2" item="7"/>
          <tpl hier="10" item="3"/>
          <tpl hier="11" item="0"/>
          <tpl fld="0" item="1"/>
        </tpls>
      </m>
      <n v="-4861.5" in="0">
        <tpls c="5">
          <tpl fld="1" item="7"/>
          <tpl fld="2" item="12"/>
          <tpl hier="10" item="3"/>
          <tpl hier="11" item="0"/>
          <tpl fld="0" item="0"/>
        </tpls>
      </n>
      <m in="0">
        <tpls c="5">
          <tpl fld="1" item="10"/>
          <tpl fld="2" item="4"/>
          <tpl hier="10" item="3"/>
          <tpl hier="11" item="0"/>
          <tpl fld="0" item="0"/>
        </tpls>
      </m>
      <n v="-152173" in="0">
        <tpls c="5">
          <tpl fld="1" item="9"/>
          <tpl fld="2" item="0"/>
          <tpl hier="10" item="3"/>
          <tpl hier="11" item="0"/>
          <tpl fld="0" item="1"/>
        </tpls>
      </n>
      <n v="-1068" in="0">
        <tpls c="5">
          <tpl fld="1" item="5"/>
          <tpl fld="2" item="5"/>
          <tpl hier="10" item="3"/>
          <tpl hier="11" item="0"/>
          <tpl fld="0" item="0"/>
        </tpls>
      </n>
      <n v="-336149.5" in="0">
        <tpls c="5">
          <tpl fld="1" item="4"/>
          <tpl hier="9" item="4294967295"/>
          <tpl hier="10" item="3"/>
          <tpl hier="11" item="0"/>
          <tpl fld="0" item="0"/>
        </tpls>
      </n>
      <n v="-4060" in="0">
        <tpls c="5">
          <tpl fld="1" item="5"/>
          <tpl fld="2" item="15"/>
          <tpl hier="10" item="3"/>
          <tpl hier="11" item="0"/>
          <tpl fld="0" item="1"/>
        </tpls>
      </n>
      <m in="0">
        <tpls c="5">
          <tpl fld="1" item="0"/>
          <tpl fld="2" item="4"/>
          <tpl hier="10" item="3"/>
          <tpl hier="11" item="0"/>
          <tpl fld="0" item="0"/>
        </tpls>
      </m>
      <n v="-4648" in="0">
        <tpls c="5">
          <tpl fld="1" item="6"/>
          <tpl fld="2" item="1"/>
          <tpl hier="10" item="3"/>
          <tpl hier="11" item="0"/>
          <tpl fld="0" item="0"/>
        </tpls>
      </n>
      <m in="0">
        <tpls c="5">
          <tpl fld="1" item="9"/>
          <tpl fld="2" item="8"/>
          <tpl hier="10" item="3"/>
          <tpl hier="11" item="0"/>
          <tpl fld="0" item="0"/>
        </tpls>
      </m>
      <n v="-268894" in="0">
        <tpls c="5">
          <tpl fld="1" item="8"/>
          <tpl fld="2" item="0"/>
          <tpl hier="10" item="3"/>
          <tpl hier="11" item="0"/>
          <tpl fld="0" item="0"/>
        </tpls>
      </n>
      <n v="-2020" in="0">
        <tpls c="5">
          <tpl fld="1" item="1"/>
          <tpl fld="2" item="1"/>
          <tpl hier="10" item="3"/>
          <tpl hier="11" item="0"/>
          <tpl fld="0" item="1"/>
        </tpls>
      </n>
      <n v="-1335" in="0">
        <tpls c="5">
          <tpl fld="1" item="10"/>
          <tpl fld="2" item="3"/>
          <tpl hier="10" item="3"/>
          <tpl hier="11" item="0"/>
          <tpl fld="0" item="1"/>
        </tpls>
      </n>
      <n v="-8020" in="0">
        <tpls c="5">
          <tpl fld="1" item="11"/>
          <tpl fld="2" item="6"/>
          <tpl hier="10" item="3"/>
          <tpl hier="11" item="0"/>
          <tpl fld="0" item="1"/>
        </tpls>
      </n>
      <m in="0">
        <tpls c="5">
          <tpl fld="1" item="5"/>
          <tpl fld="2" item="4"/>
          <tpl hier="10" item="3"/>
          <tpl hier="11" item="0"/>
          <tpl fld="0" item="0"/>
        </tpls>
      </m>
      <m in="0">
        <tpls c="5">
          <tpl fld="1" item="7"/>
          <tpl fld="2" item="9"/>
          <tpl hier="10" item="3"/>
          <tpl hier="11" item="0"/>
          <tpl fld="0" item="0"/>
        </tpls>
      </m>
      <n v="-4455" in="0">
        <tpls c="5">
          <tpl fld="1" item="5"/>
          <tpl fld="2" item="6"/>
          <tpl hier="10" item="3"/>
          <tpl hier="11" item="0"/>
          <tpl fld="0" item="1"/>
        </tpls>
      </n>
      <n v="-3733" in="0">
        <tpls c="5">
          <tpl fld="1" item="7"/>
          <tpl fld="2" item="12"/>
          <tpl hier="10" item="3"/>
          <tpl hier="11" item="0"/>
          <tpl fld="0" item="1"/>
        </tpls>
      </n>
      <n v="-1103.25" in="0">
        <tpls c="5">
          <tpl fld="1" item="10"/>
          <tpl fld="2" item="5"/>
          <tpl hier="10" item="3"/>
          <tpl hier="11" item="0"/>
          <tpl fld="0" item="0"/>
        </tpls>
      </n>
      <m in="0">
        <tpls c="5">
          <tpl fld="1" item="3"/>
          <tpl fld="2" item="14"/>
          <tpl hier="10" item="3"/>
          <tpl hier="11" item="0"/>
          <tpl fld="0" item="0"/>
        </tpls>
      </m>
      <n v="-11634.75" in="0">
        <tpls c="5">
          <tpl fld="1" item="5"/>
          <tpl fld="2" item="10"/>
          <tpl hier="10" item="3"/>
          <tpl hier="11" item="0"/>
          <tpl fld="0" item="0"/>
        </tpls>
      </n>
      <n v="-171444" in="0">
        <tpls c="5">
          <tpl fld="1" item="4"/>
          <tpl hier="9" item="4294967295"/>
          <tpl hier="10" item="3"/>
          <tpl hier="11" item="0"/>
          <tpl fld="0" item="1"/>
        </tpls>
      </n>
      <n v="-1347" in="0">
        <tpls c="5">
          <tpl fld="1" item="3"/>
          <tpl fld="2" item="15"/>
          <tpl hier="10" item="3"/>
          <tpl hier="11" item="0"/>
          <tpl fld="0" item="1"/>
        </tpls>
      </n>
      <n v="-1046" in="0">
        <tpls c="5">
          <tpl fld="1" item="0"/>
          <tpl fld="2" item="5"/>
          <tpl hier="10" item="3"/>
          <tpl hier="11" item="0"/>
          <tpl fld="0" item="1"/>
        </tpls>
      </n>
      <m in="0">
        <tpls c="5">
          <tpl fld="1" item="1"/>
          <tpl fld="2" item="7"/>
          <tpl hier="10" item="3"/>
          <tpl hier="11" item="0"/>
          <tpl fld="0" item="0"/>
        </tpls>
      </m>
      <n v="-21496.5" in="0">
        <tpls c="5">
          <tpl fld="1" item="7"/>
          <tpl fld="2" item="6"/>
          <tpl hier="10" item="3"/>
          <tpl hier="11" item="0"/>
          <tpl fld="0" item="0"/>
        </tpls>
      </n>
      <m in="0">
        <tpls c="5">
          <tpl fld="1" item="1"/>
          <tpl fld="2" item="14"/>
          <tpl hier="10" item="3"/>
          <tpl hier="11" item="0"/>
          <tpl fld="0" item="1"/>
        </tpls>
      </m>
      <n v="-15468.25" in="0">
        <tpls c="5">
          <tpl fld="1" item="8"/>
          <tpl fld="2" item="6"/>
          <tpl hier="10" item="3"/>
          <tpl hier="11" item="0"/>
          <tpl fld="0" item="0"/>
        </tpls>
      </n>
      <m in="0">
        <tpls c="5">
          <tpl fld="1" item="10"/>
          <tpl fld="2" item="7"/>
          <tpl hier="10" item="3"/>
          <tpl hier="11" item="0"/>
          <tpl fld="0" item="0"/>
        </tpls>
      </m>
      <n v="-1421.75" in="0">
        <tpls c="5">
          <tpl fld="1" item="3"/>
          <tpl fld="2" item="5"/>
          <tpl hier="10" item="3"/>
          <tpl hier="11" item="0"/>
          <tpl fld="0" item="0"/>
        </tpls>
      </n>
      <m in="0">
        <tpls c="5">
          <tpl fld="1" item="7"/>
          <tpl fld="2" item="9"/>
          <tpl hier="10" item="3"/>
          <tpl hier="11" item="0"/>
          <tpl fld="0" item="1"/>
        </tpls>
      </m>
      <n v="-2060" in="0">
        <tpls c="5">
          <tpl fld="1" item="5"/>
          <tpl fld="2" item="1"/>
          <tpl hier="10" item="3"/>
          <tpl hier="11" item="0"/>
          <tpl fld="0" item="1"/>
        </tpls>
      </n>
      <n v="-4354.25" in="0">
        <tpls c="5">
          <tpl fld="1" item="6"/>
          <tpl fld="2" item="12"/>
          <tpl hier="10" item="3"/>
          <tpl hier="11" item="0"/>
          <tpl fld="0" item="0"/>
        </tpls>
      </n>
      <m in="0">
        <tpls c="5">
          <tpl fld="1" item="10"/>
          <tpl fld="2" item="2"/>
          <tpl hier="10" item="3"/>
          <tpl hier="11" item="0"/>
          <tpl fld="0" item="0"/>
        </tpls>
      </m>
      <m in="0">
        <tpls c="5">
          <tpl fld="1" item="3"/>
          <tpl fld="2" item="14"/>
          <tpl hier="10" item="3"/>
          <tpl hier="11" item="0"/>
          <tpl fld="0" item="1"/>
        </tpls>
      </m>
      <m in="0">
        <tpls c="5">
          <tpl fld="1" item="5"/>
          <tpl fld="2" item="9"/>
          <tpl hier="10" item="3"/>
          <tpl hier="11" item="0"/>
          <tpl fld="0" item="0"/>
        </tpls>
      </m>
      <n v="-250689" in="0">
        <tpls c="5">
          <tpl fld="1" item="9"/>
          <tpl hier="9" item="4294967295"/>
          <tpl hier="10" item="3"/>
          <tpl hier="11" item="0"/>
          <tpl fld="0" item="0"/>
        </tpls>
      </n>
      <n v="-6268.5" in="0">
        <tpls c="5">
          <tpl fld="1" item="4"/>
          <tpl fld="2" item="15"/>
          <tpl hier="10" item="3"/>
          <tpl hier="11" item="0"/>
          <tpl fld="0" item="0"/>
        </tpls>
      </n>
      <n v="-1287" in="0">
        <tpls c="5">
          <tpl fld="1" item="0"/>
          <tpl fld="2" item="5"/>
          <tpl hier="10" item="3"/>
          <tpl hier="11" item="0"/>
          <tpl fld="0" item="0"/>
        </tpls>
      </n>
      <n v="-2269" in="0">
        <tpls c="5">
          <tpl fld="1" item="9"/>
          <tpl fld="2" item="3"/>
          <tpl hier="10" item="3"/>
          <tpl hier="11" item="0"/>
          <tpl fld="0" item="0"/>
        </tpls>
      </n>
      <n v="-535.75" in="0">
        <tpls c="5">
          <tpl fld="1" item="1"/>
          <tpl fld="2" item="11"/>
          <tpl hier="10" item="3"/>
          <tpl hier="11" item="0"/>
          <tpl fld="0" item="0"/>
        </tpls>
      </n>
      <n v="-246534.25" in="0">
        <tpls c="5">
          <tpl fld="1" item="6"/>
          <tpl fld="2" item="0"/>
          <tpl hier="10" item="3"/>
          <tpl hier="11" item="0"/>
          <tpl fld="0" item="0"/>
        </tpls>
      </n>
      <n v="-839" in="0">
        <tpls c="5">
          <tpl fld="1" item="5"/>
          <tpl fld="2" item="11"/>
          <tpl hier="10" item="3"/>
          <tpl hier="11" item="0"/>
          <tpl fld="0" item="1"/>
        </tpls>
      </n>
      <n v="-1244" in="0">
        <tpls c="5">
          <tpl fld="1" item="3"/>
          <tpl fld="2" item="5"/>
          <tpl hier="10" item="3"/>
          <tpl hier="11" item="0"/>
          <tpl fld="0" item="1"/>
        </tpls>
      </n>
      <m in="0">
        <tpls c="5">
          <tpl fld="1" item="6"/>
          <tpl fld="2" item="9"/>
          <tpl hier="10" item="3"/>
          <tpl hier="11" item="0"/>
          <tpl fld="0" item="0"/>
        </tpls>
      </m>
      <m in="0">
        <tpls c="5">
          <tpl fld="1" item="5"/>
          <tpl fld="2" item="2"/>
          <tpl hier="10" item="3"/>
          <tpl hier="11" item="0"/>
          <tpl fld="0" item="1"/>
        </tpls>
      </m>
      <m in="0">
        <tpls c="5">
          <tpl fld="1" item="6"/>
          <tpl fld="2" item="12"/>
          <tpl hier="10" item="3"/>
          <tpl hier="11" item="0"/>
          <tpl fld="0" item="1"/>
        </tpls>
      </m>
      <n v="-246966.25" in="0">
        <tpls c="5">
          <tpl fld="1" item="10"/>
          <tpl fld="2" item="0"/>
          <tpl hier="10" item="3"/>
          <tpl hier="11" item="0"/>
          <tpl fld="0" item="0"/>
        </tpls>
      </n>
      <m in="0">
        <tpls c="5">
          <tpl fld="1" item="2"/>
          <tpl fld="2" item="14"/>
          <tpl hier="10" item="3"/>
          <tpl hier="11" item="0"/>
          <tpl fld="0" item="0"/>
        </tpls>
      </m>
      <m in="0">
        <tpls c="5">
          <tpl fld="1" item="5"/>
          <tpl fld="2" item="7"/>
          <tpl hier="10" item="3"/>
          <tpl hier="11" item="0"/>
          <tpl fld="0" item="0"/>
        </tpls>
      </m>
      <n v="-329590.75" in="0">
        <tpls c="5">
          <tpl fld="1" item="11"/>
          <tpl hier="9" item="4294967295"/>
          <tpl hier="10" item="3"/>
          <tpl hier="11" item="0"/>
          <tpl fld="0" item="0"/>
        </tpls>
      </n>
      <n v="-5047.75" in="0">
        <tpls c="5">
          <tpl fld="1" item="3"/>
          <tpl fld="2" item="15"/>
          <tpl hier="10" item="3"/>
          <tpl hier="11" item="0"/>
          <tpl fld="0" item="0"/>
        </tpls>
      </n>
      <n v="-2985" in="0">
        <tpls c="5">
          <tpl fld="1" item="0"/>
          <tpl fld="2" item="6"/>
          <tpl hier="10" item="3"/>
          <tpl hier="11" item="0"/>
          <tpl fld="0" item="1"/>
        </tpls>
      </n>
      <n v="-2060" in="0">
        <tpls c="5">
          <tpl fld="1" item="7"/>
          <tpl fld="2" item="1"/>
          <tpl hier="10" item="3"/>
          <tpl hier="11" item="0"/>
          <tpl fld="0" item="1"/>
        </tpls>
      </n>
      <n v="-141535" in="0">
        <tpls c="5">
          <tpl fld="1" item="2"/>
          <tpl fld="2" item="0"/>
          <tpl hier="10" item="3"/>
          <tpl hier="11" item="0"/>
          <tpl fld="0" item="1"/>
        </tpls>
      </n>
      <m in="0">
        <tpls c="5">
          <tpl fld="1" item="1"/>
          <tpl fld="2" item="9"/>
          <tpl hier="10" item="3"/>
          <tpl hier="11" item="0"/>
          <tpl fld="0" item="1"/>
        </tpls>
      </m>
      <n v="-20639" in="0">
        <tpls c="5">
          <tpl fld="1" item="11"/>
          <tpl fld="2" item="6"/>
          <tpl hier="10" item="3"/>
          <tpl hier="11" item="0"/>
          <tpl fld="0" item="0"/>
        </tpls>
      </n>
      <n v="-56362.25" in="0">
        <tpls c="4">
          <tpl fld="2" item="12"/>
          <tpl hier="10" item="3"/>
          <tpl hier="11" item="0"/>
          <tpl fld="0" item="0"/>
        </tpls>
      </n>
      <n v="-13640" in="0">
        <tpls c="5">
          <tpl fld="1" item="4"/>
          <tpl fld="2" item="6"/>
          <tpl hier="10" item="3"/>
          <tpl hier="11" item="0"/>
          <tpl fld="0" item="1"/>
        </tpls>
      </n>
      <n v="-462" in="0">
        <tpls c="5">
          <tpl fld="1" item="8"/>
          <tpl fld="2" item="11"/>
          <tpl hier="10" item="3"/>
          <tpl hier="11" item="0"/>
          <tpl fld="0" item="1"/>
        </tpls>
      </n>
      <n v="-17742.25" in="0">
        <tpls c="5">
          <tpl fld="1" item="1"/>
          <tpl fld="2" item="6"/>
          <tpl hier="10" item="3"/>
          <tpl hier="11" item="0"/>
          <tpl fld="0" item="0"/>
        </tpls>
      </n>
      <n v="-3572" in="0">
        <tpls c="5">
          <tpl fld="1" item="7"/>
          <tpl fld="2" item="13"/>
          <tpl hier="10" item="3"/>
          <tpl hier="11" item="0"/>
          <tpl fld="0" item="1"/>
        </tpls>
      </n>
      <n v="-1983" in="0">
        <tpls c="5">
          <tpl fld="1" item="7"/>
          <tpl fld="2" item="10"/>
          <tpl hier="10" item="3"/>
          <tpl hier="11" item="0"/>
          <tpl fld="0" item="1"/>
        </tpls>
      </n>
      <n v="-4852.75" in="0">
        <tpls c="5">
          <tpl fld="1" item="9"/>
          <tpl fld="2" item="1"/>
          <tpl hier="10" item="3"/>
          <tpl hier="11" item="0"/>
          <tpl fld="0" item="0"/>
        </tpls>
      </n>
      <m in="0">
        <tpls c="5">
          <tpl fld="1" item="0"/>
          <tpl fld="2" item="8"/>
          <tpl hier="10" item="3"/>
          <tpl hier="11" item="0"/>
          <tpl fld="0" item="1"/>
        </tpls>
      </m>
      <n v="-198583.75" in="0">
        <tpls c="5">
          <tpl fld="1" item="9"/>
          <tpl fld="2" item="0"/>
          <tpl hier="10" item="3"/>
          <tpl hier="11" item="0"/>
          <tpl fld="0" item="0"/>
        </tpls>
      </n>
      <m in="0">
        <tpls c="5">
          <tpl fld="1" item="1"/>
          <tpl fld="2" item="7"/>
          <tpl hier="10" item="4"/>
          <tpl hier="11" item="0"/>
          <tpl fld="0" item="1"/>
        </tpls>
      </m>
      <n v="-1955.75" in="0">
        <tpls c="5">
          <tpl fld="1" item="3"/>
          <tpl fld="2" item="2"/>
          <tpl hier="10" item="4"/>
          <tpl hier="11" item="0"/>
          <tpl fld="0" item="0"/>
        </tpls>
      </n>
      <n v="-25728" in="0">
        <tpls c="5">
          <tpl fld="1" item="2"/>
          <tpl fld="2" item="6"/>
          <tpl hier="10" item="4"/>
          <tpl hier="11" item="0"/>
          <tpl fld="0" item="1"/>
        </tpls>
      </n>
      <n v="-639" in="0">
        <tpls c="5">
          <tpl fld="1" item="3"/>
          <tpl fld="2" item="11"/>
          <tpl hier="10" item="4"/>
          <tpl hier="11" item="0"/>
          <tpl fld="0" item="1"/>
        </tpls>
      </n>
      <n v="-14737.5" in="0">
        <tpls c="5">
          <tpl fld="1" item="3"/>
          <tpl fld="2" item="10"/>
          <tpl hier="10" item="4"/>
          <tpl hier="11" item="0"/>
          <tpl fld="0" item="0"/>
        </tpls>
      </n>
      <n v="-2943" in="0">
        <tpls c="5">
          <tpl fld="1" item="10"/>
          <tpl fld="2" item="3"/>
          <tpl hier="10" item="4"/>
          <tpl hier="11" item="0"/>
          <tpl fld="0" item="0"/>
        </tpls>
      </n>
      <m in="0">
        <tpls c="5">
          <tpl fld="1" item="11"/>
          <tpl fld="2" item="7"/>
          <tpl hier="10" item="4"/>
          <tpl hier="11" item="0"/>
          <tpl fld="0" item="0"/>
        </tpls>
      </m>
      <n v="-21000" in="0">
        <tpls c="5">
          <tpl fld="1" item="3"/>
          <tpl fld="2" item="6"/>
          <tpl hier="10" item="4"/>
          <tpl hier="11" item="0"/>
          <tpl fld="0" item="1"/>
        </tpls>
      </n>
      <m in="0">
        <tpls c="5">
          <tpl fld="1" item="4"/>
          <tpl fld="2" item="9"/>
          <tpl hier="10" item="4"/>
          <tpl hier="11" item="0"/>
          <tpl fld="0" item="1"/>
        </tpls>
      </m>
      <n v="-949" in="0">
        <tpls c="5">
          <tpl fld="1" item="10"/>
          <tpl fld="2" item="11"/>
          <tpl hier="10" item="4"/>
          <tpl hier="11" item="0"/>
          <tpl fld="0" item="1"/>
        </tpls>
      </n>
      <n v="-5075" in="0">
        <tpls c="5">
          <tpl fld="1" item="7"/>
          <tpl fld="2" item="13"/>
          <tpl hier="10" item="4"/>
          <tpl hier="11" item="0"/>
          <tpl fld="0" item="0"/>
        </tpls>
      </n>
      <n v="-2435" in="0">
        <tpls c="5">
          <tpl fld="1" item="11"/>
          <tpl fld="2" item="5"/>
          <tpl hier="10" item="4"/>
          <tpl hier="11" item="0"/>
          <tpl fld="0" item="1"/>
        </tpls>
      </n>
      <m in="0">
        <tpls c="5">
          <tpl fld="1" item="5"/>
          <tpl fld="2" item="14"/>
          <tpl hier="10" item="4"/>
          <tpl hier="11" item="0"/>
          <tpl fld="0" item="0"/>
        </tpls>
      </m>
      <n v="-53425" in="0">
        <tpls c="4">
          <tpl fld="2" item="13"/>
          <tpl hier="10" item="4"/>
          <tpl hier="11" item="0"/>
          <tpl fld="0" item="1"/>
        </tpls>
      </n>
      <n v="-286239.75" in="0">
        <tpls c="5">
          <tpl fld="1" item="7"/>
          <tpl hier="9" item="4294967295"/>
          <tpl hier="10" item="4"/>
          <tpl hier="11" item="0"/>
          <tpl fld="0" item="0"/>
        </tpls>
      </n>
      <n v="-3407" in="0">
        <tpls c="5">
          <tpl fld="1" item="11"/>
          <tpl fld="2" item="15"/>
          <tpl hier="10" item="4"/>
          <tpl hier="11" item="0"/>
          <tpl fld="0" item="1"/>
        </tpls>
      </n>
      <m in="0">
        <tpls c="5">
          <tpl fld="1" item="0"/>
          <tpl fld="2" item="8"/>
          <tpl hier="10" item="4"/>
          <tpl hier="11" item="0"/>
          <tpl fld="0" item="0"/>
        </tpls>
      </m>
      <n v="-1960" in="0">
        <tpls c="5">
          <tpl fld="1" item="6"/>
          <tpl fld="2" item="1"/>
          <tpl hier="10" item="4"/>
          <tpl hier="11" item="0"/>
          <tpl fld="0" item="1"/>
        </tpls>
      </n>
      <m in="0">
        <tpls c="5">
          <tpl fld="1" item="3"/>
          <tpl fld="2" item="7"/>
          <tpl hier="10" item="4"/>
          <tpl hier="11" item="0"/>
          <tpl fld="0" item="0"/>
        </tpls>
      </m>
      <m in="0">
        <tpls c="5">
          <tpl fld="1" item="6"/>
          <tpl fld="2" item="9"/>
          <tpl hier="10" item="4"/>
          <tpl hier="11" item="0"/>
          <tpl fld="0" item="1"/>
        </tpls>
      </m>
      <n v="-3898" in="0">
        <tpls c="5">
          <tpl fld="1" item="3"/>
          <tpl fld="2" item="3"/>
          <tpl hier="10" item="4"/>
          <tpl hier="11" item="0"/>
          <tpl fld="0" item="1"/>
        </tpls>
      </n>
      <n v="-549.25" in="0">
        <tpls c="5">
          <tpl fld="1" item="9"/>
          <tpl fld="2" item="11"/>
          <tpl hier="10" item="4"/>
          <tpl hier="11" item="0"/>
          <tpl fld="0" item="0"/>
        </tpls>
      </n>
      <n v="-18923" in="0">
        <tpls c="5">
          <tpl fld="1" item="10"/>
          <tpl fld="2" item="6"/>
          <tpl hier="10" item="4"/>
          <tpl hier="11" item="0"/>
          <tpl fld="0" item="1"/>
        </tpls>
      </n>
      <n v="-221684" in="0">
        <tpls c="5">
          <tpl fld="1" item="3"/>
          <tpl fld="2" item="0"/>
          <tpl hier="10" item="4"/>
          <tpl hier="11" item="0"/>
          <tpl fld="0" item="1"/>
        </tpls>
      </n>
      <n v="-19654.25" in="0">
        <tpls c="5">
          <tpl fld="1" item="2"/>
          <tpl fld="2" item="6"/>
          <tpl hier="10" item="4"/>
          <tpl hier="11" item="0"/>
          <tpl fld="0" item="0"/>
        </tpls>
      </n>
      <n v="-2053" in="0">
        <tpls c="5">
          <tpl fld="1" item="4"/>
          <tpl fld="2" item="5"/>
          <tpl hier="10" item="4"/>
          <tpl hier="11" item="0"/>
          <tpl fld="0" item="1"/>
        </tpls>
      </n>
      <n v="-460" in="0">
        <tpls c="5">
          <tpl fld="1" item="8"/>
          <tpl fld="2" item="11"/>
          <tpl hier="10" item="4"/>
          <tpl hier="11" item="0"/>
          <tpl fld="0" item="0"/>
        </tpls>
      </n>
      <n v="-5502.5" in="0">
        <tpls c="5">
          <tpl fld="1" item="3"/>
          <tpl fld="2" item="13"/>
          <tpl hier="10" item="4"/>
          <tpl hier="11" item="0"/>
          <tpl fld="0" item="0"/>
        </tpls>
      </n>
      <m in="0">
        <tpls c="5">
          <tpl fld="1" item="11"/>
          <tpl fld="2" item="2"/>
          <tpl hier="10" item="4"/>
          <tpl hier="11" item="0"/>
          <tpl fld="0" item="1"/>
        </tpls>
      </m>
      <m in="0">
        <tpls c="5">
          <tpl fld="1" item="5"/>
          <tpl fld="2" item="14"/>
          <tpl hier="10" item="4"/>
          <tpl hier="11" item="0"/>
          <tpl fld="0" item="1"/>
        </tpls>
      </m>
      <n v="-66260" in="0">
        <tpls c="4">
          <tpl fld="2" item="12"/>
          <tpl hier="10" item="4"/>
          <tpl hier="11" item="0"/>
          <tpl fld="0" item="1"/>
        </tpls>
      </n>
      <n v="-318977" in="0">
        <tpls c="5">
          <tpl fld="1" item="7"/>
          <tpl hier="9" item="4294967295"/>
          <tpl hier="10" item="4"/>
          <tpl hier="11" item="0"/>
          <tpl fld="0" item="1"/>
        </tpls>
      </n>
      <n v="-68736.5" in="0">
        <tpls c="4">
          <tpl fld="2" item="15"/>
          <tpl hier="10" item="4"/>
          <tpl hier="11" item="0"/>
          <tpl fld="0" item="0"/>
        </tpls>
      </n>
      <m in="0">
        <tpls c="5">
          <tpl fld="1" item="0"/>
          <tpl fld="2" item="9"/>
          <tpl hier="10" item="4"/>
          <tpl hier="11" item="0"/>
          <tpl fld="0" item="1"/>
        </tpls>
      </m>
      <m in="0">
        <tpls c="5">
          <tpl fld="1" item="6"/>
          <tpl fld="2" item="4"/>
          <tpl hier="10" item="4"/>
          <tpl hier="11" item="0"/>
          <tpl fld="0" item="1"/>
        </tpls>
      </m>
      <n v="-1940" in="0">
        <tpls c="5">
          <tpl fld="1" item="2"/>
          <tpl fld="2" item="1"/>
          <tpl hier="10" item="4"/>
          <tpl hier="11" item="0"/>
          <tpl fld="0" item="1"/>
        </tpls>
      </n>
      <n v="-3001" in="0">
        <tpls c="5">
          <tpl fld="1" item="2"/>
          <tpl fld="2" item="2"/>
          <tpl hier="10" item="4"/>
          <tpl hier="11" item="0"/>
          <tpl fld="0" item="1"/>
        </tpls>
      </n>
      <m in="0">
        <tpls c="5">
          <tpl fld="1" item="3"/>
          <tpl fld="2" item="8"/>
          <tpl hier="10" item="4"/>
          <tpl hier="11" item="0"/>
          <tpl fld="0" item="1"/>
        </tpls>
      </m>
      <m in="0">
        <tpls c="5">
          <tpl fld="1" item="3"/>
          <tpl fld="2" item="9"/>
          <tpl hier="10" item="4"/>
          <tpl hier="11" item="0"/>
          <tpl fld="0" item="1"/>
        </tpls>
      </m>
      <n v="-380.25" in="0">
        <tpls c="5">
          <tpl fld="1" item="5"/>
          <tpl fld="2" item="11"/>
          <tpl hier="10" item="4"/>
          <tpl hier="11" item="0"/>
          <tpl fld="0" item="0"/>
        </tpls>
      </n>
      <n v="-16689" in="0">
        <tpls c="5">
          <tpl fld="1" item="9"/>
          <tpl fld="2" item="6"/>
          <tpl hier="10" item="4"/>
          <tpl hier="11" item="0"/>
          <tpl fld="0" item="0"/>
        </tpls>
      </n>
      <m in="0">
        <tpls c="5">
          <tpl fld="1" item="4"/>
          <tpl fld="2" item="7"/>
          <tpl hier="10" item="4"/>
          <tpl hier="11" item="0"/>
          <tpl fld="0" item="0"/>
        </tpls>
      </m>
      <n v="-119251" in="0">
        <tpls c="5">
          <tpl fld="1" item="4"/>
          <tpl fld="2" item="0"/>
          <tpl hier="10" item="4"/>
          <tpl hier="11" item="0"/>
          <tpl fld="0" item="1"/>
        </tpls>
      </n>
      <n v="-504.5" in="0">
        <tpls c="5">
          <tpl fld="1" item="7"/>
          <tpl fld="2" item="11"/>
          <tpl hier="10" item="4"/>
          <tpl hier="11" item="0"/>
          <tpl fld="0" item="0"/>
        </tpls>
      </n>
      <n v="-8699" in="0">
        <tpls c="5">
          <tpl fld="1" item="3"/>
          <tpl fld="2" item="13"/>
          <tpl hier="10" item="4"/>
          <tpl hier="11" item="0"/>
          <tpl fld="0" item="1"/>
        </tpls>
      </n>
      <n v="-209279" in="0">
        <tpls c="5">
          <tpl fld="1" item="11"/>
          <tpl fld="2" item="0"/>
          <tpl hier="10" item="4"/>
          <tpl hier="11" item="0"/>
          <tpl fld="0" item="1"/>
        </tpls>
      </n>
      <m in="0">
        <tpls c="5">
          <tpl fld="1" item="11"/>
          <tpl fld="2" item="14"/>
          <tpl hier="10" item="4"/>
          <tpl hier="11" item="0"/>
          <tpl fld="0" item="0"/>
        </tpls>
      </m>
      <n v="-2526028" in="0">
        <tpls c="4">
          <tpl fld="2" item="0"/>
          <tpl hier="10" item="4"/>
          <tpl hier="11" item="0"/>
          <tpl fld="0" item="1"/>
        </tpls>
      </n>
      <n v="-248311.75" in="0">
        <tpls c="5">
          <tpl fld="1" item="6"/>
          <tpl hier="9" item="4294967295"/>
          <tpl hier="10" item="4"/>
          <tpl hier="11" item="0"/>
          <tpl fld="0" item="0"/>
        </tpls>
      </n>
      <n v="-40696" in="0">
        <tpls c="4">
          <tpl fld="2" item="15"/>
          <tpl hier="10" item="4"/>
          <tpl hier="11" item="0"/>
          <tpl fld="0" item="1"/>
        </tpls>
      </n>
      <m in="0">
        <tpls c="5">
          <tpl fld="1" item="0"/>
          <tpl fld="2" item="9"/>
          <tpl hier="10" item="4"/>
          <tpl hier="11" item="0"/>
          <tpl fld="0" item="0"/>
        </tpls>
      </m>
      <m in="0">
        <tpls c="4">
          <tpl fld="2" item="4"/>
          <tpl hier="10" item="4"/>
          <tpl hier="11" item="0"/>
          <tpl fld="0" item="1"/>
        </tpls>
      </m>
      <n v="-6065" in="0">
        <tpls c="5">
          <tpl fld="1" item="8"/>
          <tpl fld="2" item="15"/>
          <tpl hier="10" item="4"/>
          <tpl hier="11" item="0"/>
          <tpl fld="0" item="0"/>
        </tpls>
      </n>
      <m in="0">
        <tpls c="5">
          <tpl fld="1" item="3"/>
          <tpl fld="2" item="8"/>
          <tpl hier="10" item="4"/>
          <tpl hier="11" item="0"/>
          <tpl fld="0" item="0"/>
        </tpls>
      </m>
      <n v="-421.75" in="0">
        <tpls c="5">
          <tpl fld="1" item="3"/>
          <tpl fld="2" item="11"/>
          <tpl hier="10" item="4"/>
          <tpl hier="11" item="0"/>
          <tpl fld="0" item="0"/>
        </tpls>
      </n>
      <m in="0">
        <tpls c="5">
          <tpl fld="1" item="11"/>
          <tpl fld="2" item="14"/>
          <tpl hier="10" item="4"/>
          <tpl hier="11" item="0"/>
          <tpl fld="0" item="1"/>
        </tpls>
      </m>
      <n v="-3273" in="0">
        <tpls c="5">
          <tpl fld="1" item="8"/>
          <tpl fld="2" item="15"/>
          <tpl hier="10" item="4"/>
          <tpl hier="11" item="0"/>
          <tpl fld="0" item="1"/>
        </tpls>
      </n>
      <n v="-1920" in="0">
        <tpls c="5">
          <tpl fld="1" item="3"/>
          <tpl fld="2" item="1"/>
          <tpl hier="10" item="4"/>
          <tpl hier="11" item="0"/>
          <tpl fld="0" item="1"/>
        </tpls>
      </n>
      <n v="-1980" in="0">
        <tpls c="5">
          <tpl fld="1" item="9"/>
          <tpl fld="2" item="1"/>
          <tpl hier="10" item="4"/>
          <tpl hier="11" item="0"/>
          <tpl fld="0" item="1"/>
        </tpls>
      </n>
      <n v="-5200" in="0">
        <tpls c="5">
          <tpl fld="1" item="9"/>
          <tpl fld="2" item="12"/>
          <tpl hier="10" item="4"/>
          <tpl hier="11" item="0"/>
          <tpl fld="0" item="1"/>
        </tpls>
      </n>
      <m in="0">
        <tpls c="5">
          <tpl fld="1" item="10"/>
          <tpl fld="2" item="14"/>
          <tpl hier="10" item="4"/>
          <tpl hier="11" item="0"/>
          <tpl fld="0" item="0"/>
        </tpls>
      </m>
      <n v="-4401.5" in="0">
        <tpls c="5">
          <tpl fld="1" item="0"/>
          <tpl fld="2" item="12"/>
          <tpl hier="10" item="4"/>
          <tpl hier="11" item="0"/>
          <tpl fld="0" item="0"/>
        </tpls>
      </n>
      <n v="-1059" in="0">
        <tpls c="5">
          <tpl fld="1" item="7"/>
          <tpl fld="2" item="5"/>
          <tpl hier="10" item="4"/>
          <tpl hier="11" item="0"/>
          <tpl fld="0" item="1"/>
        </tpls>
      </n>
      <n v="-5030.25" in="0">
        <tpls c="5">
          <tpl fld="1" item="11"/>
          <tpl fld="2" item="1"/>
          <tpl hier="10" item="4"/>
          <tpl hier="11" item="0"/>
          <tpl fld="0" item="0"/>
        </tpls>
      </n>
      <n v="-5471.25" in="0">
        <tpls c="5">
          <tpl fld="1" item="2"/>
          <tpl fld="2" item="12"/>
          <tpl hier="10" item="4"/>
          <tpl hier="11" item="0"/>
          <tpl fld="0" item="0"/>
        </tpls>
      </n>
      <m in="0">
        <tpls c="5">
          <tpl fld="1" item="8"/>
          <tpl fld="2" item="14"/>
          <tpl hier="10" item="4"/>
          <tpl hier="11" item="0"/>
          <tpl fld="0" item="0"/>
        </tpls>
      </m>
      <n v="-2002" in="0">
        <tpls c="5">
          <tpl fld="1" item="7"/>
          <tpl fld="2" item="15"/>
          <tpl hier="10" item="4"/>
          <tpl hier="11" item="0"/>
          <tpl fld="0" item="1"/>
        </tpls>
      </n>
      <m in="0">
        <tpls c="5">
          <tpl fld="1" item="2"/>
          <tpl fld="2" item="8"/>
          <tpl hier="10" item="4"/>
          <tpl hier="11" item="0"/>
          <tpl fld="0" item="0"/>
        </tpls>
      </m>
      <n v="-201260.25" in="0">
        <tpls c="5">
          <tpl fld="1" item="3"/>
          <tpl fld="2" item="0"/>
          <tpl hier="10" item="4"/>
          <tpl hier="11" item="0"/>
          <tpl fld="0" item="0"/>
        </tpls>
      </n>
      <m in="0">
        <tpls c="5">
          <tpl fld="1" item="8"/>
          <tpl fld="2" item="8"/>
          <tpl hier="10" item="4"/>
          <tpl hier="11" item="0"/>
          <tpl fld="0" item="1"/>
        </tpls>
      </m>
      <n v="-4058" in="0">
        <tpls c="5">
          <tpl fld="1" item="5"/>
          <tpl fld="2" item="12"/>
          <tpl hier="10" item="4"/>
          <tpl hier="11" item="0"/>
          <tpl fld="0" item="1"/>
        </tpls>
      </n>
      <m in="0">
        <tpls c="5">
          <tpl fld="1" item="8"/>
          <tpl fld="2" item="14"/>
          <tpl hier="10" item="4"/>
          <tpl hier="11" item="0"/>
          <tpl fld="0" item="1"/>
        </tpls>
      </m>
      <n v="-4444.5" in="0">
        <tpls c="5">
          <tpl fld="1" item="6"/>
          <tpl fld="2" item="15"/>
          <tpl hier="10" item="4"/>
          <tpl hier="11" item="0"/>
          <tpl fld="0" item="0"/>
        </tpls>
      </n>
      <n v="-17703" in="0">
        <tpls c="5">
          <tpl fld="1" item="10"/>
          <tpl fld="2" item="6"/>
          <tpl hier="10" item="4"/>
          <tpl hier="11" item="0"/>
          <tpl fld="0" item="0"/>
        </tpls>
      </n>
      <m in="0">
        <tpls c="5">
          <tpl fld="1" item="11"/>
          <tpl fld="2" item="4"/>
          <tpl hier="10" item="4"/>
          <tpl hier="11" item="0"/>
          <tpl fld="0" item="0"/>
        </tpls>
      </m>
      <n v="-132424" in="0">
        <tpls c="5">
          <tpl fld="1" item="0"/>
          <tpl fld="2" item="0"/>
          <tpl hier="10" item="4"/>
          <tpl hier="11" item="0"/>
          <tpl fld="0" item="1"/>
        </tpls>
      </n>
      <n v="-2567" in="0">
        <tpls c="5">
          <tpl fld="1" item="1"/>
          <tpl fld="2" item="2"/>
          <tpl hier="10" item="4"/>
          <tpl hier="11" item="0"/>
          <tpl fld="0" item="1"/>
        </tpls>
      </n>
      <n v="-24904" in="0">
        <tpls c="5">
          <tpl fld="1" item="11"/>
          <tpl fld="2" item="10"/>
          <tpl hier="10" item="4"/>
          <tpl hier="11" item="0"/>
          <tpl fld="0" item="1"/>
        </tpls>
      </n>
      <n v="-275868" in="0">
        <tpls c="5">
          <tpl fld="1" item="11"/>
          <tpl hier="9" item="4294967295"/>
          <tpl hier="10" item="4"/>
          <tpl hier="11" item="0"/>
          <tpl fld="0" item="1"/>
        </tpls>
      </n>
      <n v="-2695.75" in="0">
        <tpls c="5">
          <tpl fld="1" item="8"/>
          <tpl fld="2" item="3"/>
          <tpl hier="10" item="4"/>
          <tpl hier="11" item="0"/>
          <tpl fld="0" item="0"/>
        </tpls>
      </n>
      <m in="0">
        <tpls c="5">
          <tpl fld="1" item="10"/>
          <tpl fld="2" item="7"/>
          <tpl hier="10" item="4"/>
          <tpl hier="11" item="0"/>
          <tpl fld="0" item="1"/>
        </tpls>
      </m>
      <n v="-8735" in="0">
        <tpls c="5">
          <tpl fld="1" item="10"/>
          <tpl fld="2" item="10"/>
          <tpl hier="10" item="4"/>
          <tpl hier="11" item="0"/>
          <tpl fld="0" item="0"/>
        </tpls>
      </n>
      <n v="-308403.75" in="0">
        <tpls c="5">
          <tpl fld="1" item="11"/>
          <tpl fld="2" item="0"/>
          <tpl hier="10" item="4"/>
          <tpl hier="11" item="0"/>
          <tpl fld="0" item="0"/>
        </tpls>
      </n>
      <m in="0">
        <tpls c="5">
          <tpl fld="1" item="3"/>
          <tpl fld="2" item="4"/>
          <tpl hier="10" item="4"/>
          <tpl hier="11" item="0"/>
          <tpl fld="0" item="1"/>
        </tpls>
      </m>
      <n v="-3213" in="0">
        <tpls c="5">
          <tpl fld="1" item="10"/>
          <tpl fld="2" item="13"/>
          <tpl hier="10" item="4"/>
          <tpl hier="11" item="0"/>
          <tpl fld="0" item="1"/>
        </tpls>
      </n>
      <n v="-2043" in="0">
        <tpls c="5">
          <tpl fld="1" item="5"/>
          <tpl fld="2" item="3"/>
          <tpl hier="10" item="4"/>
          <tpl hier="11" item="0"/>
          <tpl fld="0" item="1"/>
        </tpls>
      </n>
      <n v="-4964.25" in="0">
        <tpls c="5">
          <tpl fld="1" item="8"/>
          <tpl fld="2" item="13"/>
          <tpl hier="10" item="4"/>
          <tpl hier="11" item="0"/>
          <tpl fld="0" item="0"/>
        </tpls>
      </n>
      <n v="-3073" in="0">
        <tpls c="5">
          <tpl fld="1" item="0"/>
          <tpl fld="2" item="2"/>
          <tpl hier="10" item="4"/>
          <tpl hier="11" item="0"/>
          <tpl fld="0" item="1"/>
        </tpls>
      </n>
      <n v="-2252" in="0">
        <tpls c="5">
          <tpl fld="1" item="6"/>
          <tpl fld="2" item="2"/>
          <tpl hier="10" item="4"/>
          <tpl hier="11" item="0"/>
          <tpl fld="0" item="0"/>
        </tpls>
      </n>
      <n v="-12281" in="0">
        <tpls c="5">
          <tpl fld="1" item="8"/>
          <tpl fld="2" item="10"/>
          <tpl hier="10" item="4"/>
          <tpl hier="11" item="0"/>
          <tpl fld="0" item="1"/>
        </tpls>
      </n>
      <n v="-2023" in="0">
        <tpls c="5">
          <tpl fld="1" item="0"/>
          <tpl fld="2" item="2"/>
          <tpl hier="10" item="4"/>
          <tpl hier="11" item="0"/>
          <tpl fld="0" item="0"/>
        </tpls>
      </n>
      <n v="-3421.5" in="0">
        <tpls c="5">
          <tpl fld="1" item="6"/>
          <tpl fld="2" item="13"/>
          <tpl hier="10" item="4"/>
          <tpl hier="11" item="0"/>
          <tpl fld="0" item="0"/>
        </tpls>
      </n>
      <m in="0">
        <tpls c="5">
          <tpl fld="1" item="10"/>
          <tpl fld="2" item="9"/>
          <tpl hier="10" item="4"/>
          <tpl hier="11" item="0"/>
          <tpl fld="0" item="0"/>
        </tpls>
      </m>
      <n v="-1960" in="0">
        <tpls c="5">
          <tpl fld="1" item="10"/>
          <tpl fld="2" item="1"/>
          <tpl hier="10" item="4"/>
          <tpl hier="11" item="0"/>
          <tpl fld="0" item="1"/>
        </tpls>
      </n>
      <m in="0">
        <tpls c="5">
          <tpl fld="1" item="8"/>
          <tpl fld="2" item="7"/>
          <tpl hier="10" item="4"/>
          <tpl hier="11" item="0"/>
          <tpl fld="0" item="1"/>
        </tpls>
      </m>
      <n v="-19611" in="0">
        <tpls c="5">
          <tpl fld="1" item="5"/>
          <tpl fld="2" item="6"/>
          <tpl hier="10" item="4"/>
          <tpl hier="11" item="0"/>
          <tpl fld="0" item="0"/>
        </tpls>
      </n>
      <m in="0">
        <tpls c="5">
          <tpl fld="1" item="4"/>
          <tpl fld="2" item="8"/>
          <tpl hier="10" item="4"/>
          <tpl hier="11" item="0"/>
          <tpl fld="0" item="0"/>
        </tpls>
      </m>
      <n v="-1399.25" in="0">
        <tpls c="5">
          <tpl fld="1" item="9"/>
          <tpl fld="2" item="5"/>
          <tpl hier="10" item="4"/>
          <tpl hier="11" item="0"/>
          <tpl fld="0" item="0"/>
        </tpls>
      </n>
      <n v="-337024" in="0">
        <tpls c="5">
          <tpl fld="1" item="10"/>
          <tpl hier="9" item="4294967295"/>
          <tpl hier="10" item="4"/>
          <tpl hier="11" item="0"/>
          <tpl fld="0" item="1"/>
        </tpls>
      </n>
      <n v="-4686" in="0">
        <tpls c="5">
          <tpl fld="1" item="9"/>
          <tpl fld="2" item="12"/>
          <tpl hier="10" item="4"/>
          <tpl hier="11" item="0"/>
          <tpl fld="0" item="0"/>
        </tpls>
      </n>
      <n v="-2532.5" in="0">
        <tpls c="5">
          <tpl fld="1" item="5"/>
          <tpl fld="2" item="2"/>
          <tpl hier="10" item="4"/>
          <tpl hier="11" item="0"/>
          <tpl fld="0" item="0"/>
        </tpls>
      </n>
      <m in="0">
        <tpls c="5">
          <tpl fld="1" item="7"/>
          <tpl fld="2" item="4"/>
          <tpl hier="10" item="4"/>
          <tpl hier="11" item="0"/>
          <tpl fld="0" item="0"/>
        </tpls>
      </m>
      <n v="-19584" in="0">
        <tpls c="5">
          <tpl fld="1" item="3"/>
          <tpl fld="2" item="6"/>
          <tpl hier="10" item="4"/>
          <tpl hier="11" item="0"/>
          <tpl fld="0" item="0"/>
        </tpls>
      </n>
      <n v="-4835" in="0">
        <tpls c="5">
          <tpl fld="1" item="4"/>
          <tpl fld="2" item="13"/>
          <tpl hier="10" item="4"/>
          <tpl hier="11" item="0"/>
          <tpl fld="0" item="1"/>
        </tpls>
      </n>
      <n v="-3775" in="0">
        <tpls c="5">
          <tpl fld="1" item="9"/>
          <tpl fld="2" item="15"/>
          <tpl hier="10" item="4"/>
          <tpl hier="11" item="0"/>
          <tpl fld="0" item="1"/>
        </tpls>
      </n>
      <n v="-2056.5" in="0">
        <tpls c="5">
          <tpl fld="1" item="1"/>
          <tpl fld="2" item="3"/>
          <tpl hier="10" item="4"/>
          <tpl hier="11" item="0"/>
          <tpl fld="0" item="0"/>
        </tpls>
      </n>
      <m in="0">
        <tpls c="5">
          <tpl fld="1" item="7"/>
          <tpl fld="2" item="8"/>
          <tpl hier="10" item="4"/>
          <tpl hier="11" item="0"/>
          <tpl fld="0" item="0"/>
        </tpls>
      </m>
      <n v="-15034.25" in="0">
        <tpls c="4">
          <tpl fld="2" item="5"/>
          <tpl hier="10" item="4"/>
          <tpl hier="11" item="0"/>
          <tpl fld="0" item="0"/>
        </tpls>
      </n>
      <n v="-9393.25" in="0">
        <tpls c="5">
          <tpl fld="1" item="1"/>
          <tpl fld="2" item="10"/>
          <tpl hier="10" item="4"/>
          <tpl hier="11" item="0"/>
          <tpl fld="0" item="0"/>
        </tpls>
      </n>
      <n v="-285473" in="0">
        <tpls c="5">
          <tpl fld="1" item="10"/>
          <tpl fld="2" item="0"/>
          <tpl hier="10" item="4"/>
          <tpl hier="11" item="0"/>
          <tpl fld="0" item="1"/>
        </tpls>
      </n>
      <n v="-4098" in="0">
        <tpls c="5">
          <tpl fld="1" item="3"/>
          <tpl fld="2" item="12"/>
          <tpl hier="10" item="4"/>
          <tpl hier="11" item="0"/>
          <tpl fld="0" item="1"/>
        </tpls>
      </n>
      <m in="0">
        <tpls c="4">
          <tpl fld="2" item="9"/>
          <tpl hier="10" item="4"/>
          <tpl hier="11" item="0"/>
          <tpl fld="0" item="0"/>
        </tpls>
      </m>
      <n v="-3962.5" in="0">
        <tpls c="5">
          <tpl fld="1" item="2"/>
          <tpl fld="2" item="1"/>
          <tpl hier="10" item="4"/>
          <tpl hier="11" item="0"/>
          <tpl fld="0" item="0"/>
        </tpls>
      </n>
      <m in="0">
        <tpls c="4">
          <tpl fld="2" item="14"/>
          <tpl hier="10" item="4"/>
          <tpl hier="11" item="0"/>
          <tpl fld="0" item="0"/>
        </tpls>
      </m>
      <n v="-10493" in="0">
        <tpls c="5">
          <tpl fld="1" item="2"/>
          <tpl fld="2" item="10"/>
          <tpl hier="10" item="4"/>
          <tpl hier="11" item="0"/>
          <tpl fld="0" item="1"/>
        </tpls>
      </n>
      <m in="0">
        <tpls c="5">
          <tpl fld="1" item="6"/>
          <tpl fld="2" item="8"/>
          <tpl hier="10" item="4"/>
          <tpl hier="11" item="0"/>
          <tpl fld="0" item="1"/>
        </tpls>
      </m>
      <n v="-55781.25" in="0">
        <tpls c="4">
          <tpl fld="2" item="1"/>
          <tpl hier="10" item="4"/>
          <tpl hier="11" item="0"/>
          <tpl fld="0" item="0"/>
        </tpls>
      </n>
      <n v="-27272" in="0">
        <tpls c="5">
          <tpl fld="1" item="8"/>
          <tpl fld="2" item="6"/>
          <tpl hier="10" item="4"/>
          <tpl hier="11" item="0"/>
          <tpl fld="0" item="1"/>
        </tpls>
      </n>
      <m in="0">
        <tpls c="4">
          <tpl fld="2" item="8"/>
          <tpl hier="10" item="4"/>
          <tpl hier="11" item="0"/>
          <tpl fld="0" item="0"/>
        </tpls>
      </m>
      <n v="-171387" in="0">
        <tpls c="5">
          <tpl fld="1" item="1"/>
          <tpl hier="9" item="4294967295"/>
          <tpl hier="10" item="4"/>
          <tpl hier="11" item="0"/>
          <tpl fld="0" item="1"/>
        </tpls>
      </n>
      <m in="0">
        <tpls c="5">
          <tpl fld="1" item="8"/>
          <tpl fld="2" item="4"/>
          <tpl hier="10" item="4"/>
          <tpl hier="11" item="0"/>
          <tpl fld="0" item="0"/>
        </tpls>
      </m>
      <m in="0">
        <tpls c="5">
          <tpl fld="1" item="4"/>
          <tpl fld="2" item="8"/>
          <tpl hier="10" item="4"/>
          <tpl hier="11" item="0"/>
          <tpl fld="0" item="1"/>
        </tpls>
      </m>
      <n v="-9943" in="0">
        <tpls c="5">
          <tpl fld="1" item="7"/>
          <tpl fld="2" item="10"/>
          <tpl hier="10" item="4"/>
          <tpl hier="11" item="0"/>
          <tpl fld="0" item="0"/>
        </tpls>
      </n>
      <n v="-6521.75" in="0">
        <tpls c="5">
          <tpl fld="1" item="1"/>
          <tpl fld="2" item="15"/>
          <tpl hier="10" item="4"/>
          <tpl hier="11" item="0"/>
          <tpl fld="0" item="0"/>
        </tpls>
      </n>
      <n v="-1092.75" in="0">
        <tpls c="5">
          <tpl fld="1" item="2"/>
          <tpl fld="2" item="5"/>
          <tpl hier="10" item="4"/>
          <tpl hier="11" item="0"/>
          <tpl fld="0" item="0"/>
        </tpls>
      </n>
      <n v="-249746" in="0">
        <tpls c="5">
          <tpl fld="1" item="10"/>
          <tpl hier="9" item="4294967295"/>
          <tpl hier="10" item="4"/>
          <tpl hier="11" item="0"/>
          <tpl fld="0" item="0"/>
        </tpls>
      </n>
      <n v="-1444" in="0">
        <tpls c="5">
          <tpl fld="1" item="2"/>
          <tpl fld="2" item="5"/>
          <tpl hier="10" item="4"/>
          <tpl hier="11" item="0"/>
          <tpl fld="0" item="1"/>
        </tpls>
      </n>
      <n v="-2026" in="0">
        <tpls c="5">
          <tpl fld="1" item="8"/>
          <tpl fld="2" item="13"/>
          <tpl hier="10" item="4"/>
          <tpl hier="11" item="0"/>
          <tpl fld="0" item="1"/>
        </tpls>
      </n>
      <n v="-4944" in="0">
        <tpls c="5">
          <tpl fld="1" item="6"/>
          <tpl fld="2" item="15"/>
          <tpl hier="10" item="4"/>
          <tpl hier="11" item="0"/>
          <tpl fld="0" item="1"/>
        </tpls>
      </n>
      <n v="-3909" in="0">
        <tpls c="5">
          <tpl fld="1" item="7"/>
          <tpl fld="2" item="3"/>
          <tpl hier="10" item="4"/>
          <tpl hier="11" item="0"/>
          <tpl fld="0" item="1"/>
        </tpls>
      </n>
      <m in="0">
        <tpls c="5">
          <tpl fld="1" item="9"/>
          <tpl fld="2" item="14"/>
          <tpl hier="10" item="4"/>
          <tpl hier="11" item="0"/>
          <tpl fld="0" item="1"/>
        </tpls>
      </m>
      <n v="-1961.25" in="0">
        <tpls c="5">
          <tpl fld="1" item="7"/>
          <tpl fld="2" item="2"/>
          <tpl hier="10" item="4"/>
          <tpl hier="11" item="0"/>
          <tpl fld="0" item="0"/>
        </tpls>
      </n>
      <n v="-23549" in="0">
        <tpls c="4">
          <tpl fld="2" item="2"/>
          <tpl hier="10" item="4"/>
          <tpl hier="11" item="0"/>
          <tpl fld="0" item="1"/>
        </tpls>
      </n>
      <n v="-5396" in="0">
        <tpls c="5">
          <tpl fld="1" item="7"/>
          <tpl fld="2" item="15"/>
          <tpl hier="10" item="4"/>
          <tpl hier="11" item="0"/>
          <tpl fld="0" item="0"/>
        </tpls>
      </n>
      <n v="-210305.75" in="0">
        <tpls c="5">
          <tpl fld="1" item="0"/>
          <tpl fld="2" item="0"/>
          <tpl hier="10" item="4"/>
          <tpl hier="11" item="0"/>
          <tpl fld="0" item="0"/>
        </tpls>
      </n>
      <m in="0">
        <tpls c="5">
          <tpl fld="1" item="4"/>
          <tpl fld="2" item="7"/>
          <tpl hier="10" item="4"/>
          <tpl hier="11" item="0"/>
          <tpl fld="0" item="1"/>
        </tpls>
      </m>
      <n v="-1940" in="0">
        <tpls c="5">
          <tpl fld="1" item="0"/>
          <tpl fld="2" item="1"/>
          <tpl hier="10" item="4"/>
          <tpl hier="11" item="0"/>
          <tpl fld="0" item="1"/>
        </tpls>
      </n>
      <n v="-17266" in="0">
        <tpls c="5">
          <tpl fld="1" item="9"/>
          <tpl fld="2" item="6"/>
          <tpl hier="10" item="4"/>
          <tpl hier="11" item="0"/>
          <tpl fld="0" item="1"/>
        </tpls>
      </n>
      <n v="-9378" in="0">
        <tpls c="5">
          <tpl fld="1" item="10"/>
          <tpl fld="2" item="10"/>
          <tpl hier="10" item="4"/>
          <tpl hier="11" item="0"/>
          <tpl fld="0" item="1"/>
        </tpls>
      </n>
      <n v="-4808.25" in="0">
        <tpls c="5">
          <tpl fld="1" item="0"/>
          <tpl fld="2" item="1"/>
          <tpl hier="10" item="4"/>
          <tpl hier="11" item="0"/>
          <tpl fld="0" item="0"/>
        </tpls>
      </n>
      <n v="-3917.75" in="0">
        <tpls c="5">
          <tpl fld="1" item="1"/>
          <tpl fld="2" item="1"/>
          <tpl hier="10" item="4"/>
          <tpl hier="11" item="0"/>
          <tpl fld="0" item="0"/>
        </tpls>
      </n>
      <n v="-13602" in="0">
        <tpls c="5">
          <tpl fld="1" item="1"/>
          <tpl fld="2" item="12"/>
          <tpl hier="10" item="4"/>
          <tpl hier="11" item="0"/>
          <tpl fld="0" item="1"/>
        </tpls>
      </n>
      <n v="-236134.5" in="0">
        <tpls c="5">
          <tpl fld="1" item="7"/>
          <tpl fld="2" item="0"/>
          <tpl hier="10" item="4"/>
          <tpl hier="11" item="0"/>
          <tpl fld="0" item="0"/>
        </tpls>
      </n>
      <m in="0">
        <tpls c="5">
          <tpl fld="1" item="9"/>
          <tpl fld="2" item="4"/>
          <tpl hier="10" item="4"/>
          <tpl hier="11" item="0"/>
          <tpl fld="0" item="1"/>
        </tpls>
      </m>
      <n v="-7296" in="0">
        <tpls c="5">
          <tpl fld="1" item="3"/>
          <tpl fld="2" item="10"/>
          <tpl hier="10" item="4"/>
          <tpl hier="11" item="0"/>
          <tpl fld="0" item="1"/>
        </tpls>
      </n>
      <m in="0">
        <tpls c="5">
          <tpl fld="1" item="2"/>
          <tpl fld="2" item="4"/>
          <tpl hier="10" item="4"/>
          <tpl hier="11" item="0"/>
          <tpl fld="0" item="0"/>
        </tpls>
      </m>
      <n v="-334537" in="0">
        <tpls c="5">
          <tpl fld="1" item="1"/>
          <tpl hier="9" item="4294967295"/>
          <tpl hier="10" item="4"/>
          <tpl hier="11" item="0"/>
          <tpl fld="0" item="0"/>
        </tpls>
      </n>
      <m in="0">
        <tpls c="5">
          <tpl fld="1" item="11"/>
          <tpl fld="2" item="8"/>
          <tpl hier="10" item="4"/>
          <tpl hier="11" item="0"/>
          <tpl fld="0" item="1"/>
        </tpls>
      </m>
      <n v="-20973" in="0">
        <tpls c="5">
          <tpl fld="1" item="1"/>
          <tpl fld="2" item="6"/>
          <tpl hier="10" item="4"/>
          <tpl hier="11" item="0"/>
          <tpl fld="0" item="1"/>
        </tpls>
      </n>
      <m in="0">
        <tpls c="5">
          <tpl fld="1" item="0"/>
          <tpl fld="2" item="7"/>
          <tpl hier="10" item="4"/>
          <tpl hier="11" item="0"/>
          <tpl fld="0" item="1"/>
        </tpls>
      </m>
      <n v="-1206.25" in="0">
        <tpls c="5">
          <tpl fld="1" item="1"/>
          <tpl fld="2" item="5"/>
          <tpl hier="10" item="4"/>
          <tpl hier="11" item="0"/>
          <tpl fld="0" item="0"/>
        </tpls>
      </n>
      <m in="0">
        <tpls c="5">
          <tpl fld="1" item="0"/>
          <tpl fld="2" item="7"/>
          <tpl hier="10" item="4"/>
          <tpl hier="11" item="0"/>
          <tpl fld="0" item="0"/>
        </tpls>
      </m>
      <n v="-440" in="0">
        <tpls c="5">
          <tpl fld="1" item="7"/>
          <tpl fld="2" item="2"/>
          <tpl hier="10" item="4"/>
          <tpl hier="11" item="0"/>
          <tpl fld="0" item="1"/>
        </tpls>
      </n>
      <n v="-267573" in="0">
        <tpls c="5">
          <tpl fld="1" item="8"/>
          <tpl hier="9" item="4294967295"/>
          <tpl hier="10" item="4"/>
          <tpl hier="11" item="0"/>
          <tpl fld="0" item="1"/>
        </tpls>
      </n>
      <m in="0">
        <tpls c="5">
          <tpl fld="1" item="1"/>
          <tpl fld="2" item="9"/>
          <tpl hier="10" item="4"/>
          <tpl hier="11" item="0"/>
          <tpl fld="0" item="0"/>
        </tpls>
      </m>
      <m in="0">
        <tpls c="5">
          <tpl fld="1" item="2"/>
          <tpl fld="2" item="7"/>
          <tpl hier="10" item="4"/>
          <tpl hier="11" item="0"/>
          <tpl fld="0" item="1"/>
        </tpls>
      </m>
      <n v="-2873.5" in="0">
        <tpls c="5">
          <tpl fld="1" item="8"/>
          <tpl fld="2" item="2"/>
          <tpl hier="10" item="4"/>
          <tpl hier="11" item="0"/>
          <tpl fld="0" item="0"/>
        </tpls>
      </n>
      <n v="-751" in="0">
        <tpls c="5">
          <tpl fld="1" item="6"/>
          <tpl fld="2" item="5"/>
          <tpl hier="10" item="4"/>
          <tpl hier="11" item="0"/>
          <tpl fld="0" item="1"/>
        </tpls>
      </n>
      <m in="0">
        <tpls c="5">
          <tpl fld="1" item="8"/>
          <tpl fld="2" item="7"/>
          <tpl hier="10" item="4"/>
          <tpl hier="11" item="0"/>
          <tpl fld="0" item="0"/>
        </tpls>
      </m>
      <n v="-4478.75" in="0">
        <tpls c="5">
          <tpl fld="1" item="4"/>
          <tpl fld="2" item="12"/>
          <tpl hier="10" item="4"/>
          <tpl hier="11" item="0"/>
          <tpl fld="0" item="0"/>
        </tpls>
      </n>
      <m in="0">
        <tpls c="5">
          <tpl fld="1" item="7"/>
          <tpl fld="2" item="7"/>
          <tpl hier="10" item="4"/>
          <tpl hier="11" item="0"/>
          <tpl fld="0" item="0"/>
        </tpls>
      </m>
      <n v="-1920" in="0">
        <tpls c="5">
          <tpl fld="1" item="4"/>
          <tpl fld="2" item="1"/>
          <tpl hier="10" item="4"/>
          <tpl hier="11" item="0"/>
          <tpl fld="0" item="1"/>
        </tpls>
      </n>
      <n v="-420.5" in="0">
        <tpls c="5">
          <tpl fld="1" item="6"/>
          <tpl fld="2" item="11"/>
          <tpl hier="10" item="4"/>
          <tpl hier="11" item="0"/>
          <tpl fld="0" item="0"/>
        </tpls>
      </n>
      <n v="-3307.5" in="0">
        <tpls c="5">
          <tpl fld="1" item="2"/>
          <tpl fld="2" item="13"/>
          <tpl hier="10" item="4"/>
          <tpl hier="11" item="0"/>
          <tpl fld="0" item="0"/>
        </tpls>
      </n>
      <n v="-1649.75" in="0">
        <tpls c="5">
          <tpl fld="1" item="4"/>
          <tpl fld="2" item="5"/>
          <tpl hier="10" item="4"/>
          <tpl hier="11" item="0"/>
          <tpl fld="0" item="0"/>
        </tpls>
      </n>
      <m in="0">
        <tpls c="5">
          <tpl fld="1" item="10"/>
          <tpl fld="2" item="14"/>
          <tpl hier="10" item="4"/>
          <tpl hier="11" item="0"/>
          <tpl fld="0" item="1"/>
        </tpls>
      </m>
      <n v="-245688" in="0">
        <tpls c="4">
          <tpl fld="2" item="6"/>
          <tpl hier="10" item="4"/>
          <tpl hier="11" item="0"/>
          <tpl fld="0" item="1"/>
        </tpls>
      </n>
      <n v="-333503" in="0">
        <tpls c="5">
          <tpl fld="1" item="6"/>
          <tpl hier="9" item="4294967295"/>
          <tpl hier="10" item="4"/>
          <tpl hier="11" item="0"/>
          <tpl fld="0" item="1"/>
        </tpls>
      </n>
      <n v="-4904.25" in="0">
        <tpls c="5">
          <tpl fld="1" item="11"/>
          <tpl fld="2" item="15"/>
          <tpl hier="10" item="4"/>
          <tpl hier="11" item="0"/>
          <tpl fld="0" item="0"/>
        </tpls>
      </n>
      <n v="-1857" in="0">
        <tpls c="5">
          <tpl fld="1" item="0"/>
          <tpl fld="2" item="10"/>
          <tpl hier="10" item="4"/>
          <tpl hier="11" item="0"/>
          <tpl fld="0" item="1"/>
        </tpls>
      </n>
      <n v="-3828.75" in="0">
        <tpls c="5">
          <tpl fld="1" item="7"/>
          <tpl fld="2" item="1"/>
          <tpl hier="10" item="4"/>
          <tpl hier="11" item="0"/>
          <tpl fld="0" item="0"/>
        </tpls>
      </n>
      <n v="-3418" in="0">
        <tpls c="5">
          <tpl fld="1" item="4"/>
          <tpl fld="2" item="3"/>
          <tpl hier="10" item="4"/>
          <tpl hier="11" item="0"/>
          <tpl fld="0" item="1"/>
        </tpls>
      </n>
      <m in="0">
        <tpls c="5">
          <tpl fld="1" item="6"/>
          <tpl fld="2" item="7"/>
          <tpl hier="10" item="4"/>
          <tpl hier="11" item="0"/>
          <tpl fld="0" item="0"/>
        </tpls>
      </m>
      <n v="-3873.25" in="0">
        <tpls c="5">
          <tpl fld="1" item="1"/>
          <tpl fld="2" item="13"/>
          <tpl hier="10" item="4"/>
          <tpl hier="11" item="0"/>
          <tpl fld="0" item="0"/>
        </tpls>
      </n>
      <m in="0">
        <tpls c="5">
          <tpl fld="1" item="4"/>
          <tpl fld="2" item="14"/>
          <tpl hier="10" item="4"/>
          <tpl hier="11" item="0"/>
          <tpl fld="0" item="1"/>
        </tpls>
      </m>
      <n v="-3149941" in="0">
        <tpls c="4">
          <tpl hier="9" item="4294967295"/>
          <tpl hier="10" item="4"/>
          <tpl hier="11" item="0"/>
          <tpl fld="0" item="1"/>
        </tpls>
      </n>
      <n v="-452" in="0">
        <tpls c="5">
          <tpl fld="1" item="0"/>
          <tpl fld="2" item="11"/>
          <tpl hier="10" item="4"/>
          <tpl hier="11" item="0"/>
          <tpl fld="0" item="1"/>
        </tpls>
      </n>
      <m in="0">
        <tpls c="5">
          <tpl fld="1" item="2"/>
          <tpl fld="2" item="7"/>
          <tpl hier="10" item="4"/>
          <tpl hier="11" item="0"/>
          <tpl fld="0" item="0"/>
        </tpls>
      </m>
      <n v="-10967" in="0">
        <tpls c="5">
          <tpl fld="1" item="4"/>
          <tpl fld="2" item="10"/>
          <tpl hier="10" item="4"/>
          <tpl hier="11" item="0"/>
          <tpl fld="0" item="1"/>
        </tpls>
      </n>
      <n v="-7098" in="0">
        <tpls c="5">
          <tpl fld="1" item="11"/>
          <tpl fld="2" item="12"/>
          <tpl hier="10" item="4"/>
          <tpl hier="11" item="0"/>
          <tpl fld="0" item="1"/>
        </tpls>
      </n>
      <m in="0">
        <tpls c="5">
          <tpl fld="1" item="6"/>
          <tpl fld="2" item="7"/>
          <tpl hier="10" item="4"/>
          <tpl hier="11" item="0"/>
          <tpl fld="0" item="1"/>
        </tpls>
      </m>
      <n v="-7444" in="0">
        <tpls c="4">
          <tpl fld="2" item="11"/>
          <tpl hier="10" item="4"/>
          <tpl hier="11" item="0"/>
          <tpl fld="0" item="1"/>
        </tpls>
      </n>
      <n v="-14566" in="0">
        <tpls c="5">
          <tpl fld="1" item="4"/>
          <tpl fld="2" item="10"/>
          <tpl hier="10" item="4"/>
          <tpl hier="11" item="0"/>
          <tpl fld="0" item="0"/>
        </tpls>
      </n>
      <n v="-26934.5" in="0">
        <tpls c="4">
          <tpl fld="2" item="2"/>
          <tpl hier="10" item="4"/>
          <tpl hier="11" item="0"/>
          <tpl fld="0" item="0"/>
        </tpls>
      </n>
      <m in="0">
        <tpls c="5">
          <tpl fld="1" item="7"/>
          <tpl fld="2" item="14"/>
          <tpl hier="10" item="4"/>
          <tpl hier="11" item="0"/>
          <tpl fld="0" item="0"/>
        </tpls>
      </m>
      <m in="0">
        <tpls c="4">
          <tpl fld="2" item="7"/>
          <tpl hier="10" item="4"/>
          <tpl hier="11" item="0"/>
          <tpl fld="0" item="0"/>
        </tpls>
      </m>
      <n v="-4902.25" in="0">
        <tpls c="5">
          <tpl fld="1" item="5"/>
          <tpl fld="2" item="13"/>
          <tpl hier="10" item="4"/>
          <tpl hier="11" item="0"/>
          <tpl fld="0" item="0"/>
        </tpls>
      </n>
      <n v="-23320" in="0">
        <tpls c="4">
          <tpl fld="2" item="1"/>
          <tpl hier="10" item="4"/>
          <tpl hier="11" item="0"/>
          <tpl fld="0" item="1"/>
        </tpls>
      </n>
      <n v="-3829" in="0">
        <tpls c="5">
          <tpl fld="1" item="0"/>
          <tpl fld="2" item="12"/>
          <tpl hier="10" item="4"/>
          <tpl hier="11" item="0"/>
          <tpl fld="0" item="1"/>
        </tpls>
      </n>
      <m in="0">
        <tpls c="5">
          <tpl fld="1" item="2"/>
          <tpl fld="2" item="8"/>
          <tpl hier="10" item="4"/>
          <tpl hier="11" item="0"/>
          <tpl fld="0" item="1"/>
        </tpls>
      </m>
      <n v="-269408" in="0">
        <tpls c="5">
          <tpl fld="1" item="7"/>
          <tpl fld="2" item="0"/>
          <tpl hier="10" item="4"/>
          <tpl hier="11" item="0"/>
          <tpl fld="0" item="1"/>
        </tpls>
      </n>
      <m in="0">
        <tpls c="4">
          <tpl fld="2" item="7"/>
          <tpl hier="10" item="4"/>
          <tpl hier="11" item="0"/>
          <tpl fld="0" item="1"/>
        </tpls>
      </m>
      <n v="-3738" in="0">
        <tpls c="5">
          <tpl fld="1" item="5"/>
          <tpl fld="2" item="13"/>
          <tpl hier="10" item="4"/>
          <tpl hier="11" item="0"/>
          <tpl fld="0" item="1"/>
        </tpls>
      </n>
      <n v="-224153.75" in="0">
        <tpls c="4">
          <tpl fld="2" item="6"/>
          <tpl hier="10" item="4"/>
          <tpl hier="11" item="0"/>
          <tpl fld="0" item="0"/>
        </tpls>
      </n>
      <n v="-549" in="0">
        <tpls c="5">
          <tpl fld="1" item="11"/>
          <tpl fld="2" item="11"/>
          <tpl hier="10" item="4"/>
          <tpl hier="11" item="0"/>
          <tpl fld="0" item="0"/>
        </tpls>
      </n>
      <n v="-1861" in="0">
        <tpls c="5">
          <tpl fld="1" item="11"/>
          <tpl fld="2" item="3"/>
          <tpl hier="10" item="4"/>
          <tpl hier="11" item="0"/>
          <tpl fld="0" item="1"/>
        </tpls>
      </n>
      <n v="-141977" in="0">
        <tpls c="4">
          <tpl fld="2" item="10"/>
          <tpl hier="10" item="4"/>
          <tpl hier="11" item="0"/>
          <tpl fld="0" item="0"/>
        </tpls>
      </n>
      <m in="0">
        <tpls c="5">
          <tpl fld="1" item="11"/>
          <tpl fld="2" item="9"/>
          <tpl hier="10" item="4"/>
          <tpl hier="11" item="0"/>
          <tpl fld="0" item="0"/>
        </tpls>
      </m>
      <n v="-2718730.5" in="0">
        <tpls c="4">
          <tpl fld="2" item="0"/>
          <tpl hier="10" item="4"/>
          <tpl hier="11" item="0"/>
          <tpl fld="0" item="0"/>
        </tpls>
      </n>
      <n v="-1920" in="0">
        <tpls c="5">
          <tpl fld="1" item="8"/>
          <tpl fld="2" item="1"/>
          <tpl hier="10" item="4"/>
          <tpl hier="11" item="0"/>
          <tpl fld="0" item="1"/>
        </tpls>
      </n>
      <n v="-18306" in="0">
        <tpls c="4">
          <tpl fld="2" item="5"/>
          <tpl hier="10" item="4"/>
          <tpl hier="11" item="0"/>
          <tpl fld="0" item="1"/>
        </tpls>
      </n>
      <n v="-118985" in="0">
        <tpls c="4">
          <tpl fld="2" item="10"/>
          <tpl hier="10" item="4"/>
          <tpl hier="11" item="0"/>
          <tpl fld="0" item="1"/>
        </tpls>
      </n>
      <n v="-1222.5" in="0">
        <tpls c="5">
          <tpl fld="1" item="11"/>
          <tpl fld="2" item="5"/>
          <tpl hier="10" item="4"/>
          <tpl hier="11" item="0"/>
          <tpl fld="0" item="0"/>
        </tpls>
      </n>
      <n v="-27403" in="0">
        <tpls c="4">
          <tpl fld="2" item="3"/>
          <tpl hier="10" item="4"/>
          <tpl hier="11" item="0"/>
          <tpl fld="0" item="0"/>
        </tpls>
      </n>
      <m in="0">
        <tpls c="5">
          <tpl fld="1" item="8"/>
          <tpl fld="2" item="4"/>
          <tpl hier="10" item="4"/>
          <tpl hier="11" item="0"/>
          <tpl fld="0" item="1"/>
        </tpls>
      </m>
      <n v="-11101" in="0">
        <tpls c="5">
          <tpl fld="1" item="11"/>
          <tpl fld="2" item="10"/>
          <tpl hier="10" item="4"/>
          <tpl hier="11" item="0"/>
          <tpl fld="0" item="0"/>
        </tpls>
      </n>
      <n v="-371125" in="0">
        <tpls c="5">
          <tpl fld="1" item="9"/>
          <tpl hier="9" item="4294967295"/>
          <tpl hier="10" item="4"/>
          <tpl hier="11" item="0"/>
          <tpl fld="0" item="1"/>
        </tpls>
      </n>
      <n v="-2293.5" in="0">
        <tpls c="5">
          <tpl fld="1" item="3"/>
          <tpl fld="2" item="3"/>
          <tpl hier="10" item="4"/>
          <tpl hier="11" item="0"/>
          <tpl fld="0" item="0"/>
        </tpls>
      </n>
      <n v="-2225.5" in="0">
        <tpls c="5">
          <tpl fld="1" item="9"/>
          <tpl fld="2" item="2"/>
          <tpl hier="10" item="4"/>
          <tpl hier="11" item="0"/>
          <tpl fld="0" item="0"/>
        </tpls>
      </n>
      <n v="-1977.25" in="0">
        <tpls c="5">
          <tpl fld="1" item="11"/>
          <tpl fld="2" item="2"/>
          <tpl hier="10" item="4"/>
          <tpl hier="11" item="0"/>
          <tpl fld="0" item="0"/>
        </tpls>
      </n>
      <n v="-463.75" in="0">
        <tpls c="5">
          <tpl fld="1" item="10"/>
          <tpl fld="2" item="11"/>
          <tpl hier="10" item="4"/>
          <tpl hier="11" item="0"/>
          <tpl fld="0" item="0"/>
        </tpls>
      </n>
      <m in="0">
        <tpls c="5">
          <tpl fld="1" item="1"/>
          <tpl fld="2" item="3"/>
          <tpl hier="10" item="4"/>
          <tpl hier="11" item="0"/>
          <tpl fld="0" item="1"/>
        </tpls>
      </m>
      <n v="-6352" in="0">
        <tpls c="5">
          <tpl fld="1" item="2"/>
          <tpl fld="2" item="12"/>
          <tpl hier="10" item="4"/>
          <tpl hier="11" item="0"/>
          <tpl fld="0" item="1"/>
        </tpls>
      </n>
      <m in="0">
        <tpls c="4">
          <tpl fld="2" item="4"/>
          <tpl hier="10" item="4"/>
          <tpl hier="11" item="0"/>
          <tpl fld="0" item="0"/>
        </tpls>
      </m>
      <m in="0">
        <tpls c="5">
          <tpl fld="1" item="5"/>
          <tpl fld="2" item="8"/>
          <tpl hier="10" item="4"/>
          <tpl hier="11" item="0"/>
          <tpl fld="0" item="0"/>
        </tpls>
      </m>
      <n v="-5709.5" in="0">
        <tpls c="5">
          <tpl fld="1" item="1"/>
          <tpl fld="2" item="12"/>
          <tpl hier="10" item="4"/>
          <tpl hier="11" item="0"/>
          <tpl fld="0" item="0"/>
        </tpls>
      </n>
      <n v="-195147" in="0">
        <tpls c="5">
          <tpl fld="1" item="2"/>
          <tpl hier="9" item="4294967295"/>
          <tpl hier="10" item="4"/>
          <tpl hier="11" item="0"/>
          <tpl fld="0" item="1"/>
        </tpls>
      </n>
      <n v="-5555.75" in="0">
        <tpls c="5">
          <tpl fld="1" item="0"/>
          <tpl fld="2" item="15"/>
          <tpl hier="10" item="4"/>
          <tpl hier="11" item="0"/>
          <tpl fld="0" item="0"/>
        </tpls>
      </n>
      <m in="0">
        <tpls c="5">
          <tpl fld="1" item="10"/>
          <tpl fld="2" item="8"/>
          <tpl hier="10" item="4"/>
          <tpl hier="11" item="0"/>
          <tpl fld="0" item="1"/>
        </tpls>
      </m>
      <n v="-487.75" in="0">
        <tpls c="5">
          <tpl fld="1" item="4"/>
          <tpl fld="2" item="11"/>
          <tpl hier="10" item="4"/>
          <tpl hier="11" item="0"/>
          <tpl fld="0" item="0"/>
        </tpls>
      </n>
      <n v="-5750" in="0">
        <tpls c="5">
          <tpl fld="1" item="11"/>
          <tpl fld="2" item="12"/>
          <tpl hier="10" item="4"/>
          <tpl hier="11" item="0"/>
          <tpl fld="0" item="0"/>
        </tpls>
      </n>
      <n v="-4756.25" in="0">
        <tpls c="5">
          <tpl fld="1" item="5"/>
          <tpl fld="2" item="12"/>
          <tpl hier="10" item="4"/>
          <tpl hier="11" item="0"/>
          <tpl fld="0" item="0"/>
        </tpls>
      </n>
      <n v="-3183" in="0">
        <tpls c="5">
          <tpl fld="1" item="2"/>
          <tpl fld="2" item="15"/>
          <tpl hier="10" item="4"/>
          <tpl hier="11" item="0"/>
          <tpl fld="0" item="1"/>
        </tpls>
      </n>
      <n v="-15497" in="0">
        <tpls c="5">
          <tpl fld="1" item="6"/>
          <tpl fld="2" item="6"/>
          <tpl hier="10" item="4"/>
          <tpl hier="11" item="0"/>
          <tpl fld="0" item="0"/>
        </tpls>
      </n>
      <n v="-5938.75" in="0">
        <tpls c="5">
          <tpl fld="1" item="8"/>
          <tpl fld="2" item="1"/>
          <tpl hier="10" item="4"/>
          <tpl hier="11" item="0"/>
          <tpl fld="0" item="0"/>
        </tpls>
      </n>
      <m in="0">
        <tpls c="5">
          <tpl fld="1" item="9"/>
          <tpl fld="2" item="9"/>
          <tpl hier="10" item="4"/>
          <tpl hier="11" item="0"/>
          <tpl fld="0" item="0"/>
        </tpls>
      </m>
      <n v="-5290" in="0">
        <tpls c="5">
          <tpl fld="1" item="9"/>
          <tpl fld="2" item="15"/>
          <tpl hier="10" item="4"/>
          <tpl hier="11" item="0"/>
          <tpl fld="0" item="0"/>
        </tpls>
      </n>
      <n v="-425" in="0">
        <tpls c="5">
          <tpl fld="1" item="2"/>
          <tpl fld="2" item="11"/>
          <tpl hier="10" item="4"/>
          <tpl hier="11" item="0"/>
          <tpl fld="0" item="1"/>
        </tpls>
      </n>
      <m in="0">
        <tpls c="5">
          <tpl fld="1" item="4"/>
          <tpl fld="2" item="14"/>
          <tpl hier="10" item="4"/>
          <tpl hier="11" item="0"/>
          <tpl fld="0" item="0"/>
        </tpls>
      </m>
      <n v="-242447.25" in="0">
        <tpls c="5">
          <tpl fld="1" item="2"/>
          <tpl fld="2" item="0"/>
          <tpl hier="10" item="4"/>
          <tpl hier="11" item="0"/>
          <tpl fld="0" item="0"/>
        </tpls>
      </n>
      <n v="-1920" in="0">
        <tpls c="5">
          <tpl fld="1" item="11"/>
          <tpl fld="2" item="1"/>
          <tpl hier="10" item="4"/>
          <tpl hier="11" item="0"/>
          <tpl fld="0" item="1"/>
        </tpls>
      </n>
      <n v="-233387.25" in="0">
        <tpls c="5">
          <tpl fld="1" item="5"/>
          <tpl fld="2" item="0"/>
          <tpl hier="10" item="4"/>
          <tpl hier="11" item="0"/>
          <tpl fld="0" item="0"/>
        </tpls>
      </n>
      <m in="0">
        <tpls c="5">
          <tpl fld="1" item="11"/>
          <tpl fld="2" item="9"/>
          <tpl hier="10" item="4"/>
          <tpl hier="11" item="0"/>
          <tpl fld="0" item="1"/>
        </tpls>
      </m>
      <m in="0">
        <tpls c="5">
          <tpl fld="1" item="6"/>
          <tpl fld="2" item="4"/>
          <tpl hier="10" item="4"/>
          <tpl hier="11" item="0"/>
          <tpl fld="0" item="0"/>
        </tpls>
      </m>
      <m in="0">
        <tpls c="5">
          <tpl fld="1" item="4"/>
          <tpl fld="2" item="4"/>
          <tpl hier="10" item="4"/>
          <tpl hier="11" item="0"/>
          <tpl fld="0" item="1"/>
        </tpls>
      </m>
      <n v="-5220.25" in="0">
        <tpls c="5">
          <tpl fld="1" item="3"/>
          <tpl fld="2" item="12"/>
          <tpl hier="10" item="4"/>
          <tpl hier="11" item="0"/>
          <tpl fld="0" item="0"/>
        </tpls>
      </n>
      <n v="-535.75" in="0">
        <tpls c="5">
          <tpl fld="1" item="2"/>
          <tpl fld="2" item="11"/>
          <tpl hier="10" item="4"/>
          <tpl hier="11" item="0"/>
          <tpl fld="0" item="0"/>
        </tpls>
      </n>
      <m in="0">
        <tpls c="5">
          <tpl fld="1" item="5"/>
          <tpl fld="2" item="8"/>
          <tpl hier="10" item="4"/>
          <tpl hier="11" item="0"/>
          <tpl fld="0" item="1"/>
        </tpls>
      </m>
      <n v="-1048.5" in="0">
        <tpls c="5">
          <tpl fld="1" item="7"/>
          <tpl fld="2" item="5"/>
          <tpl hier="10" item="4"/>
          <tpl hier="11" item="0"/>
          <tpl fld="0" item="0"/>
        </tpls>
      </n>
      <m in="0">
        <tpls c="5">
          <tpl fld="1" item="7"/>
          <tpl fld="2" item="7"/>
          <tpl hier="10" item="4"/>
          <tpl hier="11" item="0"/>
          <tpl fld="0" item="1"/>
        </tpls>
      </m>
      <n v="-8791.25" in="0">
        <tpls c="5">
          <tpl fld="1" item="2"/>
          <tpl fld="2" item="10"/>
          <tpl hier="10" item="4"/>
          <tpl hier="11" item="0"/>
          <tpl fld="0" item="0"/>
        </tpls>
      </n>
      <n v="-869" in="0">
        <tpls c="5">
          <tpl fld="1" item="6"/>
          <tpl fld="2" item="11"/>
          <tpl hier="10" item="4"/>
          <tpl hier="11" item="0"/>
          <tpl fld="0" item="1"/>
        </tpls>
      </n>
      <n v="-3055" in="0">
        <tpls c="5">
          <tpl fld="1" item="2"/>
          <tpl fld="2" item="13"/>
          <tpl hier="10" item="4"/>
          <tpl hier="11" item="0"/>
          <tpl fld="0" item="1"/>
        </tpls>
      </n>
      <m in="0">
        <tpls c="5">
          <tpl fld="1" item="4"/>
          <tpl fld="2" item="4"/>
          <tpl hier="10" item="4"/>
          <tpl hier="11" item="0"/>
          <tpl fld="0" item="0"/>
        </tpls>
      </m>
      <m in="0">
        <tpls c="5">
          <tpl fld="1" item="7"/>
          <tpl fld="2" item="14"/>
          <tpl hier="10" item="4"/>
          <tpl hier="11" item="0"/>
          <tpl fld="0" item="1"/>
        </tpls>
      </m>
      <m in="0">
        <tpls c="4">
          <tpl fld="2" item="8"/>
          <tpl hier="10" item="4"/>
          <tpl hier="11" item="0"/>
          <tpl fld="0" item="1"/>
        </tpls>
      </m>
      <n v="-3406790" in="0">
        <tpls c="4">
          <tpl hier="9" item="4294967295"/>
          <tpl hier="10" item="4"/>
          <tpl hier="11" item="0"/>
          <tpl fld="0" item="0"/>
        </tpls>
      </n>
      <n v="-7451.5" in="0">
        <tpls c="5">
          <tpl fld="1" item="10"/>
          <tpl fld="2" item="15"/>
          <tpl hier="10" item="4"/>
          <tpl hier="11" item="0"/>
          <tpl fld="0" item="0"/>
        </tpls>
      </n>
      <n v="-17479.25" in="0">
        <tpls c="5">
          <tpl fld="1" item="0"/>
          <tpl fld="2" item="10"/>
          <tpl hier="10" item="4"/>
          <tpl hier="11" item="0"/>
          <tpl fld="0" item="0"/>
        </tpls>
      </n>
      <n v="-2745.75" in="0">
        <tpls c="5">
          <tpl fld="1" item="2"/>
          <tpl fld="2" item="2"/>
          <tpl hier="10" item="4"/>
          <tpl hier="11" item="0"/>
          <tpl fld="0" item="0"/>
        </tpls>
      </n>
      <n v="-5630.5" in="0">
        <tpls c="5">
          <tpl fld="1" item="4"/>
          <tpl fld="2" item="13"/>
          <tpl hier="10" item="4"/>
          <tpl hier="11" item="0"/>
          <tpl fld="0" item="0"/>
        </tpls>
      </n>
      <n v="-6552" in="0">
        <tpls c="5">
          <tpl fld="1" item="1"/>
          <tpl fld="2" item="10"/>
          <tpl hier="10" item="4"/>
          <tpl hier="11" item="0"/>
          <tpl fld="0" item="1"/>
        </tpls>
      </n>
      <n v="-5886.5" in="0">
        <tpls c="4">
          <tpl fld="2" item="11"/>
          <tpl hier="10" item="4"/>
          <tpl hier="11" item="0"/>
          <tpl fld="0" item="0"/>
        </tpls>
      </n>
      <m in="0">
        <tpls c="5">
          <tpl fld="1" item="4"/>
          <tpl fld="2" item="9"/>
          <tpl hier="10" item="4"/>
          <tpl hier="11" item="0"/>
          <tpl fld="0" item="0"/>
        </tpls>
      </m>
      <n v="-26240" in="0">
        <tpls c="4">
          <tpl fld="2" item="3"/>
          <tpl hier="10" item="4"/>
          <tpl hier="11" item="0"/>
          <tpl fld="0" item="1"/>
        </tpls>
      </n>
      <n v="-4344" in="0">
        <tpls c="5">
          <tpl fld="1" item="10"/>
          <tpl fld="2" item="15"/>
          <tpl hier="10" item="4"/>
          <tpl hier="11" item="0"/>
          <tpl fld="0" item="1"/>
        </tpls>
      </n>
      <m in="0">
        <tpls c="5">
          <tpl fld="1" item="1"/>
          <tpl fld="2" item="8"/>
          <tpl hier="10" item="4"/>
          <tpl hier="11" item="0"/>
          <tpl fld="0" item="1"/>
        </tpls>
      </m>
      <n v="-959" in="0">
        <tpls c="5">
          <tpl fld="1" item="6"/>
          <tpl fld="2" item="3"/>
          <tpl hier="10" item="4"/>
          <tpl hier="11" item="0"/>
          <tpl fld="0" item="1"/>
        </tpls>
      </n>
      <n v="-659" in="0">
        <tpls c="5">
          <tpl fld="1" item="8"/>
          <tpl fld="2" item="5"/>
          <tpl hier="10" item="4"/>
          <tpl hier="11" item="0"/>
          <tpl fld="0" item="1"/>
        </tpls>
      </n>
      <n v="-6867" in="0">
        <tpls c="5">
          <tpl fld="1" item="5"/>
          <tpl fld="2" item="10"/>
          <tpl hier="10" item="4"/>
          <tpl hier="11" item="0"/>
          <tpl fld="0" item="1"/>
        </tpls>
      </n>
      <n v="-5594" in="0">
        <tpls c="5">
          <tpl fld="1" item="1"/>
          <tpl fld="2" item="13"/>
          <tpl hier="10" item="4"/>
          <tpl hier="11" item="0"/>
          <tpl fld="0" item="1"/>
        </tpls>
      </n>
      <m in="0">
        <tpls c="5">
          <tpl fld="1" item="9"/>
          <tpl fld="2" item="14"/>
          <tpl hier="10" item="4"/>
          <tpl hier="11" item="0"/>
          <tpl fld="0" item="0"/>
        </tpls>
      </m>
      <n v="-544.25" in="0">
        <tpls c="5">
          <tpl fld="1" item="0"/>
          <tpl fld="2" item="11"/>
          <tpl hier="10" item="4"/>
          <tpl hier="11" item="0"/>
          <tpl fld="0" item="0"/>
        </tpls>
      </n>
      <n v="-299" in="0">
        <tpls c="5">
          <tpl fld="1" item="7"/>
          <tpl fld="2" item="11"/>
          <tpl hier="10" item="4"/>
          <tpl hier="11" item="0"/>
          <tpl fld="0" item="1"/>
        </tpls>
      </n>
      <n v="-3069" in="0">
        <tpls c="5">
          <tpl fld="1" item="6"/>
          <tpl fld="2" item="13"/>
          <tpl hier="10" item="4"/>
          <tpl hier="11" item="0"/>
          <tpl fld="0" item="1"/>
        </tpls>
      </n>
      <n v="-13192.25" in="0">
        <tpls c="5">
          <tpl fld="1" item="6"/>
          <tpl fld="2" item="10"/>
          <tpl hier="10" item="4"/>
          <tpl hier="11" item="0"/>
          <tpl fld="0" item="0"/>
        </tpls>
      </n>
      <n v="-193394.25" in="0">
        <tpls c="5">
          <tpl fld="1" item="4"/>
          <tpl fld="2" item="0"/>
          <tpl hier="10" item="4"/>
          <tpl hier="11" item="0"/>
          <tpl fld="0" item="0"/>
        </tpls>
      </n>
      <n v="-61053.75" in="0">
        <tpls c="4">
          <tpl fld="2" item="13"/>
          <tpl hier="10" item="4"/>
          <tpl hier="11" item="0"/>
          <tpl fld="0" item="0"/>
        </tpls>
      </n>
      <n v="-1252" in="0">
        <tpls c="5">
          <tpl fld="1" item="3"/>
          <tpl fld="2" item="2"/>
          <tpl hier="10" item="4"/>
          <tpl hier="11" item="0"/>
          <tpl fld="0" item="1"/>
        </tpls>
      </n>
      <n v="-113243" in="0">
        <tpls c="5">
          <tpl fld="1" item="1"/>
          <tpl fld="2" item="0"/>
          <tpl hier="10" item="4"/>
          <tpl hier="11" item="0"/>
          <tpl fld="0" item="1"/>
        </tpls>
      </n>
      <n v="-8379" in="0">
        <tpls c="5">
          <tpl fld="1" item="6"/>
          <tpl fld="2" item="10"/>
          <tpl hier="10" item="4"/>
          <tpl hier="11" item="0"/>
          <tpl fld="0" item="1"/>
        </tpls>
      </n>
      <n v="-5693.5" in="0">
        <tpls c="5">
          <tpl fld="1" item="4"/>
          <tpl fld="2" item="1"/>
          <tpl hier="10" item="4"/>
          <tpl hier="11" item="0"/>
          <tpl fld="0" item="0"/>
        </tpls>
      </n>
      <m in="0">
        <tpls c="5">
          <tpl fld="1" item="3"/>
          <tpl fld="2" item="7"/>
          <tpl hier="10" item="4"/>
          <tpl hier="11" item="0"/>
          <tpl fld="0" item="1"/>
        </tpls>
      </m>
      <m in="0">
        <tpls c="5">
          <tpl fld="1" item="8"/>
          <tpl fld="2" item="8"/>
          <tpl hier="10" item="4"/>
          <tpl hier="11" item="0"/>
          <tpl fld="0" item="0"/>
        </tpls>
      </m>
      <n v="-6788" in="0">
        <tpls c="5">
          <tpl fld="1" item="9"/>
          <tpl fld="2" item="13"/>
          <tpl hier="10" item="4"/>
          <tpl hier="11" item="0"/>
          <tpl fld="0" item="0"/>
        </tpls>
      </n>
      <n v="-295431.75" in="0">
        <tpls c="5">
          <tpl fld="1" item="2"/>
          <tpl hier="9" item="4294967295"/>
          <tpl hier="10" item="4"/>
          <tpl hier="11" item="0"/>
          <tpl fld="0" item="0"/>
        </tpls>
      </n>
      <n v="-5186" in="0">
        <tpls c="5">
          <tpl fld="1" item="0"/>
          <tpl fld="2" item="13"/>
          <tpl hier="10" item="4"/>
          <tpl hier="11" item="0"/>
          <tpl fld="0" item="1"/>
        </tpls>
      </n>
      <n v="-1767" in="0">
        <tpls c="5">
          <tpl fld="1" item="1"/>
          <tpl fld="2" item="5"/>
          <tpl hier="10" item="4"/>
          <tpl hier="11" item="0"/>
          <tpl fld="0" item="1"/>
        </tpls>
      </n>
      <n v="-2067.5" in="0">
        <tpls c="5">
          <tpl fld="1" item="4"/>
          <tpl fld="2" item="2"/>
          <tpl hier="10" item="4"/>
          <tpl hier="11" item="0"/>
          <tpl fld="0" item="0"/>
        </tpls>
      </n>
      <n v="-6346" in="0">
        <tpls c="5">
          <tpl fld="1" item="9"/>
          <tpl fld="2" item="13"/>
          <tpl hier="10" item="4"/>
          <tpl hier="11" item="0"/>
          <tpl fld="0" item="1"/>
        </tpls>
      </n>
      <n v="-170767" in="0">
        <tpls c="5">
          <tpl fld="1" item="0"/>
          <tpl hier="9" item="4294967295"/>
          <tpl hier="10" item="4"/>
          <tpl hier="11" item="0"/>
          <tpl fld="0" item="1"/>
        </tpls>
      </n>
      <n v="-19045.25" in="0">
        <tpls c="5">
          <tpl fld="1" item="4"/>
          <tpl fld="2" item="6"/>
          <tpl hier="10" item="4"/>
          <tpl hier="11" item="0"/>
          <tpl fld="0" item="0"/>
        </tpls>
      </n>
      <n v="-3294" in="0">
        <tpls c="5">
          <tpl fld="1" item="4"/>
          <tpl fld="2" item="2"/>
          <tpl hier="10" item="4"/>
          <tpl hier="11" item="0"/>
          <tpl fld="0" item="1"/>
        </tpls>
      </n>
      <n v="-6586" in="0">
        <tpls c="5">
          <tpl fld="1" item="4"/>
          <tpl fld="2" item="12"/>
          <tpl hier="10" item="4"/>
          <tpl hier="11" item="0"/>
          <tpl fld="0" item="1"/>
        </tpls>
      </n>
      <m in="0">
        <tpls c="5">
          <tpl fld="1" item="6"/>
          <tpl fld="2" item="14"/>
          <tpl hier="10" item="4"/>
          <tpl hier="11" item="0"/>
          <tpl fld="0" item="0"/>
        </tpls>
      </m>
      <m in="0">
        <tpls c="5">
          <tpl fld="1" item="7"/>
          <tpl fld="2" item="8"/>
          <tpl hier="10" item="4"/>
          <tpl hier="11" item="0"/>
          <tpl fld="0" item="1"/>
        </tpls>
      </m>
      <m in="0">
        <tpls c="5">
          <tpl fld="1" item="6"/>
          <tpl fld="2" item="14"/>
          <tpl hier="10" item="4"/>
          <tpl hier="11" item="0"/>
          <tpl fld="0" item="1"/>
        </tpls>
      </m>
      <m in="0">
        <tpls c="5">
          <tpl fld="1" item="11"/>
          <tpl fld="2" item="7"/>
          <tpl hier="10" item="4"/>
          <tpl hier="11" item="0"/>
          <tpl fld="0" item="1"/>
        </tpls>
      </m>
      <m in="0">
        <tpls c="5">
          <tpl fld="1" item="6"/>
          <tpl fld="2" item="8"/>
          <tpl hier="10" item="4"/>
          <tpl hier="11" item="0"/>
          <tpl fld="0" item="0"/>
        </tpls>
      </m>
      <n v="-5689.5" in="0">
        <tpls c="5">
          <tpl fld="1" item="10"/>
          <tpl fld="2" item="13"/>
          <tpl hier="10" item="4"/>
          <tpl hier="11" item="0"/>
          <tpl fld="0" item="0"/>
        </tpls>
      </n>
      <n v="-3580" in="0">
        <tpls c="5">
          <tpl fld="1" item="0"/>
          <tpl fld="2" item="15"/>
          <tpl hier="10" item="4"/>
          <tpl hier="11" item="0"/>
          <tpl fld="0" item="1"/>
        </tpls>
      </n>
      <n v="-303182" in="0">
        <tpls c="5">
          <tpl fld="1" item="6"/>
          <tpl fld="2" item="0"/>
          <tpl hier="10" item="4"/>
          <tpl hier="11" item="0"/>
          <tpl fld="0" item="1"/>
        </tpls>
      </n>
      <n v="-1843.5" in="0">
        <tpls c="5">
          <tpl fld="1" item="5"/>
          <tpl fld="2" item="3"/>
          <tpl hier="10" item="4"/>
          <tpl hier="11" item="0"/>
          <tpl fld="0" item="0"/>
        </tpls>
      </n>
      <m in="0">
        <tpls c="4">
          <tpl fld="2" item="14"/>
          <tpl hier="10" item="4"/>
          <tpl hier="11" item="0"/>
          <tpl fld="0" item="1"/>
        </tpls>
      </m>
      <n v="-2373" in="0">
        <tpls c="5">
          <tpl fld="1" item="8"/>
          <tpl fld="2" item="3"/>
          <tpl hier="10" item="4"/>
          <tpl hier="11" item="0"/>
          <tpl fld="0" item="1"/>
        </tpls>
      </n>
      <m in="0">
        <tpls c="5">
          <tpl fld="1" item="9"/>
          <tpl fld="2" item="8"/>
          <tpl hier="10" item="4"/>
          <tpl hier="11" item="0"/>
          <tpl fld="0" item="1"/>
        </tpls>
      </m>
      <n v="-1828.75" in="0">
        <tpls c="5">
          <tpl fld="1" item="6"/>
          <tpl fld="2" item="3"/>
          <tpl hier="10" item="4"/>
          <tpl hier="11" item="0"/>
          <tpl fld="0" item="0"/>
        </tpls>
      </n>
      <m in="0">
        <tpls c="4">
          <tpl fld="2" item="9"/>
          <tpl hier="10" item="4"/>
          <tpl hier="11" item="0"/>
          <tpl fld="0" item="1"/>
        </tpls>
      </m>
      <n v="-261270.5" in="0">
        <tpls c="5">
          <tpl fld="1" item="3"/>
          <tpl hier="9" item="4294967295"/>
          <tpl hier="10" item="4"/>
          <tpl hier="11" item="0"/>
          <tpl fld="0" item="0"/>
        </tpls>
      </n>
      <n v="-630" in="0">
        <tpls c="5">
          <tpl fld="1" item="8"/>
          <tpl fld="2" item="2"/>
          <tpl hier="10" item="4"/>
          <tpl hier="11" item="0"/>
          <tpl fld="0" item="1"/>
        </tpls>
      </n>
      <n v="-3957" in="0">
        <tpls c="5">
          <tpl fld="1" item="10"/>
          <tpl fld="2" item="12"/>
          <tpl hier="10" item="4"/>
          <tpl hier="11" item="0"/>
          <tpl fld="0" item="1"/>
        </tpls>
      </n>
      <n v="-1442" in="0">
        <tpls c="5">
          <tpl fld="1" item="0"/>
          <tpl fld="2" item="3"/>
          <tpl hier="10" item="4"/>
          <tpl hier="11" item="0"/>
          <tpl fld="0" item="1"/>
        </tpls>
      </n>
      <n v="-1204" in="0">
        <tpls c="5">
          <tpl fld="1" item="11"/>
          <tpl fld="2" item="11"/>
          <tpl hier="10" item="4"/>
          <tpl hier="11" item="0"/>
          <tpl fld="0" item="1"/>
        </tpls>
      </n>
      <n v="-20462.5" in="0">
        <tpls c="5">
          <tpl fld="1" item="0"/>
          <tpl fld="2" item="6"/>
          <tpl hier="10" item="4"/>
          <tpl hier="11" item="0"/>
          <tpl fld="0" item="0"/>
        </tpls>
      </n>
      <n v="-5844" in="0">
        <tpls c="5">
          <tpl fld="1" item="6"/>
          <tpl fld="2" item="6"/>
          <tpl hier="10" item="4"/>
          <tpl hier="11" item="0"/>
          <tpl fld="0" item="1"/>
        </tpls>
      </n>
      <m in="0">
        <tpls c="5">
          <tpl fld="1" item="11"/>
          <tpl fld="2" item="4"/>
          <tpl hier="10" item="4"/>
          <tpl hier="11" item="0"/>
          <tpl fld="0" item="1"/>
        </tpls>
      </m>
      <m in="0">
        <tpls c="5">
          <tpl fld="1" item="7"/>
          <tpl fld="2" item="4"/>
          <tpl hier="10" item="4"/>
          <tpl hier="11" item="0"/>
          <tpl fld="0" item="1"/>
        </tpls>
      </m>
      <n v="-1268" in="0">
        <tpls c="5">
          <tpl fld="1" item="4"/>
          <tpl fld="2" item="15"/>
          <tpl hier="10" item="4"/>
          <tpl hier="11" item="0"/>
          <tpl fld="0" item="1"/>
        </tpls>
      </n>
      <m in="0">
        <tpls c="5">
          <tpl fld="1" item="11"/>
          <tpl fld="2" item="8"/>
          <tpl hier="10" item="4"/>
          <tpl hier="11" item="0"/>
          <tpl fld="0" item="0"/>
        </tpls>
      </m>
      <n v="-974" in="0">
        <tpls c="5">
          <tpl fld="1" item="9"/>
          <tpl fld="2" item="11"/>
          <tpl hier="10" item="4"/>
          <tpl hier="11" item="0"/>
          <tpl fld="0" item="1"/>
        </tpls>
      </n>
      <n v="-274599.75" in="0">
        <tpls c="5">
          <tpl fld="1" item="0"/>
          <tpl hier="9" item="4294967295"/>
          <tpl hier="10" item="4"/>
          <tpl hier="11" item="0"/>
          <tpl fld="0" item="0"/>
        </tpls>
      </n>
      <m in="0">
        <tpls c="5">
          <tpl fld="1" item="9"/>
          <tpl fld="2" item="4"/>
          <tpl hier="10" item="4"/>
          <tpl hier="11" item="0"/>
          <tpl fld="0" item="0"/>
        </tpls>
      </m>
      <n v="-5511.5" in="0">
        <tpls c="5">
          <tpl fld="1" item="0"/>
          <tpl fld="2" item="13"/>
          <tpl hier="10" item="4"/>
          <tpl hier="11" item="0"/>
          <tpl fld="0" item="0"/>
        </tpls>
      </n>
      <n v="-2834" in="0">
        <tpls c="5">
          <tpl fld="1" item="7"/>
          <tpl fld="2" item="3"/>
          <tpl hier="10" item="4"/>
          <tpl hier="11" item="0"/>
          <tpl fld="0" item="0"/>
        </tpls>
      </n>
      <n v="-6388" in="0">
        <tpls c="5">
          <tpl fld="1" item="11"/>
          <tpl fld="2" item="13"/>
          <tpl hier="10" item="4"/>
          <tpl hier="11" item="0"/>
          <tpl fld="0" item="0"/>
        </tpls>
      </n>
      <m in="0">
        <tpls c="5">
          <tpl fld="1" item="0"/>
          <tpl fld="2" item="14"/>
          <tpl hier="10" item="4"/>
          <tpl hier="11" item="0"/>
          <tpl fld="0" item="1"/>
        </tpls>
      </m>
      <n v="-2718" in="0">
        <tpls c="5">
          <tpl fld="1" item="9"/>
          <tpl fld="2" item="3"/>
          <tpl hier="10" item="4"/>
          <tpl hier="11" item="0"/>
          <tpl fld="0" item="1"/>
        </tpls>
      </n>
      <m in="0">
        <tpls c="5">
          <tpl fld="1" item="1"/>
          <tpl fld="2" item="11"/>
          <tpl hier="10" item="4"/>
          <tpl hier="11" item="0"/>
          <tpl fld="0" item="1"/>
        </tpls>
      </m>
      <n v="-868" in="0">
        <tpls c="5">
          <tpl fld="1" item="11"/>
          <tpl fld="2" item="13"/>
          <tpl hier="10" item="4"/>
          <tpl hier="11" item="0"/>
          <tpl fld="0" item="1"/>
        </tpls>
      </n>
      <m in="0">
        <tpls c="5">
          <tpl fld="1" item="0"/>
          <tpl fld="2" item="14"/>
          <tpl hier="10" item="4"/>
          <tpl hier="11" item="0"/>
          <tpl fld="0" item="0"/>
        </tpls>
      </m>
      <n v="-1242" in="0">
        <tpls c="5">
          <tpl fld="1" item="2"/>
          <tpl fld="2" item="3"/>
          <tpl hier="10" item="4"/>
          <tpl hier="11" item="0"/>
          <tpl fld="0" item="1"/>
        </tpls>
      </n>
      <n v="-273924" in="0">
        <tpls c="5">
          <tpl fld="1" item="3"/>
          <tpl hier="9" item="4294967295"/>
          <tpl hier="10" item="4"/>
          <tpl hier="11" item="0"/>
          <tpl fld="0" item="1"/>
        </tpls>
      </n>
      <m in="0">
        <tpls c="5">
          <tpl fld="1" item="5"/>
          <tpl fld="2" item="4"/>
          <tpl hier="10" item="4"/>
          <tpl hier="11" item="0"/>
          <tpl fld="0" item="1"/>
        </tpls>
      </m>
      <n v="-1146" in="0">
        <tpls c="5">
          <tpl fld="1" item="9"/>
          <tpl fld="2" item="2"/>
          <tpl hier="10" item="4"/>
          <tpl hier="11" item="0"/>
          <tpl fld="0" item="1"/>
        </tpls>
      </n>
      <m in="0">
        <tpls c="5">
          <tpl fld="1" item="10"/>
          <tpl fld="2" item="8"/>
          <tpl hier="10" item="4"/>
          <tpl hier="11" item="0"/>
          <tpl fld="0" item="0"/>
        </tpls>
      </m>
      <n v="-13035.5" in="0">
        <tpls c="5">
          <tpl fld="1" item="8"/>
          <tpl fld="2" item="10"/>
          <tpl hier="10" item="4"/>
          <tpl hier="11" item="0"/>
          <tpl fld="0" item="0"/>
        </tpls>
      </n>
      <n v="-5620.5" in="0">
        <tpls c="5">
          <tpl fld="1" item="2"/>
          <tpl fld="2" item="15"/>
          <tpl hier="10" item="4"/>
          <tpl hier="11" item="0"/>
          <tpl fld="0" item="0"/>
        </tpls>
      </n>
      <m in="0">
        <tpls c="5">
          <tpl fld="1" item="9"/>
          <tpl fld="2" item="7"/>
          <tpl hier="10" item="4"/>
          <tpl hier="11" item="0"/>
          <tpl fld="0" item="1"/>
        </tpls>
      </m>
      <n v="-2724" in="0">
        <tpls c="5">
          <tpl fld="1" item="4"/>
          <tpl fld="2" item="3"/>
          <tpl hier="10" item="4"/>
          <tpl hier="11" item="0"/>
          <tpl fld="0" item="0"/>
        </tpls>
      </n>
      <m in="0">
        <tpls c="5">
          <tpl fld="1" item="10"/>
          <tpl fld="2" item="4"/>
          <tpl hier="10" item="4"/>
          <tpl hier="11" item="0"/>
          <tpl fld="0" item="1"/>
        </tpls>
      </m>
      <m in="0">
        <tpls c="5">
          <tpl fld="1" item="1"/>
          <tpl fld="2" item="8"/>
          <tpl hier="10" item="4"/>
          <tpl hier="11" item="0"/>
          <tpl fld="0" item="0"/>
        </tpls>
      </m>
      <m in="0">
        <tpls c="5">
          <tpl fld="1" item="9"/>
          <tpl fld="2" item="9"/>
          <tpl hier="10" item="4"/>
          <tpl hier="11" item="0"/>
          <tpl fld="0" item="1"/>
        </tpls>
      </m>
      <m in="0">
        <tpls c="5">
          <tpl fld="1" item="2"/>
          <tpl fld="2" item="14"/>
          <tpl hier="10" item="4"/>
          <tpl hier="11" item="0"/>
          <tpl fld="0" item="1"/>
        </tpls>
      </m>
      <n v="-10967" in="0">
        <tpls c="5">
          <tpl fld="1" item="9"/>
          <tpl fld="2" item="10"/>
          <tpl hier="10" item="4"/>
          <tpl hier="11" item="0"/>
          <tpl fld="0" item="0"/>
        </tpls>
      </n>
      <n v="-4001" in="0">
        <tpls c="5">
          <tpl fld="1" item="5"/>
          <tpl fld="2" item="1"/>
          <tpl hier="10" item="4"/>
          <tpl hier="11" item="0"/>
          <tpl fld="0" item="0"/>
        </tpls>
      </n>
      <n v="-4730.75" in="0">
        <tpls c="5">
          <tpl fld="1" item="10"/>
          <tpl fld="2" item="12"/>
          <tpl hier="10" item="4"/>
          <tpl hier="11" item="0"/>
          <tpl fld="0" item="0"/>
        </tpls>
      </n>
      <n v="-421" in="0">
        <tpls c="5">
          <tpl fld="1" item="4"/>
          <tpl fld="2" item="11"/>
          <tpl hier="10" item="4"/>
          <tpl hier="11" item="0"/>
          <tpl fld="0" item="1"/>
        </tpls>
      </n>
      <n v="-279889" in="0">
        <tpls c="5">
          <tpl fld="1" item="8"/>
          <tpl hier="9" item="4294967295"/>
          <tpl hier="10" item="4"/>
          <tpl hier="11" item="0"/>
          <tpl fld="0" item="0"/>
        </tpls>
      </n>
      <m in="0">
        <tpls c="5">
          <tpl fld="1" item="1"/>
          <tpl fld="2" item="14"/>
          <tpl hier="10" item="4"/>
          <tpl hier="11" item="0"/>
          <tpl fld="0" item="0"/>
        </tpls>
      </m>
      <n v="-2252" in="0">
        <tpls c="5">
          <tpl fld="1" item="1"/>
          <tpl fld="2" item="2"/>
          <tpl hier="10" item="4"/>
          <tpl hier="11" item="0"/>
          <tpl fld="0" item="0"/>
        </tpls>
      </n>
      <n v="-1803" in="0">
        <tpls c="5">
          <tpl fld="1" item="2"/>
          <tpl fld="2" item="3"/>
          <tpl hier="10" item="4"/>
          <tpl hier="11" item="0"/>
          <tpl fld="0" item="0"/>
        </tpls>
      </n>
      <n v="-1103.25" in="0">
        <tpls c="5">
          <tpl fld="1" item="6"/>
          <tpl fld="2" item="5"/>
          <tpl hier="10" item="4"/>
          <tpl hier="11" item="0"/>
          <tpl fld="0" item="0"/>
        </tpls>
      </n>
      <m in="0">
        <tpls c="5">
          <tpl fld="1" item="2"/>
          <tpl fld="2" item="9"/>
          <tpl hier="10" item="4"/>
          <tpl hier="11" item="0"/>
          <tpl fld="0" item="1"/>
        </tpls>
      </m>
      <n v="-214049" in="0">
        <tpls c="5">
          <tpl fld="1" item="8"/>
          <tpl fld="2" item="0"/>
          <tpl hier="10" item="4"/>
          <tpl hier="11" item="0"/>
          <tpl fld="0" item="1"/>
        </tpls>
      </n>
      <m in="0">
        <tpls c="5">
          <tpl fld="1" item="9"/>
          <tpl fld="2" item="7"/>
          <tpl hier="10" item="4"/>
          <tpl hier="11" item="0"/>
          <tpl fld="0" item="0"/>
        </tpls>
      </m>
      <m in="0">
        <tpls c="5">
          <tpl fld="1" item="3"/>
          <tpl fld="2" item="9"/>
          <tpl hier="10" item="4"/>
          <tpl hier="11" item="0"/>
          <tpl fld="0" item="0"/>
        </tpls>
      </m>
      <n v="-276350.25" in="0">
        <tpls c="5">
          <tpl fld="1" item="1"/>
          <tpl fld="2" item="0"/>
          <tpl hier="10" item="4"/>
          <tpl hier="11" item="0"/>
          <tpl fld="0" item="0"/>
        </tpls>
      </n>
      <m in="0">
        <tpls c="5">
          <tpl fld="1" item="2"/>
          <tpl fld="2" item="4"/>
          <tpl hier="10" item="4"/>
          <tpl hier="11" item="0"/>
          <tpl fld="0" item="1"/>
        </tpls>
      </m>
      <m in="0">
        <tpls c="5">
          <tpl fld="1" item="10"/>
          <tpl fld="2" item="9"/>
          <tpl hier="10" item="4"/>
          <tpl hier="11" item="0"/>
          <tpl fld="0" item="1"/>
        </tpls>
      </m>
      <m in="0">
        <tpls c="5">
          <tpl fld="1" item="5"/>
          <tpl fld="2" item="9"/>
          <tpl hier="10" item="4"/>
          <tpl hier="11" item="0"/>
          <tpl fld="0" item="1"/>
        </tpls>
      </m>
      <n v="-5806" in="0">
        <tpls c="5">
          <tpl fld="1" item="8"/>
          <tpl fld="2" item="12"/>
          <tpl hier="10" item="4"/>
          <tpl hier="11" item="0"/>
          <tpl fld="0" item="0"/>
        </tpls>
      </n>
      <n v="-1345" in="0">
        <tpls c="5">
          <tpl fld="1" item="8"/>
          <tpl fld="2" item="5"/>
          <tpl hier="10" item="4"/>
          <tpl hier="11" item="0"/>
          <tpl fld="0" item="0"/>
        </tpls>
      </n>
      <n v="-1313" in="0">
        <tpls c="5">
          <tpl fld="1" item="9"/>
          <tpl fld="2" item="5"/>
          <tpl hier="10" item="4"/>
          <tpl hier="11" item="0"/>
          <tpl fld="0" item="1"/>
        </tpls>
      </n>
      <n v="-1918" in="0">
        <tpls c="5">
          <tpl fld="1" item="10"/>
          <tpl fld="2" item="5"/>
          <tpl hier="10" item="4"/>
          <tpl hier="11" item="0"/>
          <tpl fld="0" item="1"/>
        </tpls>
      </n>
      <n v="-288824.25" in="0">
        <tpls c="5">
          <tpl fld="1" item="5"/>
          <tpl hier="9" item="4294967295"/>
          <tpl hier="10" item="4"/>
          <tpl hier="11" item="0"/>
          <tpl fld="0" item="0"/>
        </tpls>
      </n>
      <n v="-5149" in="0">
        <tpls c="5">
          <tpl fld="1" item="1"/>
          <tpl fld="2" item="15"/>
          <tpl hier="10" item="4"/>
          <tpl hier="11" item="0"/>
          <tpl fld="0" item="1"/>
        </tpls>
      </n>
      <n v="-2274.25" in="0">
        <tpls c="5">
          <tpl fld="1" item="0"/>
          <tpl fld="2" item="3"/>
          <tpl hier="10" item="4"/>
          <tpl hier="11" item="0"/>
          <tpl fld="0" item="0"/>
        </tpls>
      </n>
      <m in="0">
        <tpls c="5">
          <tpl fld="1" item="3"/>
          <tpl fld="2" item="4"/>
          <tpl hier="10" item="4"/>
          <tpl hier="11" item="0"/>
          <tpl fld="0" item="0"/>
        </tpls>
      </m>
      <m in="0">
        <tpls c="5">
          <tpl fld="1" item="2"/>
          <tpl fld="2" item="9"/>
          <tpl hier="10" item="4"/>
          <tpl hier="11" item="0"/>
          <tpl fld="0" item="0"/>
        </tpls>
      </m>
      <n v="-20424" in="0">
        <tpls c="5">
          <tpl fld="1" item="7"/>
          <tpl fld="2" item="6"/>
          <tpl hier="10" item="4"/>
          <tpl hier="11" item="0"/>
          <tpl fld="0" item="1"/>
        </tpls>
      </n>
      <n v="-1068" in="0">
        <tpls c="5">
          <tpl fld="1" item="6"/>
          <tpl fld="2" item="2"/>
          <tpl hier="10" item="4"/>
          <tpl hier="11" item="0"/>
          <tpl fld="0" item="1"/>
        </tpls>
      </n>
      <m in="0">
        <tpls c="5">
          <tpl fld="1" item="1"/>
          <tpl fld="2" item="4"/>
          <tpl hier="10" item="4"/>
          <tpl hier="11" item="0"/>
          <tpl fld="0" item="0"/>
        </tpls>
      </m>
      <m in="0">
        <tpls c="5">
          <tpl fld="1" item="8"/>
          <tpl fld="2" item="9"/>
          <tpl hier="10" item="4"/>
          <tpl hier="11" item="0"/>
          <tpl fld="0" item="0"/>
        </tpls>
      </m>
      <n v="-1373" in="0">
        <tpls c="5">
          <tpl fld="1" item="5"/>
          <tpl fld="2" item="5"/>
          <tpl hier="10" item="4"/>
          <tpl hier="11" item="0"/>
          <tpl fld="0" item="1"/>
        </tpls>
      </n>
      <n v="-2589" in="0">
        <tpls c="5">
          <tpl fld="1" item="8"/>
          <tpl fld="2" item="12"/>
          <tpl hier="10" item="4"/>
          <tpl hier="11" item="0"/>
          <tpl fld="0" item="1"/>
        </tpls>
      </n>
      <n v="-4262.5" in="0">
        <tpls c="5">
          <tpl fld="1" item="10"/>
          <tpl fld="2" item="1"/>
          <tpl hier="10" item="4"/>
          <tpl hier="11" item="0"/>
          <tpl fld="0" item="0"/>
        </tpls>
      </n>
      <n v="-13744" in="0">
        <tpls c="5">
          <tpl fld="1" item="9"/>
          <tpl fld="2" item="10"/>
          <tpl hier="10" item="4"/>
          <tpl hier="11" item="0"/>
          <tpl fld="0" item="1"/>
        </tpls>
      </n>
      <n v="-4532" in="0">
        <tpls c="5">
          <tpl fld="1" item="10"/>
          <tpl fld="2" item="2"/>
          <tpl hier="10" item="4"/>
          <tpl hier="11" item="0"/>
          <tpl fld="0" item="1"/>
        </tpls>
      </n>
      <n v="-255329" in="0">
        <tpls c="5">
          <tpl fld="1" item="5"/>
          <tpl hier="9" item="4294967295"/>
          <tpl hier="10" item="4"/>
          <tpl hier="11" item="0"/>
          <tpl fld="0" item="1"/>
        </tpls>
      </n>
      <n v="-6208.25" in="0">
        <tpls c="5">
          <tpl fld="1" item="5"/>
          <tpl fld="2" item="15"/>
          <tpl hier="10" item="4"/>
          <tpl hier="11" item="0"/>
          <tpl fld="0" item="0"/>
        </tpls>
      </n>
      <m in="0">
        <tpls c="5">
          <tpl fld="1" item="0"/>
          <tpl fld="2" item="4"/>
          <tpl hier="10" item="4"/>
          <tpl hier="11" item="0"/>
          <tpl fld="0" item="1"/>
        </tpls>
      </m>
      <n v="-3844.25" in="0">
        <tpls c="5">
          <tpl fld="1" item="3"/>
          <tpl fld="2" item="1"/>
          <tpl hier="10" item="4"/>
          <tpl hier="11" item="0"/>
          <tpl fld="0" item="0"/>
        </tpls>
      </n>
      <n v="-203088" in="0">
        <tpls c="5">
          <tpl fld="1" item="5"/>
          <tpl fld="2" item="0"/>
          <tpl hier="10" item="4"/>
          <tpl hier="11" item="0"/>
          <tpl fld="0" item="1"/>
        </tpls>
      </n>
      <n v="-1939" in="0">
        <tpls c="5">
          <tpl fld="1" item="11"/>
          <tpl fld="2" item="3"/>
          <tpl hier="10" item="4"/>
          <tpl hier="11" item="0"/>
          <tpl fld="0" item="0"/>
        </tpls>
      </n>
      <m in="0">
        <tpls c="5">
          <tpl fld="1" item="1"/>
          <tpl fld="2" item="4"/>
          <tpl hier="10" item="4"/>
          <tpl hier="11" item="0"/>
          <tpl fld="0" item="1"/>
        </tpls>
      </m>
      <m in="0">
        <tpls c="5">
          <tpl fld="1" item="8"/>
          <tpl fld="2" item="9"/>
          <tpl hier="10" item="4"/>
          <tpl hier="11" item="0"/>
          <tpl fld="0" item="1"/>
        </tpls>
      </m>
      <m in="0">
        <tpls c="5">
          <tpl fld="1" item="5"/>
          <tpl fld="2" item="7"/>
          <tpl hier="10" item="4"/>
          <tpl hier="11" item="0"/>
          <tpl fld="0" item="1"/>
        </tpls>
      </m>
      <n v="-4868.75" in="0">
        <tpls c="5">
          <tpl fld="1" item="7"/>
          <tpl fld="2" item="12"/>
          <tpl hier="10" item="4"/>
          <tpl hier="11" item="0"/>
          <tpl fld="0" item="0"/>
        </tpls>
      </n>
      <m in="0">
        <tpls c="5">
          <tpl fld="1" item="10"/>
          <tpl fld="2" item="4"/>
          <tpl hier="10" item="4"/>
          <tpl hier="11" item="0"/>
          <tpl fld="0" item="0"/>
        </tpls>
      </m>
      <n v="-316663" in="0">
        <tpls c="5">
          <tpl fld="1" item="9"/>
          <tpl fld="2" item="0"/>
          <tpl hier="10" item="4"/>
          <tpl hier="11" item="0"/>
          <tpl fld="0" item="1"/>
        </tpls>
      </n>
      <n v="-1166" in="0">
        <tpls c="5">
          <tpl fld="1" item="5"/>
          <tpl fld="2" item="5"/>
          <tpl hier="10" item="4"/>
          <tpl hier="11" item="0"/>
          <tpl fld="0" item="0"/>
        </tpls>
      </n>
      <n v="-255910.5" in="0">
        <tpls c="5">
          <tpl fld="1" item="4"/>
          <tpl hier="9" item="4294967295"/>
          <tpl hier="10" item="4"/>
          <tpl hier="11" item="0"/>
          <tpl fld="0" item="0"/>
        </tpls>
      </n>
      <n v="-3387" in="0">
        <tpls c="5">
          <tpl fld="1" item="5"/>
          <tpl fld="2" item="15"/>
          <tpl hier="10" item="4"/>
          <tpl hier="11" item="0"/>
          <tpl fld="0" item="1"/>
        </tpls>
      </n>
      <m in="0">
        <tpls c="5">
          <tpl fld="1" item="0"/>
          <tpl fld="2" item="4"/>
          <tpl hier="10" item="4"/>
          <tpl hier="11" item="0"/>
          <tpl fld="0" item="0"/>
        </tpls>
      </m>
      <n v="-5364.75" in="0">
        <tpls c="5">
          <tpl fld="1" item="6"/>
          <tpl fld="2" item="1"/>
          <tpl hier="10" item="4"/>
          <tpl hier="11" item="0"/>
          <tpl fld="0" item="0"/>
        </tpls>
      </n>
      <m in="0">
        <tpls c="5">
          <tpl fld="1" item="9"/>
          <tpl fld="2" item="8"/>
          <tpl hier="10" item="4"/>
          <tpl hier="11" item="0"/>
          <tpl fld="0" item="0"/>
        </tpls>
      </m>
      <n v="-218677.25" in="0">
        <tpls c="5">
          <tpl fld="1" item="8"/>
          <tpl fld="2" item="0"/>
          <tpl hier="10" item="4"/>
          <tpl hier="11" item="0"/>
          <tpl fld="0" item="0"/>
        </tpls>
      </n>
      <n v="-1940" in="0">
        <tpls c="5">
          <tpl fld="1" item="1"/>
          <tpl fld="2" item="1"/>
          <tpl hier="10" item="4"/>
          <tpl hier="11" item="0"/>
          <tpl fld="0" item="1"/>
        </tpls>
      </n>
      <n v="-2377" in="0">
        <tpls c="5">
          <tpl fld="1" item="10"/>
          <tpl fld="2" item="3"/>
          <tpl hier="10" item="4"/>
          <tpl hier="11" item="0"/>
          <tpl fld="0" item="1"/>
        </tpls>
      </n>
      <n v="-22892" in="0">
        <tpls c="5">
          <tpl fld="1" item="11"/>
          <tpl fld="2" item="6"/>
          <tpl hier="10" item="4"/>
          <tpl hier="11" item="0"/>
          <tpl fld="0" item="1"/>
        </tpls>
      </n>
      <m in="0">
        <tpls c="5">
          <tpl fld="1" item="5"/>
          <tpl fld="2" item="4"/>
          <tpl hier="10" item="4"/>
          <tpl hier="11" item="0"/>
          <tpl fld="0" item="0"/>
        </tpls>
      </m>
      <m in="0">
        <tpls c="5">
          <tpl fld="1" item="7"/>
          <tpl fld="2" item="9"/>
          <tpl hier="10" item="4"/>
          <tpl hier="11" item="0"/>
          <tpl fld="0" item="0"/>
        </tpls>
      </m>
      <n v="-25558" in="0">
        <tpls c="5">
          <tpl fld="1" item="5"/>
          <tpl fld="2" item="6"/>
          <tpl hier="10" item="4"/>
          <tpl hier="11" item="0"/>
          <tpl fld="0" item="1"/>
        </tpls>
      </n>
      <n v="-6413" in="0">
        <tpls c="5">
          <tpl fld="1" item="7"/>
          <tpl fld="2" item="12"/>
          <tpl hier="10" item="4"/>
          <tpl hier="11" item="0"/>
          <tpl fld="0" item="1"/>
        </tpls>
      </n>
      <n v="-1222.25" in="0">
        <tpls c="5">
          <tpl fld="1" item="10"/>
          <tpl fld="2" item="5"/>
          <tpl hier="10" item="4"/>
          <tpl hier="11" item="0"/>
          <tpl fld="0" item="0"/>
        </tpls>
      </n>
      <m in="0">
        <tpls c="5">
          <tpl fld="1" item="3"/>
          <tpl fld="2" item="14"/>
          <tpl hier="10" item="4"/>
          <tpl hier="11" item="0"/>
          <tpl fld="0" item="0"/>
        </tpls>
      </m>
      <n v="-10036" in="0">
        <tpls c="5">
          <tpl fld="1" item="5"/>
          <tpl fld="2" item="10"/>
          <tpl hier="10" item="4"/>
          <tpl hier="11" item="0"/>
          <tpl fld="0" item="0"/>
        </tpls>
      </n>
      <n v="-179317" in="0">
        <tpls c="5">
          <tpl fld="1" item="4"/>
          <tpl hier="9" item="4294967295"/>
          <tpl hier="10" item="4"/>
          <tpl hier="11" item="0"/>
          <tpl fld="0" item="1"/>
        </tpls>
      </n>
      <n v="-2384" in="0">
        <tpls c="5">
          <tpl fld="1" item="3"/>
          <tpl fld="2" item="15"/>
          <tpl hier="10" item="4"/>
          <tpl hier="11" item="0"/>
          <tpl fld="0" item="1"/>
        </tpls>
      </n>
      <n v="-2480" in="0">
        <tpls c="5">
          <tpl fld="1" item="0"/>
          <tpl fld="2" item="5"/>
          <tpl hier="10" item="4"/>
          <tpl hier="11" item="0"/>
          <tpl fld="0" item="1"/>
        </tpls>
      </n>
      <m in="0">
        <tpls c="5">
          <tpl fld="1" item="1"/>
          <tpl fld="2" item="7"/>
          <tpl hier="10" item="4"/>
          <tpl hier="11" item="0"/>
          <tpl fld="0" item="0"/>
        </tpls>
      </m>
      <n v="-14645.5" in="0">
        <tpls c="5">
          <tpl fld="1" item="7"/>
          <tpl fld="2" item="6"/>
          <tpl hier="10" item="4"/>
          <tpl hier="11" item="0"/>
          <tpl fld="0" item="0"/>
        </tpls>
      </n>
      <m in="0">
        <tpls c="5">
          <tpl fld="1" item="1"/>
          <tpl fld="2" item="14"/>
          <tpl hier="10" item="4"/>
          <tpl hier="11" item="0"/>
          <tpl fld="0" item="1"/>
        </tpls>
      </m>
      <n v="-18028" in="0">
        <tpls c="5">
          <tpl fld="1" item="8"/>
          <tpl fld="2" item="6"/>
          <tpl hier="10" item="4"/>
          <tpl hier="11" item="0"/>
          <tpl fld="0" item="0"/>
        </tpls>
      </n>
      <m in="0">
        <tpls c="5">
          <tpl fld="1" item="10"/>
          <tpl fld="2" item="7"/>
          <tpl hier="10" item="4"/>
          <tpl hier="11" item="0"/>
          <tpl fld="0" item="0"/>
        </tpls>
      </m>
      <n v="-1345" in="0">
        <tpls c="5">
          <tpl fld="1" item="3"/>
          <tpl fld="2" item="5"/>
          <tpl hier="10" item="4"/>
          <tpl hier="11" item="0"/>
          <tpl fld="0" item="0"/>
        </tpls>
      </n>
      <m in="0">
        <tpls c="5">
          <tpl fld="1" item="7"/>
          <tpl fld="2" item="9"/>
          <tpl hier="10" item="4"/>
          <tpl hier="11" item="0"/>
          <tpl fld="0" item="1"/>
        </tpls>
      </m>
      <n v="-1960" in="0">
        <tpls c="5">
          <tpl fld="1" item="5"/>
          <tpl fld="2" item="1"/>
          <tpl hier="10" item="4"/>
          <tpl hier="11" item="0"/>
          <tpl fld="0" item="1"/>
        </tpls>
      </n>
      <n v="-5220" in="0">
        <tpls c="5">
          <tpl fld="1" item="6"/>
          <tpl fld="2" item="12"/>
          <tpl hier="10" item="4"/>
          <tpl hier="11" item="0"/>
          <tpl fld="0" item="0"/>
        </tpls>
      </n>
      <n v="-2068.5" in="0">
        <tpls c="5">
          <tpl fld="1" item="10"/>
          <tpl fld="2" item="2"/>
          <tpl hier="10" item="4"/>
          <tpl hier="11" item="0"/>
          <tpl fld="0" item="0"/>
        </tpls>
      </n>
      <m in="0">
        <tpls c="5">
          <tpl fld="1" item="3"/>
          <tpl fld="2" item="14"/>
          <tpl hier="10" item="4"/>
          <tpl hier="11" item="0"/>
          <tpl fld="0" item="1"/>
        </tpls>
      </m>
      <m in="0">
        <tpls c="5">
          <tpl fld="1" item="5"/>
          <tpl fld="2" item="9"/>
          <tpl hier="10" item="4"/>
          <tpl hier="11" item="0"/>
          <tpl fld="0" item="0"/>
        </tpls>
      </m>
      <n v="-264217.25" in="0">
        <tpls c="5">
          <tpl fld="1" item="9"/>
          <tpl hier="9" item="4294967295"/>
          <tpl hier="10" item="4"/>
          <tpl hier="11" item="0"/>
          <tpl fld="0" item="0"/>
        </tpls>
      </n>
      <n v="-6173.25" in="0">
        <tpls c="5">
          <tpl fld="1" item="4"/>
          <tpl fld="2" item="15"/>
          <tpl hier="10" item="4"/>
          <tpl hier="11" item="0"/>
          <tpl fld="0" item="0"/>
        </tpls>
      </n>
      <n v="-1233.75" in="0">
        <tpls c="5">
          <tpl fld="1" item="0"/>
          <tpl fld="2" item="5"/>
          <tpl hier="10" item="4"/>
          <tpl hier="11" item="0"/>
          <tpl fld="0" item="0"/>
        </tpls>
      </n>
      <n v="-2167.75" in="0">
        <tpls c="5">
          <tpl fld="1" item="9"/>
          <tpl fld="2" item="3"/>
          <tpl hier="10" item="4"/>
          <tpl hier="11" item="0"/>
          <tpl fld="0" item="0"/>
        </tpls>
      </n>
      <n v="-569.75" in="0">
        <tpls c="5">
          <tpl fld="1" item="1"/>
          <tpl fld="2" item="11"/>
          <tpl hier="10" item="4"/>
          <tpl hier="11" item="0"/>
          <tpl fld="0" item="0"/>
        </tpls>
      </n>
      <n v="-195567.25" in="0">
        <tpls c="5">
          <tpl fld="1" item="6"/>
          <tpl fld="2" item="0"/>
          <tpl hier="10" item="4"/>
          <tpl hier="11" item="0"/>
          <tpl fld="0" item="0"/>
        </tpls>
      </n>
      <n v="-711" in="0">
        <tpls c="5">
          <tpl fld="1" item="5"/>
          <tpl fld="2" item="11"/>
          <tpl hier="10" item="4"/>
          <tpl hier="11" item="0"/>
          <tpl fld="0" item="1"/>
        </tpls>
      </n>
      <n v="-1054" in="0">
        <tpls c="5">
          <tpl fld="1" item="3"/>
          <tpl fld="2" item="5"/>
          <tpl hier="10" item="4"/>
          <tpl hier="11" item="0"/>
          <tpl fld="0" item="1"/>
        </tpls>
      </n>
      <m in="0">
        <tpls c="5">
          <tpl fld="1" item="6"/>
          <tpl fld="2" item="9"/>
          <tpl hier="10" item="4"/>
          <tpl hier="11" item="0"/>
          <tpl fld="0" item="0"/>
        </tpls>
      </m>
      <n v="-2546" in="0">
        <tpls c="5">
          <tpl fld="1" item="5"/>
          <tpl fld="2" item="2"/>
          <tpl hier="10" item="4"/>
          <tpl hier="11" item="0"/>
          <tpl fld="0" item="1"/>
        </tpls>
      </n>
      <n v="-2478" in="0">
        <tpls c="5">
          <tpl fld="1" item="6"/>
          <tpl fld="2" item="12"/>
          <tpl hier="10" item="4"/>
          <tpl hier="11" item="0"/>
          <tpl fld="0" item="1"/>
        </tpls>
      </n>
      <n v="-194476.25" in="0">
        <tpls c="5">
          <tpl fld="1" item="10"/>
          <tpl fld="2" item="0"/>
          <tpl hier="10" item="4"/>
          <tpl hier="11" item="0"/>
          <tpl fld="0" item="0"/>
        </tpls>
      </n>
      <m in="0">
        <tpls c="5">
          <tpl fld="1" item="2"/>
          <tpl fld="2" item="14"/>
          <tpl hier="10" item="4"/>
          <tpl hier="11" item="0"/>
          <tpl fld="0" item="0"/>
        </tpls>
      </m>
      <m in="0">
        <tpls c="5">
          <tpl fld="1" item="5"/>
          <tpl fld="2" item="7"/>
          <tpl hier="10" item="4"/>
          <tpl hier="11" item="0"/>
          <tpl fld="0" item="0"/>
        </tpls>
      </m>
      <n v="-367812.5" in="0">
        <tpls c="5">
          <tpl fld="1" item="11"/>
          <tpl hier="9" item="4294967295"/>
          <tpl hier="10" item="4"/>
          <tpl hier="11" item="0"/>
          <tpl fld="0" item="0"/>
        </tpls>
      </n>
      <n v="-5105.75" in="0">
        <tpls c="5">
          <tpl fld="1" item="3"/>
          <tpl fld="2" item="15"/>
          <tpl hier="10" item="4"/>
          <tpl hier="11" item="0"/>
          <tpl fld="0" item="0"/>
        </tpls>
      </n>
      <n v="-14504" in="0">
        <tpls c="5">
          <tpl fld="1" item="0"/>
          <tpl fld="2" item="6"/>
          <tpl hier="10" item="4"/>
          <tpl hier="11" item="0"/>
          <tpl fld="0" item="1"/>
        </tpls>
      </n>
      <n v="-1960" in="0">
        <tpls c="5">
          <tpl fld="1" item="7"/>
          <tpl fld="2" item="1"/>
          <tpl hier="10" item="4"/>
          <tpl hier="11" item="0"/>
          <tpl fld="0" item="1"/>
        </tpls>
      </n>
      <n v="-138284" in="0">
        <tpls c="5">
          <tpl fld="1" item="2"/>
          <tpl fld="2" item="0"/>
          <tpl hier="10" item="4"/>
          <tpl hier="11" item="0"/>
          <tpl fld="0" item="1"/>
        </tpls>
      </n>
      <m in="0">
        <tpls c="5">
          <tpl fld="1" item="1"/>
          <tpl fld="2" item="9"/>
          <tpl hier="10" item="4"/>
          <tpl hier="11" item="0"/>
          <tpl fld="0" item="1"/>
        </tpls>
      </m>
      <n v="-20547.5" in="0">
        <tpls c="5">
          <tpl fld="1" item="11"/>
          <tpl fld="2" item="6"/>
          <tpl hier="10" item="4"/>
          <tpl hier="11" item="0"/>
          <tpl fld="0" item="0"/>
        </tpls>
      </n>
      <n v="-61099" in="0">
        <tpls c="4">
          <tpl fld="2" item="12"/>
          <tpl hier="10" item="4"/>
          <tpl hier="11" item="0"/>
          <tpl fld="0" item="0"/>
        </tpls>
      </n>
      <n v="-25304" in="0">
        <tpls c="5">
          <tpl fld="1" item="4"/>
          <tpl fld="2" item="6"/>
          <tpl hier="10" item="4"/>
          <tpl hier="11" item="0"/>
          <tpl fld="0" item="1"/>
        </tpls>
      </n>
      <n v="-501" in="0">
        <tpls c="5">
          <tpl fld="1" item="8"/>
          <tpl fld="2" item="11"/>
          <tpl hier="10" item="4"/>
          <tpl hier="11" item="0"/>
          <tpl fld="0" item="1"/>
        </tpls>
      </n>
      <n v="-22686.75" in="0">
        <tpls c="5">
          <tpl fld="1" item="1"/>
          <tpl fld="2" item="6"/>
          <tpl hier="10" item="4"/>
          <tpl hier="11" item="0"/>
          <tpl fld="0" item="0"/>
        </tpls>
      </n>
      <n v="-6796" in="0">
        <tpls c="5">
          <tpl fld="1" item="7"/>
          <tpl fld="2" item="13"/>
          <tpl hier="10" item="4"/>
          <tpl hier="11" item="0"/>
          <tpl fld="0" item="1"/>
        </tpls>
      </n>
      <n v="-6267" in="0">
        <tpls c="5">
          <tpl fld="1" item="7"/>
          <tpl fld="2" item="10"/>
          <tpl hier="10" item="4"/>
          <tpl hier="11" item="0"/>
          <tpl fld="0" item="1"/>
        </tpls>
      </n>
      <n v="-5129" in="0">
        <tpls c="5">
          <tpl fld="1" item="9"/>
          <tpl fld="2" item="1"/>
          <tpl hier="10" item="4"/>
          <tpl hier="11" item="0"/>
          <tpl fld="0" item="0"/>
        </tpls>
      </n>
      <m in="0">
        <tpls c="5">
          <tpl fld="1" item="0"/>
          <tpl fld="2" item="8"/>
          <tpl hier="10" item="4"/>
          <tpl hier="11" item="0"/>
          <tpl fld="0" item="1"/>
        </tpls>
      </m>
      <n v="-208326.5" in="0">
        <tpls c="5">
          <tpl fld="1" item="9"/>
          <tpl fld="2" item="0"/>
          <tpl hier="10" item="4"/>
          <tpl hier="11" item="0"/>
          <tpl fld="0" item="0"/>
        </tpls>
      </n>
      <m in="0">
        <tpls c="5">
          <tpl fld="1" item="1"/>
          <tpl fld="2" item="7"/>
          <tpl hier="10" item="5"/>
          <tpl hier="11" item="0"/>
          <tpl fld="0" item="1"/>
        </tpls>
      </m>
      <m in="0">
        <tpls c="5">
          <tpl fld="1" item="3"/>
          <tpl fld="2" item="2"/>
          <tpl hier="10" item="5"/>
          <tpl hier="11" item="0"/>
          <tpl fld="0" item="0"/>
        </tpls>
      </m>
      <n v="-26337" in="0">
        <tpls c="5">
          <tpl fld="1" item="2"/>
          <tpl fld="2" item="6"/>
          <tpl hier="10" item="5"/>
          <tpl hier="11" item="0"/>
          <tpl fld="0" item="1"/>
        </tpls>
      </n>
      <n v="-864" in="0">
        <tpls c="5">
          <tpl fld="1" item="3"/>
          <tpl fld="2" item="11"/>
          <tpl hier="10" item="5"/>
          <tpl hier="11" item="0"/>
          <tpl fld="0" item="1"/>
        </tpls>
      </n>
      <n v="-11601.25" in="0">
        <tpls c="5">
          <tpl fld="1" item="3"/>
          <tpl fld="2" item="10"/>
          <tpl hier="10" item="5"/>
          <tpl hier="11" item="0"/>
          <tpl fld="0" item="0"/>
        </tpls>
      </n>
      <n v="-3050.25" in="0">
        <tpls c="5">
          <tpl fld="1" item="10"/>
          <tpl fld="2" item="3"/>
          <tpl hier="10" item="5"/>
          <tpl hier="11" item="0"/>
          <tpl fld="0" item="0"/>
        </tpls>
      </n>
      <m in="0">
        <tpls c="5">
          <tpl fld="1" item="11"/>
          <tpl fld="2" item="7"/>
          <tpl hier="10" item="5"/>
          <tpl hier="11" item="0"/>
          <tpl fld="0" item="0"/>
        </tpls>
      </m>
      <n v="-23970" in="0">
        <tpls c="5">
          <tpl fld="1" item="3"/>
          <tpl fld="2" item="6"/>
          <tpl hier="10" item="5"/>
          <tpl hier="11" item="0"/>
          <tpl fld="0" item="1"/>
        </tpls>
      </n>
      <m in="0">
        <tpls c="5">
          <tpl fld="1" item="4"/>
          <tpl fld="2" item="9"/>
          <tpl hier="10" item="5"/>
          <tpl hier="11" item="0"/>
          <tpl fld="0" item="1"/>
        </tpls>
      </m>
      <n v="-674" in="0">
        <tpls c="5">
          <tpl fld="1" item="10"/>
          <tpl fld="2" item="11"/>
          <tpl hier="10" item="5"/>
          <tpl hier="11" item="0"/>
          <tpl fld="0" item="1"/>
        </tpls>
      </n>
      <n v="-4498" in="0">
        <tpls c="5">
          <tpl fld="1" item="7"/>
          <tpl fld="2" item="13"/>
          <tpl hier="10" item="5"/>
          <tpl hier="11" item="0"/>
          <tpl fld="0" item="0"/>
        </tpls>
      </n>
      <n v="-1568" in="0">
        <tpls c="5">
          <tpl fld="1" item="11"/>
          <tpl fld="2" item="5"/>
          <tpl hier="10" item="5"/>
          <tpl hier="11" item="0"/>
          <tpl fld="0" item="1"/>
        </tpls>
      </n>
      <m in="0">
        <tpls c="5">
          <tpl fld="1" item="5"/>
          <tpl fld="2" item="14"/>
          <tpl hier="10" item="5"/>
          <tpl hier="11" item="0"/>
          <tpl fld="0" item="0"/>
        </tpls>
      </m>
      <n v="-70568" in="0">
        <tpls c="4">
          <tpl fld="2" item="13"/>
          <tpl hier="10" item="5"/>
          <tpl hier="11" item="0"/>
          <tpl fld="0" item="1"/>
        </tpls>
      </n>
      <n v="-288628.5" in="0">
        <tpls c="5">
          <tpl fld="1" item="7"/>
          <tpl hier="9" item="4294967295"/>
          <tpl hier="10" item="5"/>
          <tpl hier="11" item="0"/>
          <tpl fld="0" item="0"/>
        </tpls>
      </n>
      <n v="-7144" in="0">
        <tpls c="5">
          <tpl fld="1" item="11"/>
          <tpl fld="2" item="15"/>
          <tpl hier="10" item="5"/>
          <tpl hier="11" item="0"/>
          <tpl fld="0" item="1"/>
        </tpls>
      </n>
      <m in="0">
        <tpls c="5">
          <tpl fld="1" item="0"/>
          <tpl fld="2" item="8"/>
          <tpl hier="10" item="5"/>
          <tpl hier="11" item="0"/>
          <tpl fld="0" item="0"/>
        </tpls>
      </m>
      <n v="-2320" in="0">
        <tpls c="5">
          <tpl fld="1" item="6"/>
          <tpl fld="2" item="1"/>
          <tpl hier="10" item="5"/>
          <tpl hier="11" item="0"/>
          <tpl fld="0" item="1"/>
        </tpls>
      </n>
      <m in="0">
        <tpls c="5">
          <tpl fld="1" item="3"/>
          <tpl fld="2" item="7"/>
          <tpl hier="10" item="5"/>
          <tpl hier="11" item="0"/>
          <tpl fld="0" item="0"/>
        </tpls>
      </m>
      <m in="0">
        <tpls c="5">
          <tpl fld="1" item="6"/>
          <tpl fld="2" item="9"/>
          <tpl hier="10" item="5"/>
          <tpl hier="11" item="0"/>
          <tpl fld="0" item="1"/>
        </tpls>
      </m>
      <n v="-2535" in="0">
        <tpls c="5">
          <tpl fld="1" item="3"/>
          <tpl fld="2" item="3"/>
          <tpl hier="10" item="5"/>
          <tpl hier="11" item="0"/>
          <tpl fld="0" item="1"/>
        </tpls>
      </n>
      <n v="-624.5" in="0">
        <tpls c="5">
          <tpl fld="1" item="9"/>
          <tpl fld="2" item="11"/>
          <tpl hier="10" item="5"/>
          <tpl hier="11" item="0"/>
          <tpl fld="0" item="0"/>
        </tpls>
      </n>
      <n v="-27182" in="0">
        <tpls c="5">
          <tpl fld="1" item="10"/>
          <tpl fld="2" item="6"/>
          <tpl hier="10" item="5"/>
          <tpl hier="11" item="0"/>
          <tpl fld="0" item="1"/>
        </tpls>
      </n>
      <n v="-308679" in="0">
        <tpls c="5">
          <tpl fld="1" item="3"/>
          <tpl fld="2" item="0"/>
          <tpl hier="10" item="5"/>
          <tpl hier="11" item="0"/>
          <tpl fld="0" item="1"/>
        </tpls>
      </n>
      <n v="-15916.5" in="0">
        <tpls c="5">
          <tpl fld="1" item="2"/>
          <tpl fld="2" item="6"/>
          <tpl hier="10" item="5"/>
          <tpl hier="11" item="0"/>
          <tpl fld="0" item="0"/>
        </tpls>
      </n>
      <n v="-2925" in="0">
        <tpls c="5">
          <tpl fld="1" item="4"/>
          <tpl fld="2" item="5"/>
          <tpl hier="10" item="5"/>
          <tpl hier="11" item="0"/>
          <tpl fld="0" item="1"/>
        </tpls>
      </n>
      <n v="-590.5" in="0">
        <tpls c="5">
          <tpl fld="1" item="8"/>
          <tpl fld="2" item="11"/>
          <tpl hier="10" item="5"/>
          <tpl hier="11" item="0"/>
          <tpl fld="0" item="0"/>
        </tpls>
      </n>
      <n v="-4105.75" in="0">
        <tpls c="5">
          <tpl fld="1" item="3"/>
          <tpl fld="2" item="13"/>
          <tpl hier="10" item="5"/>
          <tpl hier="11" item="0"/>
          <tpl fld="0" item="0"/>
        </tpls>
      </n>
      <m in="0">
        <tpls c="5">
          <tpl fld="1" item="11"/>
          <tpl fld="2" item="2"/>
          <tpl hier="10" item="5"/>
          <tpl hier="11" item="0"/>
          <tpl fld="0" item="1"/>
        </tpls>
      </m>
      <m in="0">
        <tpls c="5">
          <tpl fld="1" item="5"/>
          <tpl fld="2" item="14"/>
          <tpl hier="10" item="5"/>
          <tpl hier="11" item="0"/>
          <tpl fld="0" item="1"/>
        </tpls>
      </m>
      <n v="-56122" in="0">
        <tpls c="4">
          <tpl fld="2" item="12"/>
          <tpl hier="10" item="5"/>
          <tpl hier="11" item="0"/>
          <tpl fld="0" item="1"/>
        </tpls>
      </n>
      <n v="-332304" in="0">
        <tpls c="5">
          <tpl fld="1" item="7"/>
          <tpl hier="9" item="4294967295"/>
          <tpl hier="10" item="5"/>
          <tpl hier="11" item="0"/>
          <tpl fld="0" item="1"/>
        </tpls>
      </n>
      <n v="-73634.75" in="0">
        <tpls c="4">
          <tpl fld="2" item="15"/>
          <tpl hier="10" item="5"/>
          <tpl hier="11" item="0"/>
          <tpl fld="0" item="0"/>
        </tpls>
      </n>
      <m in="0">
        <tpls c="5">
          <tpl fld="1" item="0"/>
          <tpl fld="2" item="9"/>
          <tpl hier="10" item="5"/>
          <tpl hier="11" item="0"/>
          <tpl fld="0" item="1"/>
        </tpls>
      </m>
      <m in="0">
        <tpls c="5">
          <tpl fld="1" item="6"/>
          <tpl fld="2" item="4"/>
          <tpl hier="10" item="5"/>
          <tpl hier="11" item="0"/>
          <tpl fld="0" item="1"/>
        </tpls>
      </m>
      <n v="-2320" in="0">
        <tpls c="5">
          <tpl fld="1" item="2"/>
          <tpl fld="2" item="1"/>
          <tpl hier="10" item="5"/>
          <tpl hier="11" item="0"/>
          <tpl fld="0" item="1"/>
        </tpls>
      </n>
      <m in="0">
        <tpls c="5">
          <tpl fld="1" item="2"/>
          <tpl fld="2" item="2"/>
          <tpl hier="10" item="5"/>
          <tpl hier="11" item="0"/>
          <tpl fld="0" item="1"/>
        </tpls>
      </m>
      <m in="0">
        <tpls c="5">
          <tpl fld="1" item="3"/>
          <tpl fld="2" item="8"/>
          <tpl hier="10" item="5"/>
          <tpl hier="11" item="0"/>
          <tpl fld="0" item="1"/>
        </tpls>
      </m>
      <m in="0">
        <tpls c="5">
          <tpl fld="1" item="3"/>
          <tpl fld="2" item="9"/>
          <tpl hier="10" item="5"/>
          <tpl hier="11" item="0"/>
          <tpl fld="0" item="1"/>
        </tpls>
      </m>
      <n v="-504.75" in="0">
        <tpls c="5">
          <tpl fld="1" item="5"/>
          <tpl fld="2" item="11"/>
          <tpl hier="10" item="5"/>
          <tpl hier="11" item="0"/>
          <tpl fld="0" item="0"/>
        </tpls>
      </n>
      <n v="-19547.75" in="0">
        <tpls c="5">
          <tpl fld="1" item="9"/>
          <tpl fld="2" item="6"/>
          <tpl hier="10" item="5"/>
          <tpl hier="11" item="0"/>
          <tpl fld="0" item="0"/>
        </tpls>
      </n>
      <m in="0">
        <tpls c="5">
          <tpl fld="1" item="4"/>
          <tpl fld="2" item="7"/>
          <tpl hier="10" item="5"/>
          <tpl hier="11" item="0"/>
          <tpl fld="0" item="0"/>
        </tpls>
      </m>
      <n v="-88796" in="0">
        <tpls c="5">
          <tpl fld="1" item="4"/>
          <tpl fld="2" item="0"/>
          <tpl hier="10" item="5"/>
          <tpl hier="11" item="0"/>
          <tpl fld="0" item="1"/>
        </tpls>
      </n>
      <n v="-545.5" in="0">
        <tpls c="5">
          <tpl fld="1" item="7"/>
          <tpl fld="2" item="11"/>
          <tpl hier="10" item="5"/>
          <tpl hier="11" item="0"/>
          <tpl fld="0" item="0"/>
        </tpls>
      </n>
      <n v="-8939" in="0">
        <tpls c="5">
          <tpl fld="1" item="3"/>
          <tpl fld="2" item="13"/>
          <tpl hier="10" item="5"/>
          <tpl hier="11" item="0"/>
          <tpl fld="0" item="1"/>
        </tpls>
      </n>
      <n v="-637650" in="0">
        <tpls c="5">
          <tpl fld="1" item="11"/>
          <tpl fld="2" item="0"/>
          <tpl hier="10" item="5"/>
          <tpl hier="11" item="0"/>
          <tpl fld="0" item="1"/>
        </tpls>
      </n>
      <m in="0">
        <tpls c="5">
          <tpl fld="1" item="11"/>
          <tpl fld="2" item="14"/>
          <tpl hier="10" item="5"/>
          <tpl hier="11" item="0"/>
          <tpl fld="0" item="0"/>
        </tpls>
      </m>
      <n v="-4294179" in="0">
        <tpls c="4">
          <tpl fld="2" item="0"/>
          <tpl hier="10" item="5"/>
          <tpl hier="11" item="0"/>
          <tpl fld="0" item="1"/>
        </tpls>
      </n>
      <n v="-274195.5" in="0">
        <tpls c="5">
          <tpl fld="1" item="6"/>
          <tpl hier="9" item="4294967295"/>
          <tpl hier="10" item="5"/>
          <tpl hier="11" item="0"/>
          <tpl fld="0" item="0"/>
        </tpls>
      </n>
      <n v="-59460" in="0">
        <tpls c="4">
          <tpl fld="2" item="15"/>
          <tpl hier="10" item="5"/>
          <tpl hier="11" item="0"/>
          <tpl fld="0" item="1"/>
        </tpls>
      </n>
      <m in="0">
        <tpls c="5">
          <tpl fld="1" item="0"/>
          <tpl fld="2" item="9"/>
          <tpl hier="10" item="5"/>
          <tpl hier="11" item="0"/>
          <tpl fld="0" item="0"/>
        </tpls>
      </m>
      <m in="0">
        <tpls c="4">
          <tpl fld="2" item="4"/>
          <tpl hier="10" item="5"/>
          <tpl hier="11" item="0"/>
          <tpl fld="0" item="1"/>
        </tpls>
      </m>
      <n v="-8125" in="0">
        <tpls c="5">
          <tpl fld="1" item="8"/>
          <tpl fld="2" item="15"/>
          <tpl hier="10" item="5"/>
          <tpl hier="11" item="0"/>
          <tpl fld="0" item="0"/>
        </tpls>
      </n>
      <m in="0">
        <tpls c="5">
          <tpl fld="1" item="3"/>
          <tpl fld="2" item="8"/>
          <tpl hier="10" item="5"/>
          <tpl hier="11" item="0"/>
          <tpl fld="0" item="0"/>
        </tpls>
      </m>
      <n v="-508.25" in="0">
        <tpls c="5">
          <tpl fld="1" item="3"/>
          <tpl fld="2" item="11"/>
          <tpl hier="10" item="5"/>
          <tpl hier="11" item="0"/>
          <tpl fld="0" item="0"/>
        </tpls>
      </n>
      <m in="0">
        <tpls c="5">
          <tpl fld="1" item="11"/>
          <tpl fld="2" item="14"/>
          <tpl hier="10" item="5"/>
          <tpl hier="11" item="0"/>
          <tpl fld="0" item="1"/>
        </tpls>
      </m>
      <n v="-7085" in="0">
        <tpls c="5">
          <tpl fld="1" item="8"/>
          <tpl fld="2" item="15"/>
          <tpl hier="10" item="5"/>
          <tpl hier="11" item="0"/>
          <tpl fld="0" item="1"/>
        </tpls>
      </n>
      <n v="-2320" in="0">
        <tpls c="5">
          <tpl fld="1" item="3"/>
          <tpl fld="2" item="1"/>
          <tpl hier="10" item="5"/>
          <tpl hier="11" item="0"/>
          <tpl fld="0" item="1"/>
        </tpls>
      </n>
      <n v="-2370" in="0">
        <tpls c="5">
          <tpl fld="1" item="9"/>
          <tpl fld="2" item="1"/>
          <tpl hier="10" item="5"/>
          <tpl hier="11" item="0"/>
          <tpl fld="0" item="1"/>
        </tpls>
      </n>
      <n v="-5707" in="0">
        <tpls c="5">
          <tpl fld="1" item="9"/>
          <tpl fld="2" item="12"/>
          <tpl hier="10" item="5"/>
          <tpl hier="11" item="0"/>
          <tpl fld="0" item="1"/>
        </tpls>
      </n>
      <m in="0">
        <tpls c="5">
          <tpl fld="1" item="10"/>
          <tpl fld="2" item="14"/>
          <tpl hier="10" item="5"/>
          <tpl hier="11" item="0"/>
          <tpl fld="0" item="0"/>
        </tpls>
      </m>
      <n v="-4759" in="0">
        <tpls c="5">
          <tpl fld="1" item="0"/>
          <tpl fld="2" item="12"/>
          <tpl hier="10" item="5"/>
          <tpl hier="11" item="0"/>
          <tpl fld="0" item="0"/>
        </tpls>
      </n>
      <n v="-1197" in="0">
        <tpls c="5">
          <tpl fld="1" item="7"/>
          <tpl fld="2" item="5"/>
          <tpl hier="10" item="5"/>
          <tpl hier="11" item="0"/>
          <tpl fld="0" item="1"/>
        </tpls>
      </n>
      <n v="-4120.75" in="0">
        <tpls c="5">
          <tpl fld="1" item="11"/>
          <tpl fld="2" item="1"/>
          <tpl hier="10" item="5"/>
          <tpl hier="11" item="0"/>
          <tpl fld="0" item="0"/>
        </tpls>
      </n>
      <n v="-4220.25" in="0">
        <tpls c="5">
          <tpl fld="1" item="2"/>
          <tpl fld="2" item="12"/>
          <tpl hier="10" item="5"/>
          <tpl hier="11" item="0"/>
          <tpl fld="0" item="0"/>
        </tpls>
      </n>
      <m in="0">
        <tpls c="5">
          <tpl fld="1" item="8"/>
          <tpl fld="2" item="14"/>
          <tpl hier="10" item="5"/>
          <tpl hier="11" item="0"/>
          <tpl fld="0" item="0"/>
        </tpls>
      </m>
      <n v="-10248" in="0">
        <tpls c="5">
          <tpl fld="1" item="7"/>
          <tpl fld="2" item="15"/>
          <tpl hier="10" item="5"/>
          <tpl hier="11" item="0"/>
          <tpl fld="0" item="1"/>
        </tpls>
      </n>
      <m in="0">
        <tpls c="5">
          <tpl fld="1" item="2"/>
          <tpl fld="2" item="8"/>
          <tpl hier="10" item="5"/>
          <tpl hier="11" item="0"/>
          <tpl fld="0" item="0"/>
        </tpls>
      </m>
      <n v="-288059" in="0">
        <tpls c="5">
          <tpl fld="1" item="3"/>
          <tpl fld="2" item="0"/>
          <tpl hier="10" item="5"/>
          <tpl hier="11" item="0"/>
          <tpl fld="0" item="0"/>
        </tpls>
      </n>
      <m in="0">
        <tpls c="5">
          <tpl fld="1" item="8"/>
          <tpl fld="2" item="8"/>
          <tpl hier="10" item="5"/>
          <tpl hier="11" item="0"/>
          <tpl fld="0" item="1"/>
        </tpls>
      </m>
      <n v="-4084" in="0">
        <tpls c="5">
          <tpl fld="1" item="5"/>
          <tpl fld="2" item="12"/>
          <tpl hier="10" item="5"/>
          <tpl hier="11" item="0"/>
          <tpl fld="0" item="1"/>
        </tpls>
      </n>
      <m in="0">
        <tpls c="5">
          <tpl fld="1" item="8"/>
          <tpl fld="2" item="14"/>
          <tpl hier="10" item="5"/>
          <tpl hier="11" item="0"/>
          <tpl fld="0" item="1"/>
        </tpls>
      </m>
      <n v="-5505.25" in="0">
        <tpls c="5">
          <tpl fld="1" item="6"/>
          <tpl fld="2" item="15"/>
          <tpl hier="10" item="5"/>
          <tpl hier="11" item="0"/>
          <tpl fld="0" item="0"/>
        </tpls>
      </n>
      <n v="-22557.75" in="0">
        <tpls c="5">
          <tpl fld="1" item="10"/>
          <tpl fld="2" item="6"/>
          <tpl hier="10" item="5"/>
          <tpl hier="11" item="0"/>
          <tpl fld="0" item="0"/>
        </tpls>
      </n>
      <m in="0">
        <tpls c="5">
          <tpl fld="1" item="11"/>
          <tpl fld="2" item="4"/>
          <tpl hier="10" item="5"/>
          <tpl hier="11" item="0"/>
          <tpl fld="0" item="0"/>
        </tpls>
      </m>
      <n v="-405834" in="0">
        <tpls c="5">
          <tpl fld="1" item="0"/>
          <tpl fld="2" item="0"/>
          <tpl hier="10" item="5"/>
          <tpl hier="11" item="0"/>
          <tpl fld="0" item="1"/>
        </tpls>
      </n>
      <m in="0">
        <tpls c="5">
          <tpl fld="1" item="1"/>
          <tpl fld="2" item="2"/>
          <tpl hier="10" item="5"/>
          <tpl hier="11" item="0"/>
          <tpl fld="0" item="1"/>
        </tpls>
      </m>
      <n v="-2954" in="0">
        <tpls c="5">
          <tpl fld="1" item="11"/>
          <tpl fld="2" item="10"/>
          <tpl hier="10" item="5"/>
          <tpl hier="11" item="0"/>
          <tpl fld="0" item="1"/>
        </tpls>
      </n>
      <n v="-709104" in="0">
        <tpls c="5">
          <tpl fld="1" item="11"/>
          <tpl hier="9" item="4294967295"/>
          <tpl hier="10" item="5"/>
          <tpl hier="11" item="0"/>
          <tpl fld="0" item="1"/>
        </tpls>
      </n>
      <n v="-1985.25" in="0">
        <tpls c="5">
          <tpl fld="1" item="8"/>
          <tpl fld="2" item="3"/>
          <tpl hier="10" item="5"/>
          <tpl hier="11" item="0"/>
          <tpl fld="0" item="0"/>
        </tpls>
      </n>
      <m in="0">
        <tpls c="5">
          <tpl fld="1" item="10"/>
          <tpl fld="2" item="7"/>
          <tpl hier="10" item="5"/>
          <tpl hier="11" item="0"/>
          <tpl fld="0" item="1"/>
        </tpls>
      </m>
      <n v="-18022" in="0">
        <tpls c="5">
          <tpl fld="1" item="10"/>
          <tpl fld="2" item="10"/>
          <tpl hier="10" item="5"/>
          <tpl hier="11" item="0"/>
          <tpl fld="0" item="0"/>
        </tpls>
      </n>
      <n v="-204259" in="0">
        <tpls c="5">
          <tpl fld="1" item="11"/>
          <tpl fld="2" item="0"/>
          <tpl hier="10" item="5"/>
          <tpl hier="11" item="0"/>
          <tpl fld="0" item="0"/>
        </tpls>
      </n>
      <m in="0">
        <tpls c="5">
          <tpl fld="1" item="3"/>
          <tpl fld="2" item="4"/>
          <tpl hier="10" item="5"/>
          <tpl hier="11" item="0"/>
          <tpl fld="0" item="1"/>
        </tpls>
      </m>
      <n v="-1661" in="0">
        <tpls c="5">
          <tpl fld="1" item="10"/>
          <tpl fld="2" item="13"/>
          <tpl hier="10" item="5"/>
          <tpl hier="11" item="0"/>
          <tpl fld="0" item="1"/>
        </tpls>
      </n>
      <n v="-2754" in="0">
        <tpls c="5">
          <tpl fld="1" item="5"/>
          <tpl fld="2" item="3"/>
          <tpl hier="10" item="5"/>
          <tpl hier="11" item="0"/>
          <tpl fld="0" item="1"/>
        </tpls>
      </n>
      <n v="-5357" in="0">
        <tpls c="5">
          <tpl fld="1" item="8"/>
          <tpl fld="2" item="13"/>
          <tpl hier="10" item="5"/>
          <tpl hier="11" item="0"/>
          <tpl fld="0" item="0"/>
        </tpls>
      </n>
      <m in="0">
        <tpls c="5">
          <tpl fld="1" item="0"/>
          <tpl fld="2" item="2"/>
          <tpl hier="10" item="5"/>
          <tpl hier="11" item="0"/>
          <tpl fld="0" item="1"/>
        </tpls>
      </m>
      <m in="0">
        <tpls c="5">
          <tpl fld="1" item="6"/>
          <tpl fld="2" item="2"/>
          <tpl hier="10" item="5"/>
          <tpl hier="11" item="0"/>
          <tpl fld="0" item="0"/>
        </tpls>
      </m>
      <n v="-5150" in="0">
        <tpls c="5">
          <tpl fld="1" item="8"/>
          <tpl fld="2" item="10"/>
          <tpl hier="10" item="5"/>
          <tpl hier="11" item="0"/>
          <tpl fld="0" item="1"/>
        </tpls>
      </n>
      <m in="0">
        <tpls c="5">
          <tpl fld="1" item="0"/>
          <tpl fld="2" item="2"/>
          <tpl hier="10" item="5"/>
          <tpl hier="11" item="0"/>
          <tpl fld="0" item="0"/>
        </tpls>
      </m>
      <n v="-5153.75" in="0">
        <tpls c="5">
          <tpl fld="1" item="6"/>
          <tpl fld="2" item="13"/>
          <tpl hier="10" item="5"/>
          <tpl hier="11" item="0"/>
          <tpl fld="0" item="0"/>
        </tpls>
      </n>
      <m in="0">
        <tpls c="5">
          <tpl fld="1" item="10"/>
          <tpl fld="2" item="9"/>
          <tpl hier="10" item="5"/>
          <tpl hier="11" item="0"/>
          <tpl fld="0" item="0"/>
        </tpls>
      </m>
      <n v="-2390" in="0">
        <tpls c="5">
          <tpl fld="1" item="10"/>
          <tpl fld="2" item="1"/>
          <tpl hier="10" item="5"/>
          <tpl hier="11" item="0"/>
          <tpl fld="0" item="1"/>
        </tpls>
      </n>
      <m in="0">
        <tpls c="5">
          <tpl fld="1" item="8"/>
          <tpl fld="2" item="7"/>
          <tpl hier="10" item="5"/>
          <tpl hier="11" item="0"/>
          <tpl fld="0" item="1"/>
        </tpls>
      </m>
      <n v="-25014.5" in="0">
        <tpls c="5">
          <tpl fld="1" item="5"/>
          <tpl fld="2" item="6"/>
          <tpl hier="10" item="5"/>
          <tpl hier="11" item="0"/>
          <tpl fld="0" item="0"/>
        </tpls>
      </n>
      <m in="0">
        <tpls c="5">
          <tpl fld="1" item="4"/>
          <tpl fld="2" item="8"/>
          <tpl hier="10" item="5"/>
          <tpl hier="11" item="0"/>
          <tpl fld="0" item="0"/>
        </tpls>
      </m>
      <n v="-1263.25" in="0">
        <tpls c="5">
          <tpl fld="1" item="9"/>
          <tpl fld="2" item="5"/>
          <tpl hier="10" item="5"/>
          <tpl hier="11" item="0"/>
          <tpl fld="0" item="0"/>
        </tpls>
      </n>
      <n v="-232693" in="0">
        <tpls c="5">
          <tpl fld="1" item="10"/>
          <tpl hier="9" item="4294967295"/>
          <tpl hier="10" item="5"/>
          <tpl hier="11" item="0"/>
          <tpl fld="0" item="1"/>
        </tpls>
      </n>
      <n v="-4756.25" in="0">
        <tpls c="5">
          <tpl fld="1" item="9"/>
          <tpl fld="2" item="12"/>
          <tpl hier="10" item="5"/>
          <tpl hier="11" item="0"/>
          <tpl fld="0" item="0"/>
        </tpls>
      </n>
      <m in="0">
        <tpls c="5">
          <tpl fld="1" item="5"/>
          <tpl fld="2" item="2"/>
          <tpl hier="10" item="5"/>
          <tpl hier="11" item="0"/>
          <tpl fld="0" item="0"/>
        </tpls>
      </m>
      <m in="0">
        <tpls c="5">
          <tpl fld="1" item="7"/>
          <tpl fld="2" item="4"/>
          <tpl hier="10" item="5"/>
          <tpl hier="11" item="0"/>
          <tpl fld="0" item="0"/>
        </tpls>
      </m>
      <n v="-14701" in="0">
        <tpls c="5">
          <tpl fld="1" item="3"/>
          <tpl fld="2" item="6"/>
          <tpl hier="10" item="5"/>
          <tpl hier="11" item="0"/>
          <tpl fld="0" item="0"/>
        </tpls>
      </n>
      <n v="-7315" in="0">
        <tpls c="5">
          <tpl fld="1" item="4"/>
          <tpl fld="2" item="13"/>
          <tpl hier="10" item="5"/>
          <tpl hier="11" item="0"/>
          <tpl fld="0" item="1"/>
        </tpls>
      </n>
      <n v="-5480" in="0">
        <tpls c="5">
          <tpl fld="1" item="9"/>
          <tpl fld="2" item="15"/>
          <tpl hier="10" item="5"/>
          <tpl hier="11" item="0"/>
          <tpl fld="0" item="1"/>
        </tpls>
      </n>
      <n v="-1804.75" in="0">
        <tpls c="5">
          <tpl fld="1" item="1"/>
          <tpl fld="2" item="3"/>
          <tpl hier="10" item="5"/>
          <tpl hier="11" item="0"/>
          <tpl fld="0" item="0"/>
        </tpls>
      </n>
      <m in="0">
        <tpls c="5">
          <tpl fld="1" item="7"/>
          <tpl fld="2" item="8"/>
          <tpl hier="10" item="5"/>
          <tpl hier="11" item="0"/>
          <tpl fld="0" item="0"/>
        </tpls>
      </m>
      <n v="-14892.75" in="0">
        <tpls c="4">
          <tpl fld="2" item="5"/>
          <tpl hier="10" item="5"/>
          <tpl hier="11" item="0"/>
          <tpl fld="0" item="0"/>
        </tpls>
      </n>
      <n v="-9960.5" in="0">
        <tpls c="5">
          <tpl fld="1" item="1"/>
          <tpl fld="2" item="10"/>
          <tpl hier="10" item="5"/>
          <tpl hier="11" item="0"/>
          <tpl fld="0" item="0"/>
        </tpls>
      </n>
      <n v="-183267" in="0">
        <tpls c="5">
          <tpl fld="1" item="10"/>
          <tpl fld="2" item="0"/>
          <tpl hier="10" item="5"/>
          <tpl hier="11" item="0"/>
          <tpl fld="0" item="1"/>
        </tpls>
      </n>
      <n v="-8589" in="0">
        <tpls c="5">
          <tpl fld="1" item="3"/>
          <tpl fld="2" item="12"/>
          <tpl hier="10" item="5"/>
          <tpl hier="11" item="0"/>
          <tpl fld="0" item="1"/>
        </tpls>
      </n>
      <m in="0">
        <tpls c="4">
          <tpl fld="2" item="9"/>
          <tpl hier="10" item="5"/>
          <tpl hier="11" item="0"/>
          <tpl fld="0" item="0"/>
        </tpls>
      </m>
      <n v="-5219.75" in="0">
        <tpls c="5">
          <tpl fld="1" item="2"/>
          <tpl fld="2" item="1"/>
          <tpl hier="10" item="5"/>
          <tpl hier="11" item="0"/>
          <tpl fld="0" item="0"/>
        </tpls>
      </n>
      <m in="0">
        <tpls c="4">
          <tpl fld="2" item="14"/>
          <tpl hier="10" item="5"/>
          <tpl hier="11" item="0"/>
          <tpl fld="0" item="0"/>
        </tpls>
      </m>
      <n v="-1211" in="0">
        <tpls c="5">
          <tpl fld="1" item="2"/>
          <tpl fld="2" item="10"/>
          <tpl hier="10" item="5"/>
          <tpl hier="11" item="0"/>
          <tpl fld="0" item="1"/>
        </tpls>
      </n>
      <m in="0">
        <tpls c="5">
          <tpl fld="1" item="6"/>
          <tpl fld="2" item="8"/>
          <tpl hier="10" item="5"/>
          <tpl hier="11" item="0"/>
          <tpl fld="0" item="1"/>
        </tpls>
      </m>
      <n v="-59202" in="0">
        <tpls c="4">
          <tpl fld="2" item="1"/>
          <tpl hier="10" item="5"/>
          <tpl hier="11" item="0"/>
          <tpl fld="0" item="0"/>
        </tpls>
      </n>
      <n v="-18692" in="0">
        <tpls c="5">
          <tpl fld="1" item="8"/>
          <tpl fld="2" item="6"/>
          <tpl hier="10" item="5"/>
          <tpl hier="11" item="0"/>
          <tpl fld="0" item="1"/>
        </tpls>
      </n>
      <m in="0">
        <tpls c="4">
          <tpl fld="2" item="8"/>
          <tpl hier="10" item="5"/>
          <tpl hier="11" item="0"/>
          <tpl fld="0" item="0"/>
        </tpls>
      </m>
      <n v="-648987" in="0">
        <tpls c="5">
          <tpl fld="1" item="1"/>
          <tpl hier="9" item="4294967295"/>
          <tpl hier="10" item="5"/>
          <tpl hier="11" item="0"/>
          <tpl fld="0" item="1"/>
        </tpls>
      </n>
      <m in="0">
        <tpls c="5">
          <tpl fld="1" item="8"/>
          <tpl fld="2" item="4"/>
          <tpl hier="10" item="5"/>
          <tpl hier="11" item="0"/>
          <tpl fld="0" item="0"/>
        </tpls>
      </m>
      <m in="0">
        <tpls c="5">
          <tpl fld="1" item="4"/>
          <tpl fld="2" item="8"/>
          <tpl hier="10" item="5"/>
          <tpl hier="11" item="0"/>
          <tpl fld="0" item="1"/>
        </tpls>
      </m>
      <n v="-9820.25" in="0">
        <tpls c="5">
          <tpl fld="1" item="7"/>
          <tpl fld="2" item="10"/>
          <tpl hier="10" item="5"/>
          <tpl hier="11" item="0"/>
          <tpl fld="0" item="0"/>
        </tpls>
      </n>
      <n v="-6965" in="0">
        <tpls c="5">
          <tpl fld="1" item="1"/>
          <tpl fld="2" item="15"/>
          <tpl hier="10" item="5"/>
          <tpl hier="11" item="0"/>
          <tpl fld="0" item="0"/>
        </tpls>
      </n>
      <n v="-1268" in="0">
        <tpls c="5">
          <tpl fld="1" item="2"/>
          <tpl fld="2" item="5"/>
          <tpl hier="10" item="5"/>
          <tpl hier="11" item="0"/>
          <tpl fld="0" item="0"/>
        </tpls>
      </n>
      <n v="-305060.5" in="0">
        <tpls c="5">
          <tpl fld="1" item="10"/>
          <tpl hier="9" item="4294967295"/>
          <tpl hier="10" item="5"/>
          <tpl hier="11" item="0"/>
          <tpl fld="0" item="0"/>
        </tpls>
      </n>
      <n v="-415" in="0">
        <tpls c="5">
          <tpl fld="1" item="2"/>
          <tpl fld="2" item="5"/>
          <tpl hier="10" item="5"/>
          <tpl hier="11" item="0"/>
          <tpl fld="0" item="1"/>
        </tpls>
      </n>
      <n v="-4358" in="0">
        <tpls c="5">
          <tpl fld="1" item="8"/>
          <tpl fld="2" item="13"/>
          <tpl hier="10" item="5"/>
          <tpl hier="11" item="0"/>
          <tpl fld="0" item="1"/>
        </tpls>
      </n>
      <n v="-5798" in="0">
        <tpls c="5">
          <tpl fld="1" item="6"/>
          <tpl fld="2" item="15"/>
          <tpl hier="10" item="5"/>
          <tpl hier="11" item="0"/>
          <tpl fld="0" item="1"/>
        </tpls>
      </n>
      <n v="-1637" in="0">
        <tpls c="5">
          <tpl fld="1" item="7"/>
          <tpl fld="2" item="3"/>
          <tpl hier="10" item="5"/>
          <tpl hier="11" item="0"/>
          <tpl fld="0" item="1"/>
        </tpls>
      </n>
      <m in="0">
        <tpls c="5">
          <tpl fld="1" item="9"/>
          <tpl fld="2" item="14"/>
          <tpl hier="10" item="5"/>
          <tpl hier="11" item="0"/>
          <tpl fld="0" item="1"/>
        </tpls>
      </m>
      <m in="0">
        <tpls c="5">
          <tpl fld="1" item="7"/>
          <tpl fld="2" item="2"/>
          <tpl hier="10" item="5"/>
          <tpl hier="11" item="0"/>
          <tpl fld="0" item="0"/>
        </tpls>
      </m>
      <m in="0">
        <tpls c="4">
          <tpl fld="2" item="2"/>
          <tpl hier="10" item="5"/>
          <tpl hier="11" item="0"/>
          <tpl fld="0" item="1"/>
        </tpls>
      </m>
      <n v="-6010.75" in="0">
        <tpls c="5">
          <tpl fld="1" item="7"/>
          <tpl fld="2" item="15"/>
          <tpl hier="10" item="5"/>
          <tpl hier="11" item="0"/>
          <tpl fld="0" item="0"/>
        </tpls>
      </n>
      <n v="-247981.25" in="0">
        <tpls c="5">
          <tpl fld="1" item="0"/>
          <tpl fld="2" item="0"/>
          <tpl hier="10" item="5"/>
          <tpl hier="11" item="0"/>
          <tpl fld="0" item="0"/>
        </tpls>
      </n>
      <m in="0">
        <tpls c="5">
          <tpl fld="1" item="4"/>
          <tpl fld="2" item="7"/>
          <tpl hier="10" item="5"/>
          <tpl hier="11" item="0"/>
          <tpl fld="0" item="1"/>
        </tpls>
      </m>
      <n v="-2350" in="0">
        <tpls c="5">
          <tpl fld="1" item="0"/>
          <tpl fld="2" item="1"/>
          <tpl hier="10" item="5"/>
          <tpl hier="11" item="0"/>
          <tpl fld="0" item="1"/>
        </tpls>
      </n>
      <n v="-11859" in="0">
        <tpls c="5">
          <tpl fld="1" item="9"/>
          <tpl fld="2" item="6"/>
          <tpl hier="10" item="5"/>
          <tpl hier="11" item="0"/>
          <tpl fld="0" item="1"/>
        </tpls>
      </n>
      <n v="-5582" in="0">
        <tpls c="5">
          <tpl fld="1" item="10"/>
          <tpl fld="2" item="10"/>
          <tpl hier="10" item="5"/>
          <tpl hier="11" item="0"/>
          <tpl fld="0" item="1"/>
        </tpls>
      </n>
      <n v="-3891.5" in="0">
        <tpls c="5">
          <tpl fld="1" item="0"/>
          <tpl fld="2" item="1"/>
          <tpl hier="10" item="5"/>
          <tpl hier="11" item="0"/>
          <tpl fld="0" item="0"/>
        </tpls>
      </n>
      <n v="-6191" in="0">
        <tpls c="5">
          <tpl fld="1" item="1"/>
          <tpl fld="2" item="1"/>
          <tpl hier="10" item="5"/>
          <tpl hier="11" item="0"/>
          <tpl fld="0" item="0"/>
        </tpls>
      </n>
      <n v="-3872" in="0">
        <tpls c="5">
          <tpl fld="1" item="1"/>
          <tpl fld="2" item="12"/>
          <tpl hier="10" item="5"/>
          <tpl hier="11" item="0"/>
          <tpl fld="0" item="1"/>
        </tpls>
      </n>
      <n v="-237442" in="0">
        <tpls c="5">
          <tpl fld="1" item="7"/>
          <tpl fld="2" item="0"/>
          <tpl hier="10" item="5"/>
          <tpl hier="11" item="0"/>
          <tpl fld="0" item="0"/>
        </tpls>
      </n>
      <m in="0">
        <tpls c="5">
          <tpl fld="1" item="9"/>
          <tpl fld="2" item="4"/>
          <tpl hier="10" item="5"/>
          <tpl hier="11" item="0"/>
          <tpl fld="0" item="1"/>
        </tpls>
      </m>
      <n v="-3230" in="0">
        <tpls c="5">
          <tpl fld="1" item="3"/>
          <tpl fld="2" item="10"/>
          <tpl hier="10" item="5"/>
          <tpl hier="11" item="0"/>
          <tpl fld="0" item="1"/>
        </tpls>
      </n>
      <m in="0">
        <tpls c="5">
          <tpl fld="1" item="2"/>
          <tpl fld="2" item="4"/>
          <tpl hier="10" item="5"/>
          <tpl hier="11" item="0"/>
          <tpl fld="0" item="0"/>
        </tpls>
      </m>
      <n v="-260915.25" in="0">
        <tpls c="5">
          <tpl fld="1" item="1"/>
          <tpl hier="9" item="4294967295"/>
          <tpl hier="10" item="5"/>
          <tpl hier="11" item="0"/>
          <tpl fld="0" item="0"/>
        </tpls>
      </n>
      <m in="0">
        <tpls c="5">
          <tpl fld="1" item="11"/>
          <tpl fld="2" item="8"/>
          <tpl hier="10" item="5"/>
          <tpl hier="11" item="0"/>
          <tpl fld="0" item="1"/>
        </tpls>
      </m>
      <n v="-38482" in="0">
        <tpls c="5">
          <tpl fld="1" item="1"/>
          <tpl fld="2" item="6"/>
          <tpl hier="10" item="5"/>
          <tpl hier="11" item="0"/>
          <tpl fld="0" item="1"/>
        </tpls>
      </n>
      <m in="0">
        <tpls c="5">
          <tpl fld="1" item="0"/>
          <tpl fld="2" item="7"/>
          <tpl hier="10" item="5"/>
          <tpl hier="11" item="0"/>
          <tpl fld="0" item="1"/>
        </tpls>
      </m>
      <n v="-1296.5" in="0">
        <tpls c="5">
          <tpl fld="1" item="1"/>
          <tpl fld="2" item="5"/>
          <tpl hier="10" item="5"/>
          <tpl hier="11" item="0"/>
          <tpl fld="0" item="0"/>
        </tpls>
      </n>
      <m in="0">
        <tpls c="5">
          <tpl fld="1" item="0"/>
          <tpl fld="2" item="7"/>
          <tpl hier="10" item="5"/>
          <tpl hier="11" item="0"/>
          <tpl fld="0" item="0"/>
        </tpls>
      </m>
      <m in="0">
        <tpls c="5">
          <tpl fld="1" item="7"/>
          <tpl fld="2" item="2"/>
          <tpl hier="10" item="5"/>
          <tpl hier="11" item="0"/>
          <tpl fld="0" item="1"/>
        </tpls>
      </m>
      <n v="-252964" in="0">
        <tpls c="5">
          <tpl fld="1" item="8"/>
          <tpl hier="9" item="4294967295"/>
          <tpl hier="10" item="5"/>
          <tpl hier="11" item="0"/>
          <tpl fld="0" item="1"/>
        </tpls>
      </n>
      <m in="0">
        <tpls c="5">
          <tpl fld="1" item="1"/>
          <tpl fld="2" item="9"/>
          <tpl hier="10" item="5"/>
          <tpl hier="11" item="0"/>
          <tpl fld="0" item="0"/>
        </tpls>
      </m>
      <m in="0">
        <tpls c="5">
          <tpl fld="1" item="2"/>
          <tpl fld="2" item="7"/>
          <tpl hier="10" item="5"/>
          <tpl hier="11" item="0"/>
          <tpl fld="0" item="1"/>
        </tpls>
      </m>
      <m in="0">
        <tpls c="5">
          <tpl fld="1" item="8"/>
          <tpl fld="2" item="2"/>
          <tpl hier="10" item="5"/>
          <tpl hier="11" item="0"/>
          <tpl fld="0" item="0"/>
        </tpls>
      </m>
      <n v="-943" in="0">
        <tpls c="5">
          <tpl fld="1" item="6"/>
          <tpl fld="2" item="5"/>
          <tpl hier="10" item="5"/>
          <tpl hier="11" item="0"/>
          <tpl fld="0" item="1"/>
        </tpls>
      </n>
      <m in="0">
        <tpls c="5">
          <tpl fld="1" item="8"/>
          <tpl fld="2" item="7"/>
          <tpl hier="10" item="5"/>
          <tpl hier="11" item="0"/>
          <tpl fld="0" item="0"/>
        </tpls>
      </m>
      <n v="-4811" in="0">
        <tpls c="5">
          <tpl fld="1" item="4"/>
          <tpl fld="2" item="12"/>
          <tpl hier="10" item="5"/>
          <tpl hier="11" item="0"/>
          <tpl fld="0" item="0"/>
        </tpls>
      </n>
      <m in="0">
        <tpls c="5">
          <tpl fld="1" item="7"/>
          <tpl fld="2" item="7"/>
          <tpl hier="10" item="5"/>
          <tpl hier="11" item="0"/>
          <tpl fld="0" item="0"/>
        </tpls>
      </m>
      <n v="-2320" in="0">
        <tpls c="5">
          <tpl fld="1" item="4"/>
          <tpl fld="2" item="1"/>
          <tpl hier="10" item="5"/>
          <tpl hier="11" item="0"/>
          <tpl fld="0" item="1"/>
        </tpls>
      </n>
      <n v="-554.25" in="0">
        <tpls c="5">
          <tpl fld="1" item="6"/>
          <tpl fld="2" item="11"/>
          <tpl hier="10" item="5"/>
          <tpl hier="11" item="0"/>
          <tpl fld="0" item="0"/>
        </tpls>
      </n>
      <n v="-4302.75" in="0">
        <tpls c="5">
          <tpl fld="1" item="2"/>
          <tpl fld="2" item="13"/>
          <tpl hier="10" item="5"/>
          <tpl hier="11" item="0"/>
          <tpl fld="0" item="0"/>
        </tpls>
      </n>
      <n v="-1204" in="0">
        <tpls c="5">
          <tpl fld="1" item="4"/>
          <tpl fld="2" item="5"/>
          <tpl hier="10" item="5"/>
          <tpl hier="11" item="0"/>
          <tpl fld="0" item="0"/>
        </tpls>
      </n>
      <m in="0">
        <tpls c="5">
          <tpl fld="1" item="10"/>
          <tpl fld="2" item="14"/>
          <tpl hier="10" item="5"/>
          <tpl hier="11" item="0"/>
          <tpl fld="0" item="1"/>
        </tpls>
      </m>
      <n v="-320595" in="0">
        <tpls c="4">
          <tpl fld="2" item="6"/>
          <tpl hier="10" item="5"/>
          <tpl hier="11" item="0"/>
          <tpl fld="0" item="1"/>
        </tpls>
      </n>
      <n v="-327214" in="0">
        <tpls c="5">
          <tpl fld="1" item="6"/>
          <tpl hier="9" item="4294967295"/>
          <tpl hier="10" item="5"/>
          <tpl hier="11" item="0"/>
          <tpl fld="0" item="1"/>
        </tpls>
      </n>
      <n v="-8371.25" in="0">
        <tpls c="5">
          <tpl fld="1" item="11"/>
          <tpl fld="2" item="15"/>
          <tpl hier="10" item="5"/>
          <tpl hier="11" item="0"/>
          <tpl fld="0" item="0"/>
        </tpls>
      </n>
      <n v="-1142" in="0">
        <tpls c="5">
          <tpl fld="1" item="0"/>
          <tpl fld="2" item="10"/>
          <tpl hier="10" item="5"/>
          <tpl hier="11" item="0"/>
          <tpl fld="0" item="1"/>
        </tpls>
      </n>
      <n v="-4913" in="0">
        <tpls c="5">
          <tpl fld="1" item="7"/>
          <tpl fld="2" item="1"/>
          <tpl hier="10" item="5"/>
          <tpl hier="11" item="0"/>
          <tpl fld="0" item="0"/>
        </tpls>
      </n>
      <n v="-1632" in="0">
        <tpls c="5">
          <tpl fld="1" item="4"/>
          <tpl fld="2" item="3"/>
          <tpl hier="10" item="5"/>
          <tpl hier="11" item="0"/>
          <tpl fld="0" item="1"/>
        </tpls>
      </n>
      <m in="0">
        <tpls c="5">
          <tpl fld="1" item="6"/>
          <tpl fld="2" item="7"/>
          <tpl hier="10" item="5"/>
          <tpl hier="11" item="0"/>
          <tpl fld="0" item="0"/>
        </tpls>
      </m>
      <n v="-6449" in="0">
        <tpls c="5">
          <tpl fld="1" item="1"/>
          <tpl fld="2" item="13"/>
          <tpl hier="10" item="5"/>
          <tpl hier="11" item="0"/>
          <tpl fld="0" item="0"/>
        </tpls>
      </n>
      <m in="0">
        <tpls c="5">
          <tpl fld="1" item="4"/>
          <tpl fld="2" item="14"/>
          <tpl hier="10" item="5"/>
          <tpl hier="11" item="0"/>
          <tpl fld="0" item="1"/>
        </tpls>
      </m>
      <n v="-4942350" in="0">
        <tpls c="4">
          <tpl hier="9" item="4294967295"/>
          <tpl hier="10" item="5"/>
          <tpl hier="11" item="0"/>
          <tpl fld="0" item="1"/>
        </tpls>
      </n>
      <n v="-422" in="0">
        <tpls c="5">
          <tpl fld="1" item="0"/>
          <tpl fld="2" item="11"/>
          <tpl hier="10" item="5"/>
          <tpl hier="11" item="0"/>
          <tpl fld="0" item="1"/>
        </tpls>
      </n>
      <m in="0">
        <tpls c="5">
          <tpl fld="1" item="2"/>
          <tpl fld="2" item="7"/>
          <tpl hier="10" item="5"/>
          <tpl hier="11" item="0"/>
          <tpl fld="0" item="0"/>
        </tpls>
      </m>
      <n v="-8583" in="0">
        <tpls c="5">
          <tpl fld="1" item="4"/>
          <tpl fld="2" item="10"/>
          <tpl hier="10" item="5"/>
          <tpl hier="11" item="0"/>
          <tpl fld="0" item="1"/>
        </tpls>
      </n>
      <m in="0">
        <tpls c="5">
          <tpl fld="1" item="11"/>
          <tpl fld="2" item="12"/>
          <tpl hier="10" item="5"/>
          <tpl hier="11" item="0"/>
          <tpl fld="0" item="1"/>
        </tpls>
      </m>
      <m in="0">
        <tpls c="5">
          <tpl fld="1" item="6"/>
          <tpl fld="2" item="7"/>
          <tpl hier="10" item="5"/>
          <tpl hier="11" item="0"/>
          <tpl fld="0" item="1"/>
        </tpls>
      </m>
      <n v="-10885" in="0">
        <tpls c="4">
          <tpl fld="2" item="11"/>
          <tpl hier="10" item="5"/>
          <tpl hier="11" item="0"/>
          <tpl fld="0" item="1"/>
        </tpls>
      </n>
      <n v="-11101" in="0">
        <tpls c="5">
          <tpl fld="1" item="4"/>
          <tpl fld="2" item="10"/>
          <tpl hier="10" item="5"/>
          <tpl hier="11" item="0"/>
          <tpl fld="0" item="0"/>
        </tpls>
      </n>
      <m in="0">
        <tpls c="4">
          <tpl fld="2" item="2"/>
          <tpl hier="10" item="5"/>
          <tpl hier="11" item="0"/>
          <tpl fld="0" item="0"/>
        </tpls>
      </m>
      <m in="0">
        <tpls c="5">
          <tpl fld="1" item="7"/>
          <tpl fld="2" item="14"/>
          <tpl hier="10" item="5"/>
          <tpl hier="11" item="0"/>
          <tpl fld="0" item="0"/>
        </tpls>
      </m>
      <m in="0">
        <tpls c="4">
          <tpl fld="2" item="7"/>
          <tpl hier="10" item="5"/>
          <tpl hier="11" item="0"/>
          <tpl fld="0" item="0"/>
        </tpls>
      </m>
      <n v="-6846.25" in="0">
        <tpls c="5">
          <tpl fld="1" item="5"/>
          <tpl fld="2" item="13"/>
          <tpl hier="10" item="5"/>
          <tpl hier="11" item="0"/>
          <tpl fld="0" item="0"/>
        </tpls>
      </n>
      <n v="-28020" in="0">
        <tpls c="4">
          <tpl fld="2" item="1"/>
          <tpl hier="10" item="5"/>
          <tpl hier="11" item="0"/>
          <tpl fld="0" item="1"/>
        </tpls>
      </n>
      <n v="-4720" in="0">
        <tpls c="5">
          <tpl fld="1" item="0"/>
          <tpl fld="2" item="12"/>
          <tpl hier="10" item="5"/>
          <tpl hier="11" item="0"/>
          <tpl fld="0" item="1"/>
        </tpls>
      </n>
      <m in="0">
        <tpls c="5">
          <tpl fld="1" item="2"/>
          <tpl fld="2" item="8"/>
          <tpl hier="10" item="5"/>
          <tpl hier="11" item="0"/>
          <tpl fld="0" item="1"/>
        </tpls>
      </m>
      <n v="-285914" in="0">
        <tpls c="5">
          <tpl fld="1" item="7"/>
          <tpl fld="2" item="0"/>
          <tpl hier="10" item="5"/>
          <tpl hier="11" item="0"/>
          <tpl fld="0" item="1"/>
        </tpls>
      </n>
      <m in="0">
        <tpls c="4">
          <tpl fld="2" item="7"/>
          <tpl hier="10" item="5"/>
          <tpl hier="11" item="0"/>
          <tpl fld="0" item="1"/>
        </tpls>
      </m>
      <n v="-1665" in="0">
        <tpls c="5">
          <tpl fld="1" item="5"/>
          <tpl fld="2" item="13"/>
          <tpl hier="10" item="5"/>
          <tpl hier="11" item="0"/>
          <tpl fld="0" item="1"/>
        </tpls>
      </n>
      <n v="-214400.75" in="0">
        <tpls c="4">
          <tpl fld="2" item="6"/>
          <tpl hier="10" item="5"/>
          <tpl hier="11" item="0"/>
          <tpl fld="0" item="0"/>
        </tpls>
      </n>
      <n v="-488" in="0">
        <tpls c="5">
          <tpl fld="1" item="11"/>
          <tpl fld="2" item="11"/>
          <tpl hier="10" item="5"/>
          <tpl hier="11" item="0"/>
          <tpl fld="0" item="0"/>
        </tpls>
      </n>
      <n v="-5512" in="0">
        <tpls c="5">
          <tpl fld="1" item="11"/>
          <tpl fld="2" item="3"/>
          <tpl hier="10" item="5"/>
          <tpl hier="11" item="0"/>
          <tpl fld="0" item="1"/>
        </tpls>
      </n>
      <n v="-137528" in="0">
        <tpls c="4">
          <tpl fld="2" item="10"/>
          <tpl hier="10" item="5"/>
          <tpl hier="11" item="0"/>
          <tpl fld="0" item="0"/>
        </tpls>
      </n>
      <m in="0">
        <tpls c="5">
          <tpl fld="1" item="11"/>
          <tpl fld="2" item="9"/>
          <tpl hier="10" item="5"/>
          <tpl hier="11" item="0"/>
          <tpl fld="0" item="0"/>
        </tpls>
      </m>
      <n v="-2773775.25" in="0">
        <tpls c="4">
          <tpl fld="2" item="0"/>
          <tpl hier="10" item="5"/>
          <tpl hier="11" item="0"/>
          <tpl fld="0" item="0"/>
        </tpls>
      </n>
      <n v="-2320" in="0">
        <tpls c="5">
          <tpl fld="1" item="8"/>
          <tpl fld="2" item="1"/>
          <tpl hier="10" item="5"/>
          <tpl hier="11" item="0"/>
          <tpl fld="0" item="1"/>
        </tpls>
      </n>
      <n v="-20968" in="0">
        <tpls c="4">
          <tpl fld="2" item="5"/>
          <tpl hier="10" item="5"/>
          <tpl hier="11" item="0"/>
          <tpl fld="0" item="1"/>
        </tpls>
      </n>
      <n v="-48388" in="0">
        <tpls c="4">
          <tpl fld="2" item="10"/>
          <tpl hier="10" item="5"/>
          <tpl hier="11" item="0"/>
          <tpl fld="0" item="1"/>
        </tpls>
      </n>
      <n v="-1257.75" in="0">
        <tpls c="5">
          <tpl fld="1" item="11"/>
          <tpl fld="2" item="5"/>
          <tpl hier="10" item="5"/>
          <tpl hier="11" item="0"/>
          <tpl fld="0" item="0"/>
        </tpls>
      </n>
      <n v="-27838.25" in="0">
        <tpls c="4">
          <tpl fld="2" item="3"/>
          <tpl hier="10" item="5"/>
          <tpl hier="11" item="0"/>
          <tpl fld="0" item="0"/>
        </tpls>
      </n>
      <m in="0">
        <tpls c="5">
          <tpl fld="1" item="8"/>
          <tpl fld="2" item="4"/>
          <tpl hier="10" item="5"/>
          <tpl hier="11" item="0"/>
          <tpl fld="0" item="1"/>
        </tpls>
      </m>
      <n v="-10567.5" in="0">
        <tpls c="5">
          <tpl fld="1" item="11"/>
          <tpl fld="2" item="10"/>
          <tpl hier="10" item="5"/>
          <tpl hier="11" item="0"/>
          <tpl fld="0" item="0"/>
        </tpls>
      </n>
      <n v="-702005" in="0">
        <tpls c="5">
          <tpl fld="1" item="9"/>
          <tpl hier="9" item="4294967295"/>
          <tpl hier="10" item="5"/>
          <tpl hier="11" item="0"/>
          <tpl fld="0" item="1"/>
        </tpls>
      </n>
      <n v="-1843.5" in="0">
        <tpls c="5">
          <tpl fld="1" item="3"/>
          <tpl fld="2" item="3"/>
          <tpl hier="10" item="5"/>
          <tpl hier="11" item="0"/>
          <tpl fld="0" item="0"/>
        </tpls>
      </n>
      <m in="0">
        <tpls c="5">
          <tpl fld="1" item="9"/>
          <tpl fld="2" item="2"/>
          <tpl hier="10" item="5"/>
          <tpl hier="11" item="0"/>
          <tpl fld="0" item="0"/>
        </tpls>
      </m>
      <m in="0">
        <tpls c="5">
          <tpl fld="1" item="11"/>
          <tpl fld="2" item="2"/>
          <tpl hier="10" item="5"/>
          <tpl hier="11" item="0"/>
          <tpl fld="0" item="0"/>
        </tpls>
      </m>
      <n v="-539.5" in="0">
        <tpls c="5">
          <tpl fld="1" item="10"/>
          <tpl fld="2" item="11"/>
          <tpl hier="10" item="5"/>
          <tpl hier="11" item="0"/>
          <tpl fld="0" item="0"/>
        </tpls>
      </n>
      <n v="-1135" in="0">
        <tpls c="5">
          <tpl fld="1" item="1"/>
          <tpl fld="2" item="3"/>
          <tpl hier="10" item="5"/>
          <tpl hier="11" item="0"/>
          <tpl fld="0" item="1"/>
        </tpls>
      </n>
      <n v="-1896" in="0">
        <tpls c="5">
          <tpl fld="1" item="2"/>
          <tpl fld="2" item="12"/>
          <tpl hier="10" item="5"/>
          <tpl hier="11" item="0"/>
          <tpl fld="0" item="1"/>
        </tpls>
      </n>
      <m in="0">
        <tpls c="4">
          <tpl fld="2" item="4"/>
          <tpl hier="10" item="5"/>
          <tpl hier="11" item="0"/>
          <tpl fld="0" item="0"/>
        </tpls>
      </m>
      <m in="0">
        <tpls c="5">
          <tpl fld="1" item="5"/>
          <tpl fld="2" item="8"/>
          <tpl hier="10" item="5"/>
          <tpl hier="11" item="0"/>
          <tpl fld="0" item="0"/>
        </tpls>
      </m>
      <n v="-3942.25" in="0">
        <tpls c="5">
          <tpl fld="1" item="1"/>
          <tpl fld="2" item="12"/>
          <tpl hier="10" item="5"/>
          <tpl hier="11" item="0"/>
          <tpl fld="0" item="0"/>
        </tpls>
      </n>
      <n v="-339960" in="0">
        <tpls c="5">
          <tpl fld="1" item="2"/>
          <tpl hier="9" item="4294967295"/>
          <tpl hier="10" item="5"/>
          <tpl hier="11" item="0"/>
          <tpl fld="0" item="1"/>
        </tpls>
      </n>
      <n v="-6173.25" in="0">
        <tpls c="5">
          <tpl fld="1" item="0"/>
          <tpl fld="2" item="15"/>
          <tpl hier="10" item="5"/>
          <tpl hier="11" item="0"/>
          <tpl fld="0" item="0"/>
        </tpls>
      </n>
      <m in="0">
        <tpls c="5">
          <tpl fld="1" item="10"/>
          <tpl fld="2" item="8"/>
          <tpl hier="10" item="5"/>
          <tpl hier="11" item="0"/>
          <tpl fld="0" item="1"/>
        </tpls>
      </m>
      <n v="-401" in="0">
        <tpls c="5">
          <tpl fld="1" item="4"/>
          <tpl fld="2" item="11"/>
          <tpl hier="10" item="5"/>
          <tpl hier="11" item="0"/>
          <tpl fld="0" item="0"/>
        </tpls>
      </n>
      <n v="-5621.75" in="0">
        <tpls c="5">
          <tpl fld="1" item="11"/>
          <tpl fld="2" item="12"/>
          <tpl hier="10" item="5"/>
          <tpl hier="11" item="0"/>
          <tpl fld="0" item="0"/>
        </tpls>
      </n>
      <n v="-4839.5" in="0">
        <tpls c="5">
          <tpl fld="1" item="5"/>
          <tpl fld="2" item="12"/>
          <tpl hier="10" item="5"/>
          <tpl hier="11" item="0"/>
          <tpl fld="0" item="0"/>
        </tpls>
      </n>
      <n v="-8488" in="0">
        <tpls c="5">
          <tpl fld="1" item="2"/>
          <tpl fld="2" item="15"/>
          <tpl hier="10" item="5"/>
          <tpl hier="11" item="0"/>
          <tpl fld="0" item="1"/>
        </tpls>
      </n>
      <n v="-15104.5" in="0">
        <tpls c="5">
          <tpl fld="1" item="6"/>
          <tpl fld="2" item="6"/>
          <tpl hier="10" item="5"/>
          <tpl hier="11" item="0"/>
          <tpl fld="0" item="0"/>
        </tpls>
      </n>
      <n v="-5668.75" in="0">
        <tpls c="5">
          <tpl fld="1" item="8"/>
          <tpl fld="2" item="1"/>
          <tpl hier="10" item="5"/>
          <tpl hier="11" item="0"/>
          <tpl fld="0" item="0"/>
        </tpls>
      </n>
      <m in="0">
        <tpls c="5">
          <tpl fld="1" item="9"/>
          <tpl fld="2" item="9"/>
          <tpl hier="10" item="5"/>
          <tpl hier="11" item="0"/>
          <tpl fld="0" item="0"/>
        </tpls>
      </m>
      <n v="-6614.5" in="0">
        <tpls c="5">
          <tpl fld="1" item="9"/>
          <tpl fld="2" item="15"/>
          <tpl hier="10" item="5"/>
          <tpl hier="11" item="0"/>
          <tpl fld="0" item="0"/>
        </tpls>
      </n>
      <n v="-2036" in="0">
        <tpls c="5">
          <tpl fld="1" item="2"/>
          <tpl fld="2" item="11"/>
          <tpl hier="10" item="5"/>
          <tpl hier="11" item="0"/>
          <tpl fld="0" item="1"/>
        </tpls>
      </n>
      <m in="0">
        <tpls c="5">
          <tpl fld="1" item="4"/>
          <tpl fld="2" item="14"/>
          <tpl hier="10" item="5"/>
          <tpl hier="11" item="0"/>
          <tpl fld="0" item="0"/>
        </tpls>
      </m>
      <n v="-253176.5" in="0">
        <tpls c="5">
          <tpl fld="1" item="2"/>
          <tpl fld="2" item="0"/>
          <tpl hier="10" item="5"/>
          <tpl hier="11" item="0"/>
          <tpl fld="0" item="0"/>
        </tpls>
      </n>
      <n v="-2350" in="0">
        <tpls c="5">
          <tpl fld="1" item="11"/>
          <tpl fld="2" item="1"/>
          <tpl hier="10" item="5"/>
          <tpl hier="11" item="0"/>
          <tpl fld="0" item="1"/>
        </tpls>
      </n>
      <n v="-210778" in="0">
        <tpls c="5">
          <tpl fld="1" item="5"/>
          <tpl fld="2" item="0"/>
          <tpl hier="10" item="5"/>
          <tpl hier="11" item="0"/>
          <tpl fld="0" item="0"/>
        </tpls>
      </n>
      <m in="0">
        <tpls c="5">
          <tpl fld="1" item="11"/>
          <tpl fld="2" item="9"/>
          <tpl hier="10" item="5"/>
          <tpl hier="11" item="0"/>
          <tpl fld="0" item="1"/>
        </tpls>
      </m>
      <m in="0">
        <tpls c="5">
          <tpl fld="1" item="6"/>
          <tpl fld="2" item="4"/>
          <tpl hier="10" item="5"/>
          <tpl hier="11" item="0"/>
          <tpl fld="0" item="0"/>
        </tpls>
      </m>
      <m in="0">
        <tpls c="5">
          <tpl fld="1" item="4"/>
          <tpl fld="2" item="4"/>
          <tpl hier="10" item="5"/>
          <tpl hier="11" item="0"/>
          <tpl fld="0" item="1"/>
        </tpls>
      </m>
      <n v="-5471" in="0">
        <tpls c="5">
          <tpl fld="1" item="3"/>
          <tpl fld="2" item="12"/>
          <tpl hier="10" item="5"/>
          <tpl hier="11" item="0"/>
          <tpl fld="0" item="0"/>
        </tpls>
      </n>
      <n v="-553.25" in="0">
        <tpls c="5">
          <tpl fld="1" item="2"/>
          <tpl fld="2" item="11"/>
          <tpl hier="10" item="5"/>
          <tpl hier="11" item="0"/>
          <tpl fld="0" item="0"/>
        </tpls>
      </n>
      <m in="0">
        <tpls c="5">
          <tpl fld="1" item="5"/>
          <tpl fld="2" item="8"/>
          <tpl hier="10" item="5"/>
          <tpl hier="11" item="0"/>
          <tpl fld="0" item="1"/>
        </tpls>
      </m>
      <n v="-1206.25" in="0">
        <tpls c="5">
          <tpl fld="1" item="7"/>
          <tpl fld="2" item="5"/>
          <tpl hier="10" item="5"/>
          <tpl hier="11" item="0"/>
          <tpl fld="0" item="0"/>
        </tpls>
      </n>
      <m in="0">
        <tpls c="5">
          <tpl fld="1" item="7"/>
          <tpl fld="2" item="7"/>
          <tpl hier="10" item="5"/>
          <tpl hier="11" item="0"/>
          <tpl fld="0" item="1"/>
        </tpls>
      </m>
      <n v="-7484.75" in="0">
        <tpls c="5">
          <tpl fld="1" item="2"/>
          <tpl fld="2" item="10"/>
          <tpl hier="10" item="5"/>
          <tpl hier="11" item="0"/>
          <tpl fld="0" item="0"/>
        </tpls>
      </n>
      <n v="-800" in="0">
        <tpls c="5">
          <tpl fld="1" item="6"/>
          <tpl fld="2" item="11"/>
          <tpl hier="10" item="5"/>
          <tpl hier="11" item="0"/>
          <tpl fld="0" item="1"/>
        </tpls>
      </n>
      <n v="-9599" in="0">
        <tpls c="5">
          <tpl fld="1" item="2"/>
          <tpl fld="2" item="13"/>
          <tpl hier="10" item="5"/>
          <tpl hier="11" item="0"/>
          <tpl fld="0" item="1"/>
        </tpls>
      </n>
      <m in="0">
        <tpls c="5">
          <tpl fld="1" item="4"/>
          <tpl fld="2" item="4"/>
          <tpl hier="10" item="5"/>
          <tpl hier="11" item="0"/>
          <tpl fld="0" item="0"/>
        </tpls>
      </m>
      <m in="0">
        <tpls c="5">
          <tpl fld="1" item="7"/>
          <tpl fld="2" item="14"/>
          <tpl hier="10" item="5"/>
          <tpl hier="11" item="0"/>
          <tpl fld="0" item="1"/>
        </tpls>
      </m>
      <m in="0">
        <tpls c="4">
          <tpl fld="2" item="8"/>
          <tpl hier="10" item="5"/>
          <tpl hier="11" item="0"/>
          <tpl fld="0" item="1"/>
        </tpls>
      </m>
      <n v="-3426187" in="0">
        <tpls c="4">
          <tpl hier="9" item="4294967295"/>
          <tpl hier="10" item="5"/>
          <tpl hier="11" item="0"/>
          <tpl fld="0" item="0"/>
        </tpls>
      </n>
      <n v="-5222" in="0">
        <tpls c="5">
          <tpl fld="1" item="10"/>
          <tpl fld="2" item="15"/>
          <tpl hier="10" item="5"/>
          <tpl hier="11" item="0"/>
          <tpl fld="0" item="0"/>
        </tpls>
      </n>
      <n v="-12713.75" in="0">
        <tpls c="5">
          <tpl fld="1" item="0"/>
          <tpl fld="2" item="10"/>
          <tpl hier="10" item="5"/>
          <tpl hier="11" item="0"/>
          <tpl fld="0" item="0"/>
        </tpls>
      </n>
      <m in="0">
        <tpls c="5">
          <tpl fld="1" item="2"/>
          <tpl fld="2" item="2"/>
          <tpl hier="10" item="5"/>
          <tpl hier="11" item="0"/>
          <tpl fld="0" item="0"/>
        </tpls>
      </m>
      <n v="-7166.25" in="0">
        <tpls c="5">
          <tpl fld="1" item="4"/>
          <tpl fld="2" item="13"/>
          <tpl hier="10" item="5"/>
          <tpl hier="11" item="0"/>
          <tpl fld="0" item="0"/>
        </tpls>
      </n>
      <n v="-3070" in="0">
        <tpls c="5">
          <tpl fld="1" item="1"/>
          <tpl fld="2" item="10"/>
          <tpl hier="10" item="5"/>
          <tpl hier="11" item="0"/>
          <tpl fld="0" item="1"/>
        </tpls>
      </n>
      <n v="-6455.25" in="0">
        <tpls c="4">
          <tpl fld="2" item="11"/>
          <tpl hier="10" item="5"/>
          <tpl hier="11" item="0"/>
          <tpl fld="0" item="0"/>
        </tpls>
      </n>
      <m in="0">
        <tpls c="5">
          <tpl fld="1" item="4"/>
          <tpl fld="2" item="9"/>
          <tpl hier="10" item="5"/>
          <tpl hier="11" item="0"/>
          <tpl fld="0" item="0"/>
        </tpls>
      </m>
      <n v="-33165" in="0">
        <tpls c="4">
          <tpl fld="2" item="3"/>
          <tpl hier="10" item="5"/>
          <tpl hier="11" item="0"/>
          <tpl fld="0" item="1"/>
        </tpls>
      </n>
      <n v="-3841" in="0">
        <tpls c="5">
          <tpl fld="1" item="10"/>
          <tpl fld="2" item="15"/>
          <tpl hier="10" item="5"/>
          <tpl hier="11" item="0"/>
          <tpl fld="0" item="1"/>
        </tpls>
      </n>
      <m in="0">
        <tpls c="5">
          <tpl fld="1" item="1"/>
          <tpl fld="2" item="8"/>
          <tpl hier="10" item="5"/>
          <tpl hier="11" item="0"/>
          <tpl fld="0" item="1"/>
        </tpls>
      </m>
      <n v="-4805" in="0">
        <tpls c="5">
          <tpl fld="1" item="6"/>
          <tpl fld="2" item="3"/>
          <tpl hier="10" item="5"/>
          <tpl hier="11" item="0"/>
          <tpl fld="0" item="1"/>
        </tpls>
      </n>
      <n v="-3070" in="0">
        <tpls c="5">
          <tpl fld="1" item="8"/>
          <tpl fld="2" item="5"/>
          <tpl hier="10" item="5"/>
          <tpl hier="11" item="0"/>
          <tpl fld="0" item="1"/>
        </tpls>
      </n>
      <n v="-4082" in="0">
        <tpls c="5">
          <tpl fld="1" item="5"/>
          <tpl fld="2" item="10"/>
          <tpl hier="10" item="5"/>
          <tpl hier="11" item="0"/>
          <tpl fld="0" item="1"/>
        </tpls>
      </n>
      <n v="-2187" in="0">
        <tpls c="5">
          <tpl fld="1" item="1"/>
          <tpl fld="2" item="13"/>
          <tpl hier="10" item="5"/>
          <tpl hier="11" item="0"/>
          <tpl fld="0" item="1"/>
        </tpls>
      </n>
      <m in="0">
        <tpls c="5">
          <tpl fld="1" item="9"/>
          <tpl fld="2" item="14"/>
          <tpl hier="10" item="5"/>
          <tpl hier="11" item="0"/>
          <tpl fld="0" item="0"/>
        </tpls>
      </m>
      <n v="-580.5" in="0">
        <tpls c="5">
          <tpl fld="1" item="0"/>
          <tpl fld="2" item="11"/>
          <tpl hier="10" item="5"/>
          <tpl hier="11" item="0"/>
          <tpl fld="0" item="0"/>
        </tpls>
      </n>
      <n v="-685" in="0">
        <tpls c="5">
          <tpl fld="1" item="7"/>
          <tpl fld="2" item="11"/>
          <tpl hier="10" item="5"/>
          <tpl hier="11" item="0"/>
          <tpl fld="0" item="1"/>
        </tpls>
      </n>
      <n v="-6796" in="0">
        <tpls c="5">
          <tpl fld="1" item="6"/>
          <tpl fld="2" item="13"/>
          <tpl hier="10" item="5"/>
          <tpl hier="11" item="0"/>
          <tpl fld="0" item="1"/>
        </tpls>
      </n>
      <n v="-9385.5" in="0">
        <tpls c="5">
          <tpl fld="1" item="6"/>
          <tpl fld="2" item="10"/>
          <tpl hier="10" item="5"/>
          <tpl hier="11" item="0"/>
          <tpl fld="0" item="0"/>
        </tpls>
      </n>
      <n v="-235434.5" in="0">
        <tpls c="5">
          <tpl fld="1" item="4"/>
          <tpl fld="2" item="0"/>
          <tpl hier="10" item="5"/>
          <tpl hier="11" item="0"/>
          <tpl fld="0" item="0"/>
        </tpls>
      </n>
      <n v="-61283.25" in="0">
        <tpls c="4">
          <tpl fld="2" item="13"/>
          <tpl hier="10" item="5"/>
          <tpl hier="11" item="0"/>
          <tpl fld="0" item="0"/>
        </tpls>
      </n>
      <m in="0">
        <tpls c="5">
          <tpl fld="1" item="3"/>
          <tpl fld="2" item="2"/>
          <tpl hier="10" item="5"/>
          <tpl hier="11" item="0"/>
          <tpl fld="0" item="1"/>
        </tpls>
      </m>
      <n v="-595943" in="0">
        <tpls c="5">
          <tpl fld="1" item="1"/>
          <tpl fld="2" item="0"/>
          <tpl hier="10" item="5"/>
          <tpl hier="11" item="0"/>
          <tpl fld="0" item="1"/>
        </tpls>
      </n>
      <n v="-2936" in="0">
        <tpls c="5">
          <tpl fld="1" item="6"/>
          <tpl fld="2" item="10"/>
          <tpl hier="10" item="5"/>
          <tpl hier="11" item="0"/>
          <tpl fld="0" item="1"/>
        </tpls>
      </n>
      <n v="-4193.75" in="0">
        <tpls c="5">
          <tpl fld="1" item="4"/>
          <tpl fld="2" item="1"/>
          <tpl hier="10" item="5"/>
          <tpl hier="11" item="0"/>
          <tpl fld="0" item="0"/>
        </tpls>
      </n>
      <m in="0">
        <tpls c="5">
          <tpl fld="1" item="3"/>
          <tpl fld="2" item="7"/>
          <tpl hier="10" item="5"/>
          <tpl hier="11" item="0"/>
          <tpl fld="0" item="1"/>
        </tpls>
      </m>
      <m in="0">
        <tpls c="5">
          <tpl fld="1" item="8"/>
          <tpl fld="2" item="8"/>
          <tpl hier="10" item="5"/>
          <tpl hier="11" item="0"/>
          <tpl fld="0" item="0"/>
        </tpls>
      </m>
      <n v="-3812" in="0">
        <tpls c="5">
          <tpl fld="1" item="9"/>
          <tpl fld="2" item="13"/>
          <tpl hier="10" item="5"/>
          <tpl hier="11" item="0"/>
          <tpl fld="0" item="0"/>
        </tpls>
      </n>
      <n v="-298988.5" in="0">
        <tpls c="5">
          <tpl fld="1" item="2"/>
          <tpl hier="9" item="4294967295"/>
          <tpl hier="10" item="5"/>
          <tpl hier="11" item="0"/>
          <tpl fld="0" item="0"/>
        </tpls>
      </n>
      <n v="-2313" in="0">
        <tpls c="5">
          <tpl fld="1" item="0"/>
          <tpl fld="2" item="13"/>
          <tpl hier="10" item="5"/>
          <tpl hier="11" item="0"/>
          <tpl fld="0" item="1"/>
        </tpls>
      </n>
      <n v="-1170" in="0">
        <tpls c="5">
          <tpl fld="1" item="1"/>
          <tpl fld="2" item="5"/>
          <tpl hier="10" item="5"/>
          <tpl hier="11" item="0"/>
          <tpl fld="0" item="1"/>
        </tpls>
      </n>
      <m in="0">
        <tpls c="5">
          <tpl fld="1" item="4"/>
          <tpl fld="2" item="2"/>
          <tpl hier="10" item="5"/>
          <tpl hier="11" item="0"/>
          <tpl fld="0" item="0"/>
        </tpls>
      </m>
      <n v="-9136" in="0">
        <tpls c="5">
          <tpl fld="1" item="9"/>
          <tpl fld="2" item="13"/>
          <tpl hier="10" item="5"/>
          <tpl hier="11" item="0"/>
          <tpl fld="0" item="1"/>
        </tpls>
      </n>
      <n v="-461988" in="0">
        <tpls c="5">
          <tpl fld="1" item="0"/>
          <tpl hier="9" item="4294967295"/>
          <tpl hier="10" item="5"/>
          <tpl hier="11" item="0"/>
          <tpl fld="0" item="1"/>
        </tpls>
      </n>
      <n v="-16403.75" in="0">
        <tpls c="5">
          <tpl fld="1" item="4"/>
          <tpl fld="2" item="6"/>
          <tpl hier="10" item="5"/>
          <tpl hier="11" item="0"/>
          <tpl fld="0" item="0"/>
        </tpls>
      </n>
      <m in="0">
        <tpls c="5">
          <tpl fld="1" item="4"/>
          <tpl fld="2" item="2"/>
          <tpl hier="10" item="5"/>
          <tpl hier="11" item="0"/>
          <tpl fld="0" item="1"/>
        </tpls>
      </m>
      <n v="-6002" in="0">
        <tpls c="5">
          <tpl fld="1" item="4"/>
          <tpl fld="2" item="12"/>
          <tpl hier="10" item="5"/>
          <tpl hier="11" item="0"/>
          <tpl fld="0" item="1"/>
        </tpls>
      </n>
      <m in="0">
        <tpls c="5">
          <tpl fld="1" item="6"/>
          <tpl fld="2" item="14"/>
          <tpl hier="10" item="5"/>
          <tpl hier="11" item="0"/>
          <tpl fld="0" item="0"/>
        </tpls>
      </m>
      <m in="0">
        <tpls c="5">
          <tpl fld="1" item="7"/>
          <tpl fld="2" item="8"/>
          <tpl hier="10" item="5"/>
          <tpl hier="11" item="0"/>
          <tpl fld="0" item="1"/>
        </tpls>
      </m>
      <m in="0">
        <tpls c="5">
          <tpl fld="1" item="6"/>
          <tpl fld="2" item="14"/>
          <tpl hier="10" item="5"/>
          <tpl hier="11" item="0"/>
          <tpl fld="0" item="1"/>
        </tpls>
      </m>
      <m in="0">
        <tpls c="5">
          <tpl fld="1" item="11"/>
          <tpl fld="2" item="7"/>
          <tpl hier="10" item="5"/>
          <tpl hier="11" item="0"/>
          <tpl fld="0" item="1"/>
        </tpls>
      </m>
      <m in="0">
        <tpls c="5">
          <tpl fld="1" item="6"/>
          <tpl fld="2" item="8"/>
          <tpl hier="10" item="5"/>
          <tpl hier="11" item="0"/>
          <tpl fld="0" item="0"/>
        </tpls>
      </m>
      <n v="-4189.5" in="0">
        <tpls c="5">
          <tpl fld="1" item="10"/>
          <tpl fld="2" item="13"/>
          <tpl hier="10" item="5"/>
          <tpl hier="11" item="0"/>
          <tpl fld="0" item="0"/>
        </tpls>
      </n>
      <n v="-2977" in="0">
        <tpls c="5">
          <tpl fld="1" item="0"/>
          <tpl fld="2" item="15"/>
          <tpl hier="10" item="5"/>
          <tpl hier="11" item="0"/>
          <tpl fld="0" item="1"/>
        </tpls>
      </n>
      <n v="-279667" in="0">
        <tpls c="5">
          <tpl fld="1" item="6"/>
          <tpl fld="2" item="0"/>
          <tpl hier="10" item="5"/>
          <tpl hier="11" item="0"/>
          <tpl fld="0" item="1"/>
        </tpls>
      </n>
      <n v="-2057.25" in="0">
        <tpls c="5">
          <tpl fld="1" item="5"/>
          <tpl fld="2" item="3"/>
          <tpl hier="10" item="5"/>
          <tpl hier="11" item="0"/>
          <tpl fld="0" item="0"/>
        </tpls>
      </n>
      <m in="0">
        <tpls c="4">
          <tpl fld="2" item="14"/>
          <tpl hier="10" item="5"/>
          <tpl hier="11" item="0"/>
          <tpl fld="0" item="1"/>
        </tpls>
      </m>
      <n v="-914" in="0">
        <tpls c="5">
          <tpl fld="1" item="8"/>
          <tpl fld="2" item="3"/>
          <tpl hier="10" item="5"/>
          <tpl hier="11" item="0"/>
          <tpl fld="0" item="1"/>
        </tpls>
      </n>
      <m in="0">
        <tpls c="5">
          <tpl fld="1" item="9"/>
          <tpl fld="2" item="8"/>
          <tpl hier="10" item="5"/>
          <tpl hier="11" item="0"/>
          <tpl fld="0" item="1"/>
        </tpls>
      </m>
      <n v="-2066.5" in="0">
        <tpls c="5">
          <tpl fld="1" item="6"/>
          <tpl fld="2" item="3"/>
          <tpl hier="10" item="5"/>
          <tpl hier="11" item="0"/>
          <tpl fld="0" item="0"/>
        </tpls>
      </n>
      <m in="0">
        <tpls c="4">
          <tpl fld="2" item="9"/>
          <tpl hier="10" item="5"/>
          <tpl hier="11" item="0"/>
          <tpl fld="0" item="1"/>
        </tpls>
      </m>
      <n v="-338565" in="0">
        <tpls c="5">
          <tpl fld="1" item="3"/>
          <tpl hier="9" item="4294967295"/>
          <tpl hier="10" item="5"/>
          <tpl hier="11" item="0"/>
          <tpl fld="0" item="0"/>
        </tpls>
      </n>
      <m in="0">
        <tpls c="5">
          <tpl fld="1" item="8"/>
          <tpl fld="2" item="2"/>
          <tpl hier="10" item="5"/>
          <tpl hier="11" item="0"/>
          <tpl fld="0" item="1"/>
        </tpls>
      </m>
      <n v="-5512" in="0">
        <tpls c="5">
          <tpl fld="1" item="10"/>
          <tpl fld="2" item="12"/>
          <tpl hier="10" item="5"/>
          <tpl hier="11" item="0"/>
          <tpl fld="0" item="1"/>
        </tpls>
      </n>
      <n v="-6993" in="0">
        <tpls c="5">
          <tpl fld="1" item="0"/>
          <tpl fld="2" item="3"/>
          <tpl hier="10" item="5"/>
          <tpl hier="11" item="0"/>
          <tpl fld="0" item="1"/>
        </tpls>
      </n>
      <n v="-792" in="0">
        <tpls c="5">
          <tpl fld="1" item="11"/>
          <tpl fld="2" item="11"/>
          <tpl hier="10" item="5"/>
          <tpl hier="11" item="0"/>
          <tpl fld="0" item="1"/>
        </tpls>
      </n>
      <n v="-16859.25" in="0">
        <tpls c="5">
          <tpl fld="1" item="0"/>
          <tpl fld="2" item="6"/>
          <tpl hier="10" item="5"/>
          <tpl hier="11" item="0"/>
          <tpl fld="0" item="0"/>
        </tpls>
      </n>
      <n v="-13035" in="0">
        <tpls c="5">
          <tpl fld="1" item="6"/>
          <tpl fld="2" item="6"/>
          <tpl hier="10" item="5"/>
          <tpl hier="11" item="0"/>
          <tpl fld="0" item="1"/>
        </tpls>
      </n>
      <m in="0">
        <tpls c="5">
          <tpl fld="1" item="11"/>
          <tpl fld="2" item="4"/>
          <tpl hier="10" item="5"/>
          <tpl hier="11" item="0"/>
          <tpl fld="0" item="1"/>
        </tpls>
      </m>
      <m in="0">
        <tpls c="5">
          <tpl fld="1" item="7"/>
          <tpl fld="2" item="4"/>
          <tpl hier="10" item="5"/>
          <tpl hier="11" item="0"/>
          <tpl fld="0" item="1"/>
        </tpls>
      </m>
      <m in="0">
        <tpls c="5">
          <tpl fld="1" item="4"/>
          <tpl fld="2" item="15"/>
          <tpl hier="10" item="5"/>
          <tpl hier="11" item="0"/>
          <tpl fld="0" item="1"/>
        </tpls>
      </m>
      <m in="0">
        <tpls c="5">
          <tpl fld="1" item="11"/>
          <tpl fld="2" item="8"/>
          <tpl hier="10" item="5"/>
          <tpl hier="11" item="0"/>
          <tpl fld="0" item="0"/>
        </tpls>
      </m>
      <n v="-370" in="0">
        <tpls c="5">
          <tpl fld="1" item="9"/>
          <tpl fld="2" item="11"/>
          <tpl hier="10" item="5"/>
          <tpl hier="11" item="0"/>
          <tpl fld="0" item="1"/>
        </tpls>
      </n>
      <n v="-300108.75" in="0">
        <tpls c="5">
          <tpl fld="1" item="0"/>
          <tpl hier="9" item="4294967295"/>
          <tpl hier="10" item="5"/>
          <tpl hier="11" item="0"/>
          <tpl fld="0" item="0"/>
        </tpls>
      </n>
      <m in="0">
        <tpls c="5">
          <tpl fld="1" item="9"/>
          <tpl fld="2" item="4"/>
          <tpl hier="10" item="5"/>
          <tpl hier="11" item="0"/>
          <tpl fld="0" item="0"/>
        </tpls>
      </m>
      <n v="-3397" in="0">
        <tpls c="5">
          <tpl fld="1" item="0"/>
          <tpl fld="2" item="13"/>
          <tpl hier="10" item="5"/>
          <tpl hier="11" item="0"/>
          <tpl fld="0" item="0"/>
        </tpls>
      </n>
      <n v="-2534.25" in="0">
        <tpls c="5">
          <tpl fld="1" item="7"/>
          <tpl fld="2" item="3"/>
          <tpl hier="10" item="5"/>
          <tpl hier="11" item="0"/>
          <tpl fld="0" item="0"/>
        </tpls>
      </n>
      <n v="-6006" in="0">
        <tpls c="5">
          <tpl fld="1" item="11"/>
          <tpl fld="2" item="13"/>
          <tpl hier="10" item="5"/>
          <tpl hier="11" item="0"/>
          <tpl fld="0" item="0"/>
        </tpls>
      </n>
      <m in="0">
        <tpls c="5">
          <tpl fld="1" item="0"/>
          <tpl fld="2" item="14"/>
          <tpl hier="10" item="5"/>
          <tpl hier="11" item="0"/>
          <tpl fld="0" item="1"/>
        </tpls>
      </m>
      <n v="-3620" in="0">
        <tpls c="5">
          <tpl fld="1" item="9"/>
          <tpl fld="2" item="3"/>
          <tpl hier="10" item="5"/>
          <tpl hier="11" item="0"/>
          <tpl fld="0" item="1"/>
        </tpls>
      </n>
      <n v="-808" in="0">
        <tpls c="5">
          <tpl fld="1" item="1"/>
          <tpl fld="2" item="11"/>
          <tpl hier="10" item="5"/>
          <tpl hier="11" item="0"/>
          <tpl fld="0" item="1"/>
        </tpls>
      </n>
      <n v="-11122" in="0">
        <tpls c="5">
          <tpl fld="1" item="11"/>
          <tpl fld="2" item="13"/>
          <tpl hier="10" item="5"/>
          <tpl hier="11" item="0"/>
          <tpl fld="0" item="1"/>
        </tpls>
      </n>
      <m in="0">
        <tpls c="5">
          <tpl fld="1" item="0"/>
          <tpl fld="2" item="14"/>
          <tpl hier="10" item="5"/>
          <tpl hier="11" item="0"/>
          <tpl fld="0" item="0"/>
        </tpls>
      </m>
      <n v="-1628" in="0">
        <tpls c="5">
          <tpl fld="1" item="2"/>
          <tpl fld="2" item="3"/>
          <tpl hier="10" item="5"/>
          <tpl hier="11" item="0"/>
          <tpl fld="0" item="1"/>
        </tpls>
      </n>
      <n v="-364084" in="0">
        <tpls c="5">
          <tpl fld="1" item="3"/>
          <tpl hier="9" item="4294967295"/>
          <tpl hier="10" item="5"/>
          <tpl hier="11" item="0"/>
          <tpl fld="0" item="1"/>
        </tpls>
      </n>
      <m in="0">
        <tpls c="5">
          <tpl fld="1" item="5"/>
          <tpl fld="2" item="4"/>
          <tpl hier="10" item="5"/>
          <tpl hier="11" item="0"/>
          <tpl fld="0" item="1"/>
        </tpls>
      </m>
      <m in="0">
        <tpls c="5">
          <tpl fld="1" item="9"/>
          <tpl fld="2" item="2"/>
          <tpl hier="10" item="5"/>
          <tpl hier="11" item="0"/>
          <tpl fld="0" item="1"/>
        </tpls>
      </m>
      <m in="0">
        <tpls c="5">
          <tpl fld="1" item="10"/>
          <tpl fld="2" item="8"/>
          <tpl hier="10" item="5"/>
          <tpl hier="11" item="0"/>
          <tpl fld="0" item="0"/>
        </tpls>
      </m>
      <n v="-13309" in="0">
        <tpls c="5">
          <tpl fld="1" item="8"/>
          <tpl fld="2" item="10"/>
          <tpl hier="10" item="5"/>
          <tpl hier="11" item="0"/>
          <tpl fld="0" item="0"/>
        </tpls>
      </n>
      <n v="-4293" in="0">
        <tpls c="5">
          <tpl fld="1" item="2"/>
          <tpl fld="2" item="15"/>
          <tpl hier="10" item="5"/>
          <tpl hier="11" item="0"/>
          <tpl fld="0" item="0"/>
        </tpls>
      </n>
      <m in="0">
        <tpls c="5">
          <tpl fld="1" item="9"/>
          <tpl fld="2" item="7"/>
          <tpl hier="10" item="5"/>
          <tpl hier="11" item="0"/>
          <tpl fld="0" item="1"/>
        </tpls>
      </m>
      <n v="-2306.75" in="0">
        <tpls c="5">
          <tpl fld="1" item="4"/>
          <tpl fld="2" item="3"/>
          <tpl hier="10" item="5"/>
          <tpl hier="11" item="0"/>
          <tpl fld="0" item="0"/>
        </tpls>
      </n>
      <m in="0">
        <tpls c="5">
          <tpl fld="1" item="10"/>
          <tpl fld="2" item="4"/>
          <tpl hier="10" item="5"/>
          <tpl hier="11" item="0"/>
          <tpl fld="0" item="1"/>
        </tpls>
      </m>
      <m in="0">
        <tpls c="5">
          <tpl fld="1" item="1"/>
          <tpl fld="2" item="8"/>
          <tpl hier="10" item="5"/>
          <tpl hier="11" item="0"/>
          <tpl fld="0" item="0"/>
        </tpls>
      </m>
      <m in="0">
        <tpls c="5">
          <tpl fld="1" item="9"/>
          <tpl fld="2" item="9"/>
          <tpl hier="10" item="5"/>
          <tpl hier="11" item="0"/>
          <tpl fld="0" item="1"/>
        </tpls>
      </m>
      <m in="0">
        <tpls c="5">
          <tpl fld="1" item="2"/>
          <tpl fld="2" item="14"/>
          <tpl hier="10" item="5"/>
          <tpl hier="11" item="0"/>
          <tpl fld="0" item="1"/>
        </tpls>
      </m>
      <n v="-9013.75" in="0">
        <tpls c="5">
          <tpl fld="1" item="9"/>
          <tpl fld="2" item="10"/>
          <tpl hier="10" item="5"/>
          <tpl hier="11" item="0"/>
          <tpl fld="0" item="0"/>
        </tpls>
      </n>
      <n v="-5399.75" in="0">
        <tpls c="5">
          <tpl fld="1" item="5"/>
          <tpl fld="2" item="1"/>
          <tpl hier="10" item="5"/>
          <tpl hier="11" item="0"/>
          <tpl fld="0" item="0"/>
        </tpls>
      </n>
      <n v="-4514.5" in="0">
        <tpls c="5">
          <tpl fld="1" item="10"/>
          <tpl fld="2" item="12"/>
          <tpl hier="10" item="5"/>
          <tpl hier="11" item="0"/>
          <tpl fld="0" item="0"/>
        </tpls>
      </n>
      <n v="-737" in="0">
        <tpls c="5">
          <tpl fld="1" item="4"/>
          <tpl fld="2" item="11"/>
          <tpl hier="10" item="5"/>
          <tpl hier="11" item="0"/>
          <tpl fld="0" item="1"/>
        </tpls>
      </n>
      <n v="-303523.25" in="0">
        <tpls c="5">
          <tpl fld="1" item="8"/>
          <tpl hier="9" item="4294967295"/>
          <tpl hier="10" item="5"/>
          <tpl hier="11" item="0"/>
          <tpl fld="0" item="0"/>
        </tpls>
      </n>
      <m in="0">
        <tpls c="5">
          <tpl fld="1" item="1"/>
          <tpl fld="2" item="14"/>
          <tpl hier="10" item="5"/>
          <tpl hier="11" item="0"/>
          <tpl fld="0" item="0"/>
        </tpls>
      </m>
      <m in="0">
        <tpls c="5">
          <tpl fld="1" item="1"/>
          <tpl fld="2" item="2"/>
          <tpl hier="10" item="5"/>
          <tpl hier="11" item="0"/>
          <tpl fld="0" item="0"/>
        </tpls>
      </m>
      <n v="-2553.75" in="0">
        <tpls c="5">
          <tpl fld="1" item="2"/>
          <tpl fld="2" item="3"/>
          <tpl hier="10" item="5"/>
          <tpl hier="11" item="0"/>
          <tpl fld="0" item="0"/>
        </tpls>
      </n>
      <n v="-1340.25" in="0">
        <tpls c="5">
          <tpl fld="1" item="6"/>
          <tpl fld="2" item="5"/>
          <tpl hier="10" item="5"/>
          <tpl hier="11" item="0"/>
          <tpl fld="0" item="0"/>
        </tpls>
      </n>
      <m in="0">
        <tpls c="5">
          <tpl fld="1" item="2"/>
          <tpl fld="2" item="9"/>
          <tpl hier="10" item="5"/>
          <tpl hier="11" item="0"/>
          <tpl fld="0" item="1"/>
        </tpls>
      </m>
      <n v="-208387" in="0">
        <tpls c="5">
          <tpl fld="1" item="8"/>
          <tpl fld="2" item="0"/>
          <tpl hier="10" item="5"/>
          <tpl hier="11" item="0"/>
          <tpl fld="0" item="1"/>
        </tpls>
      </n>
      <m in="0">
        <tpls c="5">
          <tpl fld="1" item="9"/>
          <tpl fld="2" item="7"/>
          <tpl hier="10" item="5"/>
          <tpl hier="11" item="0"/>
          <tpl fld="0" item="0"/>
        </tpls>
      </m>
      <m in="0">
        <tpls c="5">
          <tpl fld="1" item="3"/>
          <tpl fld="2" item="9"/>
          <tpl hier="10" item="5"/>
          <tpl hier="11" item="0"/>
          <tpl fld="0" item="0"/>
        </tpls>
      </m>
      <n v="-205805.25" in="0">
        <tpls c="5">
          <tpl fld="1" item="1"/>
          <tpl fld="2" item="0"/>
          <tpl hier="10" item="5"/>
          <tpl hier="11" item="0"/>
          <tpl fld="0" item="0"/>
        </tpls>
      </n>
      <m in="0">
        <tpls c="5">
          <tpl fld="1" item="2"/>
          <tpl fld="2" item="4"/>
          <tpl hier="10" item="5"/>
          <tpl hier="11" item="0"/>
          <tpl fld="0" item="1"/>
        </tpls>
      </m>
      <m in="0">
        <tpls c="5">
          <tpl fld="1" item="10"/>
          <tpl fld="2" item="9"/>
          <tpl hier="10" item="5"/>
          <tpl hier="11" item="0"/>
          <tpl fld="0" item="1"/>
        </tpls>
      </m>
      <m in="0">
        <tpls c="5">
          <tpl fld="1" item="5"/>
          <tpl fld="2" item="9"/>
          <tpl hier="10" item="5"/>
          <tpl hier="11" item="0"/>
          <tpl fld="0" item="1"/>
        </tpls>
      </m>
      <n v="-4928" in="0">
        <tpls c="5">
          <tpl fld="1" item="8"/>
          <tpl fld="2" item="12"/>
          <tpl hier="10" item="5"/>
          <tpl hier="11" item="0"/>
          <tpl fld="0" item="0"/>
        </tpls>
      </n>
      <n v="-1233.25" in="0">
        <tpls c="5">
          <tpl fld="1" item="8"/>
          <tpl fld="2" item="5"/>
          <tpl hier="10" item="5"/>
          <tpl hier="11" item="0"/>
          <tpl fld="0" item="0"/>
        </tpls>
      </n>
      <n v="-1955" in="0">
        <tpls c="5">
          <tpl fld="1" item="9"/>
          <tpl fld="2" item="5"/>
          <tpl hier="10" item="5"/>
          <tpl hier="11" item="0"/>
          <tpl fld="0" item="1"/>
        </tpls>
      </n>
      <n v="-2584" in="0">
        <tpls c="5">
          <tpl fld="1" item="10"/>
          <tpl fld="2" item="5"/>
          <tpl hier="10" item="5"/>
          <tpl hier="11" item="0"/>
          <tpl fld="0" item="1"/>
        </tpls>
      </n>
      <n v="-276057.75" in="0">
        <tpls c="5">
          <tpl fld="1" item="5"/>
          <tpl hier="9" item="4294967295"/>
          <tpl hier="10" item="5"/>
          <tpl hier="11" item="0"/>
          <tpl fld="0" item="0"/>
        </tpls>
      </n>
      <m in="0">
        <tpls c="5">
          <tpl fld="1" item="1"/>
          <tpl fld="2" item="15"/>
          <tpl hier="10" item="5"/>
          <tpl hier="11" item="0"/>
          <tpl fld="0" item="1"/>
        </tpls>
      </m>
      <n v="-2674.25" in="0">
        <tpls c="5">
          <tpl fld="1" item="0"/>
          <tpl fld="2" item="3"/>
          <tpl hier="10" item="5"/>
          <tpl hier="11" item="0"/>
          <tpl fld="0" item="0"/>
        </tpls>
      </n>
      <m in="0">
        <tpls c="5">
          <tpl fld="1" item="3"/>
          <tpl fld="2" item="4"/>
          <tpl hier="10" item="5"/>
          <tpl hier="11" item="0"/>
          <tpl fld="0" item="0"/>
        </tpls>
      </m>
      <m in="0">
        <tpls c="5">
          <tpl fld="1" item="2"/>
          <tpl fld="2" item="9"/>
          <tpl hier="10" item="5"/>
          <tpl hier="11" item="0"/>
          <tpl fld="0" item="0"/>
        </tpls>
      </m>
      <n v="-12705" in="0">
        <tpls c="5">
          <tpl fld="1" item="7"/>
          <tpl fld="2" item="6"/>
          <tpl hier="10" item="5"/>
          <tpl hier="11" item="0"/>
          <tpl fld="0" item="1"/>
        </tpls>
      </n>
      <m in="0">
        <tpls c="5">
          <tpl fld="1" item="6"/>
          <tpl fld="2" item="2"/>
          <tpl hier="10" item="5"/>
          <tpl hier="11" item="0"/>
          <tpl fld="0" item="1"/>
        </tpls>
      </m>
      <m in="0">
        <tpls c="5">
          <tpl fld="1" item="1"/>
          <tpl fld="2" item="4"/>
          <tpl hier="10" item="5"/>
          <tpl hier="11" item="0"/>
          <tpl fld="0" item="0"/>
        </tpls>
      </m>
      <m in="0">
        <tpls c="5">
          <tpl fld="1" item="8"/>
          <tpl fld="2" item="9"/>
          <tpl hier="10" item="5"/>
          <tpl hier="11" item="0"/>
          <tpl fld="0" item="0"/>
        </tpls>
      </m>
      <n v="-459" in="0">
        <tpls c="5">
          <tpl fld="1" item="5"/>
          <tpl fld="2" item="5"/>
          <tpl hier="10" item="5"/>
          <tpl hier="11" item="0"/>
          <tpl fld="0" item="1"/>
        </tpls>
      </n>
      <n v="-1752" in="0">
        <tpls c="5">
          <tpl fld="1" item="8"/>
          <tpl fld="2" item="12"/>
          <tpl hier="10" item="5"/>
          <tpl hier="11" item="0"/>
          <tpl fld="0" item="1"/>
        </tpls>
      </n>
      <n v="-4644.75" in="0">
        <tpls c="5">
          <tpl fld="1" item="10"/>
          <tpl fld="2" item="1"/>
          <tpl hier="10" item="5"/>
          <tpl hier="11" item="0"/>
          <tpl fld="0" item="0"/>
        </tpls>
      </n>
      <n v="-2201" in="0">
        <tpls c="5">
          <tpl fld="1" item="9"/>
          <tpl fld="2" item="10"/>
          <tpl hier="10" item="5"/>
          <tpl hier="11" item="0"/>
          <tpl fld="0" item="1"/>
        </tpls>
      </n>
      <m in="0">
        <tpls c="5">
          <tpl fld="1" item="10"/>
          <tpl fld="2" item="2"/>
          <tpl hier="10" item="5"/>
          <tpl hier="11" item="0"/>
          <tpl fld="0" item="1"/>
        </tpls>
      </m>
      <n v="-421935" in="0">
        <tpls c="5">
          <tpl fld="1" item="5"/>
          <tpl hier="9" item="4294967295"/>
          <tpl hier="10" item="5"/>
          <tpl hier="11" item="0"/>
          <tpl fld="0" item="1"/>
        </tpls>
      </n>
      <n v="-4711.25" in="0">
        <tpls c="5">
          <tpl fld="1" item="5"/>
          <tpl fld="2" item="15"/>
          <tpl hier="10" item="5"/>
          <tpl hier="11" item="0"/>
          <tpl fld="0" item="0"/>
        </tpls>
      </n>
      <m in="0">
        <tpls c="5">
          <tpl fld="1" item="0"/>
          <tpl fld="2" item="4"/>
          <tpl hier="10" item="5"/>
          <tpl hier="11" item="0"/>
          <tpl fld="0" item="1"/>
        </tpls>
      </m>
      <n v="-4733.25" in="0">
        <tpls c="5">
          <tpl fld="1" item="3"/>
          <tpl fld="2" item="1"/>
          <tpl hier="10" item="5"/>
          <tpl hier="11" item="0"/>
          <tpl fld="0" item="0"/>
        </tpls>
      </n>
      <n v="-354705" in="0">
        <tpls c="5">
          <tpl fld="1" item="5"/>
          <tpl fld="2" item="0"/>
          <tpl hier="10" item="5"/>
          <tpl hier="11" item="0"/>
          <tpl fld="0" item="1"/>
        </tpls>
      </n>
      <n v="-3079.25" in="0">
        <tpls c="5">
          <tpl fld="1" item="11"/>
          <tpl fld="2" item="3"/>
          <tpl hier="10" item="5"/>
          <tpl hier="11" item="0"/>
          <tpl fld="0" item="0"/>
        </tpls>
      </n>
      <m in="0">
        <tpls c="5">
          <tpl fld="1" item="1"/>
          <tpl fld="2" item="4"/>
          <tpl hier="10" item="5"/>
          <tpl hier="11" item="0"/>
          <tpl fld="0" item="1"/>
        </tpls>
      </m>
      <m in="0">
        <tpls c="5">
          <tpl fld="1" item="8"/>
          <tpl fld="2" item="9"/>
          <tpl hier="10" item="5"/>
          <tpl hier="11" item="0"/>
          <tpl fld="0" item="1"/>
        </tpls>
      </m>
      <m in="0">
        <tpls c="5">
          <tpl fld="1" item="5"/>
          <tpl fld="2" item="7"/>
          <tpl hier="10" item="5"/>
          <tpl hier="11" item="0"/>
          <tpl fld="0" item="1"/>
        </tpls>
      </m>
      <n v="-5002.5" in="0">
        <tpls c="5">
          <tpl fld="1" item="7"/>
          <tpl fld="2" item="12"/>
          <tpl hier="10" item="5"/>
          <tpl hier="11" item="0"/>
          <tpl fld="0" item="0"/>
        </tpls>
      </n>
      <m in="0">
        <tpls c="5">
          <tpl fld="1" item="10"/>
          <tpl fld="2" item="4"/>
          <tpl hier="10" item="5"/>
          <tpl hier="11" item="0"/>
          <tpl fld="0" item="0"/>
        </tpls>
      </m>
      <n v="-659307" in="0">
        <tpls c="5">
          <tpl fld="1" item="9"/>
          <tpl fld="2" item="0"/>
          <tpl hier="10" item="5"/>
          <tpl hier="11" item="0"/>
          <tpl fld="0" item="1"/>
        </tpls>
      </n>
      <n v="-1357.75" in="0">
        <tpls c="5">
          <tpl fld="1" item="5"/>
          <tpl fld="2" item="5"/>
          <tpl hier="10" item="5"/>
          <tpl hier="11" item="0"/>
          <tpl fld="0" item="0"/>
        </tpls>
      </n>
      <n v="-288194.5" in="0">
        <tpls c="5">
          <tpl fld="1" item="4"/>
          <tpl hier="9" item="4294967295"/>
          <tpl hier="10" item="5"/>
          <tpl hier="11" item="0"/>
          <tpl fld="0" item="0"/>
        </tpls>
      </n>
      <n v="-4404" in="0">
        <tpls c="5">
          <tpl fld="1" item="5"/>
          <tpl fld="2" item="15"/>
          <tpl hier="10" item="5"/>
          <tpl hier="11" item="0"/>
          <tpl fld="0" item="1"/>
        </tpls>
      </n>
      <m in="0">
        <tpls c="5">
          <tpl fld="1" item="0"/>
          <tpl fld="2" item="4"/>
          <tpl hier="10" item="5"/>
          <tpl hier="11" item="0"/>
          <tpl fld="0" item="0"/>
        </tpls>
      </m>
      <n v="-6208.75" in="0">
        <tpls c="5">
          <tpl fld="1" item="6"/>
          <tpl fld="2" item="1"/>
          <tpl hier="10" item="5"/>
          <tpl hier="11" item="0"/>
          <tpl fld="0" item="0"/>
        </tpls>
      </n>
      <m in="0">
        <tpls c="5">
          <tpl fld="1" item="9"/>
          <tpl fld="2" item="8"/>
          <tpl hier="10" item="5"/>
          <tpl hier="11" item="0"/>
          <tpl fld="0" item="0"/>
        </tpls>
      </m>
      <n v="-245110.75" in="0">
        <tpls c="5">
          <tpl fld="1" item="8"/>
          <tpl fld="2" item="0"/>
          <tpl hier="10" item="5"/>
          <tpl hier="11" item="0"/>
          <tpl fld="0" item="0"/>
        </tpls>
      </n>
      <n v="-2320" in="0">
        <tpls c="5">
          <tpl fld="1" item="1"/>
          <tpl fld="2" item="1"/>
          <tpl hier="10" item="5"/>
          <tpl hier="11" item="0"/>
          <tpl fld="0" item="1"/>
        </tpls>
      </n>
      <m in="0">
        <tpls c="5">
          <tpl fld="1" item="10"/>
          <tpl fld="2" item="3"/>
          <tpl hier="10" item="5"/>
          <tpl hier="11" item="0"/>
          <tpl fld="0" item="1"/>
        </tpls>
      </m>
      <n v="-40012" in="0">
        <tpls c="5">
          <tpl fld="1" item="11"/>
          <tpl fld="2" item="6"/>
          <tpl hier="10" item="5"/>
          <tpl hier="11" item="0"/>
          <tpl fld="0" item="1"/>
        </tpls>
      </n>
      <m in="0">
        <tpls c="5">
          <tpl fld="1" item="5"/>
          <tpl fld="2" item="4"/>
          <tpl hier="10" item="5"/>
          <tpl hier="11" item="0"/>
          <tpl fld="0" item="0"/>
        </tpls>
      </m>
      <m in="0">
        <tpls c="5">
          <tpl fld="1" item="7"/>
          <tpl fld="2" item="9"/>
          <tpl hier="10" item="5"/>
          <tpl hier="11" item="0"/>
          <tpl fld="0" item="0"/>
        </tpls>
      </m>
      <n v="-46001" in="0">
        <tpls c="5">
          <tpl fld="1" item="5"/>
          <tpl fld="2" item="6"/>
          <tpl hier="10" item="5"/>
          <tpl hier="11" item="0"/>
          <tpl fld="0" item="1"/>
        </tpls>
      </n>
      <n v="-3874" in="0">
        <tpls c="5">
          <tpl fld="1" item="7"/>
          <tpl fld="2" item="12"/>
          <tpl hier="10" item="5"/>
          <tpl hier="11" item="0"/>
          <tpl fld="0" item="1"/>
        </tpls>
      </n>
      <n v="-1315.75" in="0">
        <tpls c="5">
          <tpl fld="1" item="10"/>
          <tpl fld="2" item="5"/>
          <tpl hier="10" item="5"/>
          <tpl hier="11" item="0"/>
          <tpl fld="0" item="0"/>
        </tpls>
      </n>
      <m in="0">
        <tpls c="5">
          <tpl fld="1" item="3"/>
          <tpl fld="2" item="14"/>
          <tpl hier="10" item="5"/>
          <tpl hier="11" item="0"/>
          <tpl fld="0" item="0"/>
        </tpls>
      </m>
      <n v="-14548.75" in="0">
        <tpls c="5">
          <tpl fld="1" item="5"/>
          <tpl fld="2" item="10"/>
          <tpl hier="10" item="5"/>
          <tpl hier="11" item="0"/>
          <tpl fld="0" item="0"/>
        </tpls>
      </n>
      <n v="-149112" in="0">
        <tpls c="5">
          <tpl fld="1" item="4"/>
          <tpl hier="9" item="4294967295"/>
          <tpl hier="10" item="5"/>
          <tpl hier="11" item="0"/>
          <tpl fld="0" item="1"/>
        </tpls>
      </n>
      <n v="-3995" in="0">
        <tpls c="5">
          <tpl fld="1" item="3"/>
          <tpl fld="2" item="15"/>
          <tpl hier="10" item="5"/>
          <tpl hier="11" item="0"/>
          <tpl fld="0" item="1"/>
        </tpls>
      </n>
      <n v="-3719" in="0">
        <tpls c="5">
          <tpl fld="1" item="0"/>
          <tpl fld="2" item="5"/>
          <tpl hier="10" item="5"/>
          <tpl hier="11" item="0"/>
          <tpl fld="0" item="1"/>
        </tpls>
      </n>
      <m in="0">
        <tpls c="5">
          <tpl fld="1" item="1"/>
          <tpl fld="2" item="7"/>
          <tpl hier="10" item="5"/>
          <tpl hier="11" item="0"/>
          <tpl fld="0" item="0"/>
        </tpls>
      </m>
      <n v="-16656" in="0">
        <tpls c="5">
          <tpl fld="1" item="7"/>
          <tpl fld="2" item="6"/>
          <tpl hier="10" item="5"/>
          <tpl hier="11" item="0"/>
          <tpl fld="0" item="0"/>
        </tpls>
      </n>
      <m in="0">
        <tpls c="5">
          <tpl fld="1" item="1"/>
          <tpl fld="2" item="14"/>
          <tpl hier="10" item="5"/>
          <tpl hier="11" item="0"/>
          <tpl fld="0" item="1"/>
        </tpls>
      </m>
      <n v="-17215.75" in="0">
        <tpls c="5">
          <tpl fld="1" item="8"/>
          <tpl fld="2" item="6"/>
          <tpl hier="10" item="5"/>
          <tpl hier="11" item="0"/>
          <tpl fld="0" item="0"/>
        </tpls>
      </n>
      <m in="0">
        <tpls c="5">
          <tpl fld="1" item="10"/>
          <tpl fld="2" item="7"/>
          <tpl hier="10" item="5"/>
          <tpl hier="11" item="0"/>
          <tpl fld="0" item="0"/>
        </tpls>
      </m>
      <n v="-1071" in="0">
        <tpls c="5">
          <tpl fld="1" item="3"/>
          <tpl fld="2" item="5"/>
          <tpl hier="10" item="5"/>
          <tpl hier="11" item="0"/>
          <tpl fld="0" item="0"/>
        </tpls>
      </n>
      <m in="0">
        <tpls c="5">
          <tpl fld="1" item="7"/>
          <tpl fld="2" item="9"/>
          <tpl hier="10" item="5"/>
          <tpl hier="11" item="0"/>
          <tpl fld="0" item="1"/>
        </tpls>
      </m>
      <n v="-2320" in="0">
        <tpls c="5">
          <tpl fld="1" item="5"/>
          <tpl fld="2" item="1"/>
          <tpl hier="10" item="5"/>
          <tpl hier="11" item="0"/>
          <tpl fld="0" item="1"/>
        </tpls>
      </n>
      <n v="-4310.75" in="0">
        <tpls c="5">
          <tpl fld="1" item="6"/>
          <tpl fld="2" item="12"/>
          <tpl hier="10" item="5"/>
          <tpl hier="11" item="0"/>
          <tpl fld="0" item="0"/>
        </tpls>
      </n>
      <m in="0">
        <tpls c="5">
          <tpl fld="1" item="10"/>
          <tpl fld="2" item="2"/>
          <tpl hier="10" item="5"/>
          <tpl hier="11" item="0"/>
          <tpl fld="0" item="0"/>
        </tpls>
      </m>
      <m in="0">
        <tpls c="5">
          <tpl fld="1" item="3"/>
          <tpl fld="2" item="14"/>
          <tpl hier="10" item="5"/>
          <tpl hier="11" item="0"/>
          <tpl fld="0" item="1"/>
        </tpls>
      </m>
      <m in="0">
        <tpls c="5">
          <tpl fld="1" item="5"/>
          <tpl fld="2" item="9"/>
          <tpl hier="10" item="5"/>
          <tpl hier="11" item="0"/>
          <tpl fld="0" item="0"/>
        </tpls>
      </m>
      <n v="-231690" in="0">
        <tpls c="5">
          <tpl fld="1" item="9"/>
          <tpl hier="9" item="4294967295"/>
          <tpl hier="10" item="5"/>
          <tpl hier="11" item="0"/>
          <tpl fld="0" item="0"/>
        </tpls>
      </n>
      <n v="-5172.5" in="0">
        <tpls c="5">
          <tpl fld="1" item="4"/>
          <tpl fld="2" item="15"/>
          <tpl hier="10" item="5"/>
          <tpl hier="11" item="0"/>
          <tpl fld="0" item="0"/>
        </tpls>
      </n>
      <n v="-1079" in="0">
        <tpls c="5">
          <tpl fld="1" item="0"/>
          <tpl fld="2" item="5"/>
          <tpl hier="10" item="5"/>
          <tpl hier="11" item="0"/>
          <tpl fld="0" item="0"/>
        </tpls>
      </n>
      <n v="-1882.5" in="0">
        <tpls c="5">
          <tpl fld="1" item="9"/>
          <tpl fld="2" item="3"/>
          <tpl hier="10" item="5"/>
          <tpl hier="11" item="0"/>
          <tpl fld="0" item="0"/>
        </tpls>
      </n>
      <n v="-565.25" in="0">
        <tpls c="5">
          <tpl fld="1" item="1"/>
          <tpl fld="2" item="11"/>
          <tpl hier="10" item="5"/>
          <tpl hier="11" item="0"/>
          <tpl fld="0" item="0"/>
        </tpls>
      </n>
      <n v="-224566" in="0">
        <tpls c="5">
          <tpl fld="1" item="6"/>
          <tpl fld="2" item="0"/>
          <tpl hier="10" item="5"/>
          <tpl hier="11" item="0"/>
          <tpl fld="0" item="0"/>
        </tpls>
      </n>
      <n v="-1461" in="0">
        <tpls c="5">
          <tpl fld="1" item="5"/>
          <tpl fld="2" item="11"/>
          <tpl hier="10" item="5"/>
          <tpl hier="11" item="0"/>
          <tpl fld="0" item="1"/>
        </tpls>
      </n>
      <n v="-963" in="0">
        <tpls c="5">
          <tpl fld="1" item="3"/>
          <tpl fld="2" item="5"/>
          <tpl hier="10" item="5"/>
          <tpl hier="11" item="0"/>
          <tpl fld="0" item="1"/>
        </tpls>
      </n>
      <m in="0">
        <tpls c="5">
          <tpl fld="1" item="6"/>
          <tpl fld="2" item="9"/>
          <tpl hier="10" item="5"/>
          <tpl hier="11" item="0"/>
          <tpl fld="0" item="0"/>
        </tpls>
      </m>
      <m in="0">
        <tpls c="5">
          <tpl fld="1" item="5"/>
          <tpl fld="2" item="2"/>
          <tpl hier="10" item="5"/>
          <tpl hier="11" item="0"/>
          <tpl fld="0" item="1"/>
        </tpls>
      </m>
      <n v="-10114" in="0">
        <tpls c="5">
          <tpl fld="1" item="6"/>
          <tpl fld="2" item="12"/>
          <tpl hier="10" item="5"/>
          <tpl hier="11" item="0"/>
          <tpl fld="0" item="1"/>
        </tpls>
      </n>
      <n v="-241004.5" in="0">
        <tpls c="5">
          <tpl fld="1" item="10"/>
          <tpl fld="2" item="0"/>
          <tpl hier="10" item="5"/>
          <tpl hier="11" item="0"/>
          <tpl fld="0" item="0"/>
        </tpls>
      </n>
      <m in="0">
        <tpls c="5">
          <tpl fld="1" item="2"/>
          <tpl fld="2" item="14"/>
          <tpl hier="10" item="5"/>
          <tpl hier="11" item="0"/>
          <tpl fld="0" item="0"/>
        </tpls>
      </m>
      <m in="0">
        <tpls c="5">
          <tpl fld="1" item="5"/>
          <tpl fld="2" item="7"/>
          <tpl hier="10" item="5"/>
          <tpl hier="11" item="0"/>
          <tpl fld="0" item="0"/>
        </tpls>
      </m>
      <n v="-260259.5" in="0">
        <tpls c="5">
          <tpl fld="1" item="11"/>
          <tpl hier="9" item="4294967295"/>
          <tpl hier="10" item="5"/>
          <tpl hier="11" item="0"/>
          <tpl fld="0" item="0"/>
        </tpls>
      </n>
      <n v="-6471" in="0">
        <tpls c="5">
          <tpl fld="1" item="3"/>
          <tpl fld="2" item="15"/>
          <tpl hier="10" item="5"/>
          <tpl hier="11" item="0"/>
          <tpl fld="0" item="0"/>
        </tpls>
      </n>
      <n v="-31518" in="0">
        <tpls c="5">
          <tpl fld="1" item="0"/>
          <tpl fld="2" item="6"/>
          <tpl hier="10" item="5"/>
          <tpl hier="11" item="0"/>
          <tpl fld="0" item="1"/>
        </tpls>
      </n>
      <n v="-2320" in="0">
        <tpls c="5">
          <tpl fld="1" item="7"/>
          <tpl fld="2" item="1"/>
          <tpl hier="10" item="5"/>
          <tpl hier="11" item="0"/>
          <tpl fld="0" item="1"/>
        </tpls>
      </n>
      <n v="-286030" in="0">
        <tpls c="5">
          <tpl fld="1" item="2"/>
          <tpl fld="2" item="0"/>
          <tpl hier="10" item="5"/>
          <tpl hier="11" item="0"/>
          <tpl fld="0" item="1"/>
        </tpls>
      </n>
      <m in="0">
        <tpls c="5">
          <tpl fld="1" item="1"/>
          <tpl fld="2" item="9"/>
          <tpl hier="10" item="5"/>
          <tpl hier="11" item="0"/>
          <tpl fld="0" item="1"/>
        </tpls>
      </m>
      <n v="-16488.25" in="0">
        <tpls c="5">
          <tpl fld="1" item="11"/>
          <tpl fld="2" item="6"/>
          <tpl hier="10" item="5"/>
          <tpl hier="11" item="0"/>
          <tpl fld="0" item="0"/>
        </tpls>
      </n>
      <n v="-57176.75" in="0">
        <tpls c="4">
          <tpl fld="2" item="12"/>
          <tpl hier="10" item="5"/>
          <tpl hier="11" item="0"/>
          <tpl fld="0" item="0"/>
        </tpls>
      </n>
      <n v="-30802" in="0">
        <tpls c="5">
          <tpl fld="1" item="4"/>
          <tpl fld="2" item="6"/>
          <tpl hier="10" item="5"/>
          <tpl hier="11" item="0"/>
          <tpl fld="0" item="1"/>
        </tpls>
      </n>
      <n v="-1236" in="0">
        <tpls c="5">
          <tpl fld="1" item="8"/>
          <tpl fld="2" item="11"/>
          <tpl hier="10" item="5"/>
          <tpl hier="11" item="0"/>
          <tpl fld="0" item="1"/>
        </tpls>
      </n>
      <n v="-17935.75" in="0">
        <tpls c="5">
          <tpl fld="1" item="1"/>
          <tpl fld="2" item="6"/>
          <tpl hier="10" item="5"/>
          <tpl hier="11" item="0"/>
          <tpl fld="0" item="0"/>
        </tpls>
      </n>
      <n v="-5477" in="0">
        <tpls c="5">
          <tpl fld="1" item="7"/>
          <tpl fld="2" item="13"/>
          <tpl hier="10" item="5"/>
          <tpl hier="11" item="0"/>
          <tpl fld="0" item="1"/>
        </tpls>
      </n>
      <n v="-8247" in="0">
        <tpls c="5">
          <tpl fld="1" item="7"/>
          <tpl fld="2" item="10"/>
          <tpl hier="10" item="5"/>
          <tpl hier="11" item="0"/>
          <tpl fld="0" item="1"/>
        </tpls>
      </n>
      <n v="-4017" in="0">
        <tpls c="5">
          <tpl fld="1" item="9"/>
          <tpl fld="2" item="1"/>
          <tpl hier="10" item="5"/>
          <tpl hier="11" item="0"/>
          <tpl fld="0" item="0"/>
        </tpls>
      </n>
      <m in="0">
        <tpls c="5">
          <tpl fld="1" item="0"/>
          <tpl fld="2" item="8"/>
          <tpl hier="10" item="5"/>
          <tpl hier="11" item="0"/>
          <tpl fld="0" item="1"/>
        </tpls>
      </m>
      <n v="-180158.5" in="0">
        <tpls c="5">
          <tpl fld="1" item="9"/>
          <tpl fld="2" item="0"/>
          <tpl hier="10" item="5"/>
          <tpl hier="11" item="0"/>
          <tpl fld="0" item="0"/>
        </tpls>
      </n>
      <m in="0">
        <tpls c="5">
          <tpl fld="1" item="1"/>
          <tpl fld="2" item="7"/>
          <tpl hier="10" item="6"/>
          <tpl hier="11" item="0"/>
          <tpl fld="0" item="1"/>
        </tpls>
      </m>
      <m in="0">
        <tpls c="5">
          <tpl fld="1" item="3"/>
          <tpl fld="2" item="2"/>
          <tpl hier="10" item="6"/>
          <tpl hier="11" item="0"/>
          <tpl fld="0" item="0"/>
        </tpls>
      </m>
      <n v="-17039" in="0">
        <tpls c="5">
          <tpl fld="1" item="2"/>
          <tpl fld="2" item="6"/>
          <tpl hier="10" item="6"/>
          <tpl hier="11" item="0"/>
          <tpl fld="0" item="1"/>
        </tpls>
      </n>
      <n v="-597" in="0">
        <tpls c="5">
          <tpl fld="1" item="3"/>
          <tpl fld="2" item="11"/>
          <tpl hier="10" item="6"/>
          <tpl hier="11" item="0"/>
          <tpl fld="0" item="1"/>
        </tpls>
      </n>
      <n v="-14517.75" in="0">
        <tpls c="5">
          <tpl fld="1" item="3"/>
          <tpl fld="2" item="10"/>
          <tpl hier="10" item="6"/>
          <tpl hier="11" item="0"/>
          <tpl fld="0" item="0"/>
        </tpls>
      </n>
      <n v="-2274.5" in="0">
        <tpls c="5">
          <tpl fld="1" item="10"/>
          <tpl fld="2" item="3"/>
          <tpl hier="10" item="6"/>
          <tpl hier="11" item="0"/>
          <tpl fld="0" item="0"/>
        </tpls>
      </n>
      <m in="0">
        <tpls c="5">
          <tpl fld="1" item="11"/>
          <tpl fld="2" item="7"/>
          <tpl hier="10" item="6"/>
          <tpl hier="11" item="0"/>
          <tpl fld="0" item="0"/>
        </tpls>
      </m>
      <n v="-10391" in="0">
        <tpls c="5">
          <tpl fld="1" item="3"/>
          <tpl fld="2" item="6"/>
          <tpl hier="10" item="6"/>
          <tpl hier="11" item="0"/>
          <tpl fld="0" item="1"/>
        </tpls>
      </n>
      <m in="0">
        <tpls c="5">
          <tpl fld="1" item="4"/>
          <tpl fld="2" item="9"/>
          <tpl hier="10" item="6"/>
          <tpl hier="11" item="0"/>
          <tpl fld="0" item="1"/>
        </tpls>
      </m>
      <n v="-523" in="0">
        <tpls c="5">
          <tpl fld="1" item="10"/>
          <tpl fld="2" item="11"/>
          <tpl hier="10" item="6"/>
          <tpl hier="11" item="0"/>
          <tpl fld="0" item="1"/>
        </tpls>
      </n>
      <n v="-3564.75" in="0">
        <tpls c="5">
          <tpl fld="1" item="7"/>
          <tpl fld="2" item="13"/>
          <tpl hier="10" item="6"/>
          <tpl hier="11" item="0"/>
          <tpl fld="0" item="0"/>
        </tpls>
      </n>
      <n v="-1114" in="0">
        <tpls c="5">
          <tpl fld="1" item="11"/>
          <tpl fld="2" item="5"/>
          <tpl hier="10" item="6"/>
          <tpl hier="11" item="0"/>
          <tpl fld="0" item="1"/>
        </tpls>
      </n>
      <m in="0">
        <tpls c="5">
          <tpl fld="1" item="5"/>
          <tpl fld="2" item="14"/>
          <tpl hier="10" item="6"/>
          <tpl hier="11" item="0"/>
          <tpl fld="0" item="0"/>
        </tpls>
      </m>
      <n v="-61861" in="0">
        <tpls c="4">
          <tpl fld="2" item="13"/>
          <tpl hier="10" item="6"/>
          <tpl hier="11" item="0"/>
          <tpl fld="0" item="1"/>
        </tpls>
      </n>
      <n v="-315460.75" in="0">
        <tpls c="5">
          <tpl fld="1" item="7"/>
          <tpl hier="9" item="4294967295"/>
          <tpl hier="10" item="6"/>
          <tpl hier="11" item="0"/>
          <tpl fld="0" item="0"/>
        </tpls>
      </n>
      <n v="-3680" in="0">
        <tpls c="5">
          <tpl fld="1" item="11"/>
          <tpl fld="2" item="15"/>
          <tpl hier="10" item="6"/>
          <tpl hier="11" item="0"/>
          <tpl fld="0" item="1"/>
        </tpls>
      </n>
      <m in="0">
        <tpls c="5">
          <tpl fld="1" item="0"/>
          <tpl fld="2" item="8"/>
          <tpl hier="10" item="6"/>
          <tpl hier="11" item="0"/>
          <tpl fld="0" item="0"/>
        </tpls>
      </m>
      <n v="-1550" in="0">
        <tpls c="5">
          <tpl fld="1" item="6"/>
          <tpl fld="2" item="1"/>
          <tpl hier="10" item="6"/>
          <tpl hier="11" item="0"/>
          <tpl fld="0" item="1"/>
        </tpls>
      </n>
      <m in="0">
        <tpls c="5">
          <tpl fld="1" item="3"/>
          <tpl fld="2" item="7"/>
          <tpl hier="10" item="6"/>
          <tpl hier="11" item="0"/>
          <tpl fld="0" item="0"/>
        </tpls>
      </m>
      <m in="0">
        <tpls c="5">
          <tpl fld="1" item="6"/>
          <tpl fld="2" item="9"/>
          <tpl hier="10" item="6"/>
          <tpl hier="11" item="0"/>
          <tpl fld="0" item="1"/>
        </tpls>
      </m>
      <n v="-2448" in="0">
        <tpls c="5">
          <tpl fld="1" item="3"/>
          <tpl fld="2" item="3"/>
          <tpl hier="10" item="6"/>
          <tpl hier="11" item="0"/>
          <tpl fld="0" item="1"/>
        </tpls>
      </n>
      <n v="-376.25" in="0">
        <tpls c="5">
          <tpl fld="1" item="9"/>
          <tpl fld="2" item="11"/>
          <tpl hier="10" item="6"/>
          <tpl hier="11" item="0"/>
          <tpl fld="0" item="0"/>
        </tpls>
      </n>
      <n v="-8398" in="0">
        <tpls c="5">
          <tpl fld="1" item="10"/>
          <tpl fld="2" item="6"/>
          <tpl hier="10" item="6"/>
          <tpl hier="11" item="0"/>
          <tpl fld="0" item="1"/>
        </tpls>
      </n>
      <n v="-281842" in="0">
        <tpls c="5">
          <tpl fld="1" item="3"/>
          <tpl fld="2" item="0"/>
          <tpl hier="10" item="6"/>
          <tpl hier="11" item="0"/>
          <tpl fld="0" item="1"/>
        </tpls>
      </n>
      <n v="-16689" in="0">
        <tpls c="5">
          <tpl fld="1" item="2"/>
          <tpl fld="2" item="6"/>
          <tpl hier="10" item="6"/>
          <tpl hier="11" item="0"/>
          <tpl fld="0" item="0"/>
        </tpls>
      </n>
      <n v="-706" in="0">
        <tpls c="5">
          <tpl fld="1" item="4"/>
          <tpl fld="2" item="5"/>
          <tpl hier="10" item="6"/>
          <tpl hier="11" item="0"/>
          <tpl fld="0" item="1"/>
        </tpls>
      </n>
      <n v="-585.25" in="0">
        <tpls c="5">
          <tpl fld="1" item="8"/>
          <tpl fld="2" item="11"/>
          <tpl hier="10" item="6"/>
          <tpl hier="11" item="0"/>
          <tpl fld="0" item="0"/>
        </tpls>
      </n>
      <n v="-5329.5" in="0">
        <tpls c="5">
          <tpl fld="1" item="3"/>
          <tpl fld="2" item="13"/>
          <tpl hier="10" item="6"/>
          <tpl hier="11" item="0"/>
          <tpl fld="0" item="0"/>
        </tpls>
      </n>
      <m in="0">
        <tpls c="5">
          <tpl fld="1" item="11"/>
          <tpl fld="2" item="2"/>
          <tpl hier="10" item="6"/>
          <tpl hier="11" item="0"/>
          <tpl fld="0" item="1"/>
        </tpls>
      </m>
      <m in="0">
        <tpls c="5">
          <tpl fld="1" item="5"/>
          <tpl fld="2" item="14"/>
          <tpl hier="10" item="6"/>
          <tpl hier="11" item="0"/>
          <tpl fld="0" item="1"/>
        </tpls>
      </m>
      <n v="-47703" in="0">
        <tpls c="4">
          <tpl fld="2" item="12"/>
          <tpl hier="10" item="6"/>
          <tpl hier="11" item="0"/>
          <tpl fld="0" item="1"/>
        </tpls>
      </n>
      <n v="-115111" in="0">
        <tpls c="5">
          <tpl fld="1" item="7"/>
          <tpl hier="9" item="4294967295"/>
          <tpl hier="10" item="6"/>
          <tpl hier="11" item="0"/>
          <tpl fld="0" item="1"/>
        </tpls>
      </n>
      <n v="-76542.5" in="0">
        <tpls c="4">
          <tpl fld="2" item="15"/>
          <tpl hier="10" item="6"/>
          <tpl hier="11" item="0"/>
          <tpl fld="0" item="0"/>
        </tpls>
      </n>
      <m in="0">
        <tpls c="5">
          <tpl fld="1" item="0"/>
          <tpl fld="2" item="9"/>
          <tpl hier="10" item="6"/>
          <tpl hier="11" item="0"/>
          <tpl fld="0" item="1"/>
        </tpls>
      </m>
      <m in="0">
        <tpls c="5">
          <tpl fld="1" item="6"/>
          <tpl fld="2" item="4"/>
          <tpl hier="10" item="6"/>
          <tpl hier="11" item="0"/>
          <tpl fld="0" item="1"/>
        </tpls>
      </m>
      <n v="-1520" in="0">
        <tpls c="5">
          <tpl fld="1" item="2"/>
          <tpl fld="2" item="1"/>
          <tpl hier="10" item="6"/>
          <tpl hier="11" item="0"/>
          <tpl fld="0" item="1"/>
        </tpls>
      </n>
      <m in="0">
        <tpls c="5">
          <tpl fld="1" item="2"/>
          <tpl fld="2" item="2"/>
          <tpl hier="10" item="6"/>
          <tpl hier="11" item="0"/>
          <tpl fld="0" item="1"/>
        </tpls>
      </m>
      <m in="0">
        <tpls c="5">
          <tpl fld="1" item="3"/>
          <tpl fld="2" item="8"/>
          <tpl hier="10" item="6"/>
          <tpl hier="11" item="0"/>
          <tpl fld="0" item="1"/>
        </tpls>
      </m>
      <m in="0">
        <tpls c="5">
          <tpl fld="1" item="3"/>
          <tpl fld="2" item="9"/>
          <tpl hier="10" item="6"/>
          <tpl hier="11" item="0"/>
          <tpl fld="0" item="1"/>
        </tpls>
      </m>
      <n v="-527.25" in="0">
        <tpls c="5">
          <tpl fld="1" item="5"/>
          <tpl fld="2" item="11"/>
          <tpl hier="10" item="6"/>
          <tpl hier="11" item="0"/>
          <tpl fld="0" item="0"/>
        </tpls>
      </n>
      <n v="-21119.5" in="0">
        <tpls c="5">
          <tpl fld="1" item="9"/>
          <tpl fld="2" item="6"/>
          <tpl hier="10" item="6"/>
          <tpl hier="11" item="0"/>
          <tpl fld="0" item="0"/>
        </tpls>
      </n>
      <m in="0">
        <tpls c="5">
          <tpl fld="1" item="4"/>
          <tpl fld="2" item="7"/>
          <tpl hier="10" item="6"/>
          <tpl hier="11" item="0"/>
          <tpl fld="0" item="0"/>
        </tpls>
      </m>
      <n v="-251775" in="0">
        <tpls c="5">
          <tpl fld="1" item="4"/>
          <tpl fld="2" item="0"/>
          <tpl hier="10" item="6"/>
          <tpl hier="11" item="0"/>
          <tpl fld="0" item="1"/>
        </tpls>
      </n>
      <n v="-575" in="0">
        <tpls c="5">
          <tpl fld="1" item="7"/>
          <tpl fld="2" item="11"/>
          <tpl hier="10" item="6"/>
          <tpl hier="11" item="0"/>
          <tpl fld="0" item="0"/>
        </tpls>
      </n>
      <n v="-1355" in="0">
        <tpls c="5">
          <tpl fld="1" item="3"/>
          <tpl fld="2" item="13"/>
          <tpl hier="10" item="6"/>
          <tpl hier="11" item="0"/>
          <tpl fld="0" item="1"/>
        </tpls>
      </n>
      <n v="-158045" in="0">
        <tpls c="5">
          <tpl fld="1" item="11"/>
          <tpl fld="2" item="0"/>
          <tpl hier="10" item="6"/>
          <tpl hier="11" item="0"/>
          <tpl fld="0" item="1"/>
        </tpls>
      </n>
      <m in="0">
        <tpls c="5">
          <tpl fld="1" item="11"/>
          <tpl fld="2" item="14"/>
          <tpl hier="10" item="6"/>
          <tpl hier="11" item="0"/>
          <tpl fld="0" item="0"/>
        </tpls>
      </m>
      <n v="-2633750" in="0">
        <tpls c="4">
          <tpl fld="2" item="0"/>
          <tpl hier="10" item="6"/>
          <tpl hier="11" item="0"/>
          <tpl fld="0" item="1"/>
        </tpls>
      </n>
      <n v="-264851" in="0">
        <tpls c="5">
          <tpl fld="1" item="6"/>
          <tpl hier="9" item="4294967295"/>
          <tpl hier="10" item="6"/>
          <tpl hier="11" item="0"/>
          <tpl fld="0" item="0"/>
        </tpls>
      </n>
      <n v="-50293" in="0">
        <tpls c="4">
          <tpl fld="2" item="15"/>
          <tpl hier="10" item="6"/>
          <tpl hier="11" item="0"/>
          <tpl fld="0" item="1"/>
        </tpls>
      </n>
      <m in="0">
        <tpls c="5">
          <tpl fld="1" item="0"/>
          <tpl fld="2" item="9"/>
          <tpl hier="10" item="6"/>
          <tpl hier="11" item="0"/>
          <tpl fld="0" item="0"/>
        </tpls>
      </m>
      <m in="0">
        <tpls c="4">
          <tpl fld="2" item="4"/>
          <tpl hier="10" item="6"/>
          <tpl hier="11" item="0"/>
          <tpl fld="0" item="1"/>
        </tpls>
      </m>
      <n v="-8256" in="0">
        <tpls c="5">
          <tpl fld="1" item="8"/>
          <tpl fld="2" item="15"/>
          <tpl hier="10" item="6"/>
          <tpl hier="11" item="0"/>
          <tpl fld="0" item="0"/>
        </tpls>
      </n>
      <m in="0">
        <tpls c="5">
          <tpl fld="1" item="3"/>
          <tpl fld="2" item="8"/>
          <tpl hier="10" item="6"/>
          <tpl hier="11" item="0"/>
          <tpl fld="0" item="0"/>
        </tpls>
      </m>
      <n v="-622.5" in="0">
        <tpls c="5">
          <tpl fld="1" item="3"/>
          <tpl fld="2" item="11"/>
          <tpl hier="10" item="6"/>
          <tpl hier="11" item="0"/>
          <tpl fld="0" item="0"/>
        </tpls>
      </n>
      <m in="0">
        <tpls c="5">
          <tpl fld="1" item="11"/>
          <tpl fld="2" item="14"/>
          <tpl hier="10" item="6"/>
          <tpl hier="11" item="0"/>
          <tpl fld="0" item="1"/>
        </tpls>
      </m>
      <n v="-3829" in="0">
        <tpls c="5">
          <tpl fld="1" item="8"/>
          <tpl fld="2" item="15"/>
          <tpl hier="10" item="6"/>
          <tpl hier="11" item="0"/>
          <tpl fld="0" item="1"/>
        </tpls>
      </n>
      <n v="-1550" in="0">
        <tpls c="5">
          <tpl fld="1" item="3"/>
          <tpl fld="2" item="1"/>
          <tpl hier="10" item="6"/>
          <tpl hier="11" item="0"/>
          <tpl fld="0" item="1"/>
        </tpls>
      </n>
      <n v="-1520" in="0">
        <tpls c="5">
          <tpl fld="1" item="9"/>
          <tpl fld="2" item="1"/>
          <tpl hier="10" item="6"/>
          <tpl hier="11" item="0"/>
          <tpl fld="0" item="1"/>
        </tpls>
      </n>
      <n v="-3537" in="0">
        <tpls c="5">
          <tpl fld="1" item="9"/>
          <tpl fld="2" item="12"/>
          <tpl hier="10" item="6"/>
          <tpl hier="11" item="0"/>
          <tpl fld="0" item="1"/>
        </tpls>
      </n>
      <m in="0">
        <tpls c="5">
          <tpl fld="1" item="10"/>
          <tpl fld="2" item="14"/>
          <tpl hier="10" item="6"/>
          <tpl hier="11" item="0"/>
          <tpl fld="0" item="0"/>
        </tpls>
      </m>
      <n v="-4082.5" in="0">
        <tpls c="5">
          <tpl fld="1" item="0"/>
          <tpl fld="2" item="12"/>
          <tpl hier="10" item="6"/>
          <tpl hier="11" item="0"/>
          <tpl fld="0" item="0"/>
        </tpls>
      </n>
      <n v="-1705" in="0">
        <tpls c="5">
          <tpl fld="1" item="7"/>
          <tpl fld="2" item="5"/>
          <tpl hier="10" item="6"/>
          <tpl hier="11" item="0"/>
          <tpl fld="0" item="1"/>
        </tpls>
      </n>
      <n v="-4753" in="0">
        <tpls c="5">
          <tpl fld="1" item="11"/>
          <tpl fld="2" item="1"/>
          <tpl hier="10" item="6"/>
          <tpl hier="11" item="0"/>
          <tpl fld="0" item="0"/>
        </tpls>
      </n>
      <n v="-4675.5" in="0">
        <tpls c="5">
          <tpl fld="1" item="2"/>
          <tpl fld="2" item="12"/>
          <tpl hier="10" item="6"/>
          <tpl hier="11" item="0"/>
          <tpl fld="0" item="0"/>
        </tpls>
      </n>
      <m in="0">
        <tpls c="5">
          <tpl fld="1" item="8"/>
          <tpl fld="2" item="14"/>
          <tpl hier="10" item="6"/>
          <tpl hier="11" item="0"/>
          <tpl fld="0" item="0"/>
        </tpls>
      </m>
      <n v="-4575" in="0">
        <tpls c="5">
          <tpl fld="1" item="7"/>
          <tpl fld="2" item="15"/>
          <tpl hier="10" item="6"/>
          <tpl hier="11" item="0"/>
          <tpl fld="0" item="1"/>
        </tpls>
      </n>
      <m in="0">
        <tpls c="5">
          <tpl fld="1" item="2"/>
          <tpl fld="2" item="8"/>
          <tpl hier="10" item="6"/>
          <tpl hier="11" item="0"/>
          <tpl fld="0" item="0"/>
        </tpls>
      </m>
      <n v="-194029.5" in="0">
        <tpls c="5">
          <tpl fld="1" item="3"/>
          <tpl fld="2" item="0"/>
          <tpl hier="10" item="6"/>
          <tpl hier="11" item="0"/>
          <tpl fld="0" item="0"/>
        </tpls>
      </n>
      <m in="0">
        <tpls c="5">
          <tpl fld="1" item="8"/>
          <tpl fld="2" item="8"/>
          <tpl hier="10" item="6"/>
          <tpl hier="11" item="0"/>
          <tpl fld="0" item="1"/>
        </tpls>
      </m>
      <n v="-7784" in="0">
        <tpls c="5">
          <tpl fld="1" item="5"/>
          <tpl fld="2" item="12"/>
          <tpl hier="10" item="6"/>
          <tpl hier="11" item="0"/>
          <tpl fld="0" item="1"/>
        </tpls>
      </n>
      <m in="0">
        <tpls c="5">
          <tpl fld="1" item="8"/>
          <tpl fld="2" item="14"/>
          <tpl hier="10" item="6"/>
          <tpl hier="11" item="0"/>
          <tpl fld="0" item="1"/>
        </tpls>
      </m>
      <n v="-5430.75" in="0">
        <tpls c="5">
          <tpl fld="1" item="6"/>
          <tpl fld="2" item="15"/>
          <tpl hier="10" item="6"/>
          <tpl hier="11" item="0"/>
          <tpl fld="0" item="0"/>
        </tpls>
      </n>
      <n v="-17703" in="0">
        <tpls c="5">
          <tpl fld="1" item="10"/>
          <tpl fld="2" item="6"/>
          <tpl hier="10" item="6"/>
          <tpl hier="11" item="0"/>
          <tpl fld="0" item="0"/>
        </tpls>
      </n>
      <m in="0">
        <tpls c="5">
          <tpl fld="1" item="11"/>
          <tpl fld="2" item="4"/>
          <tpl hier="10" item="6"/>
          <tpl hier="11" item="0"/>
          <tpl fld="0" item="0"/>
        </tpls>
      </m>
      <n v="-70947" in="0">
        <tpls c="5">
          <tpl fld="1" item="0"/>
          <tpl fld="2" item="0"/>
          <tpl hier="10" item="6"/>
          <tpl hier="11" item="0"/>
          <tpl fld="0" item="1"/>
        </tpls>
      </n>
      <m in="0">
        <tpls c="5">
          <tpl fld="1" item="1"/>
          <tpl fld="2" item="2"/>
          <tpl hier="10" item="6"/>
          <tpl hier="11" item="0"/>
          <tpl fld="0" item="1"/>
        </tpls>
      </m>
      <n v="-9028" in="0">
        <tpls c="5">
          <tpl fld="1" item="11"/>
          <tpl fld="2" item="10"/>
          <tpl hier="10" item="6"/>
          <tpl hier="11" item="0"/>
          <tpl fld="0" item="1"/>
        </tpls>
      </n>
      <n v="-210279" in="0">
        <tpls c="5">
          <tpl fld="1" item="11"/>
          <tpl hier="9" item="4294967295"/>
          <tpl hier="10" item="6"/>
          <tpl hier="11" item="0"/>
          <tpl fld="0" item="1"/>
        </tpls>
      </n>
      <n v="-2782.75" in="0">
        <tpls c="5">
          <tpl fld="1" item="8"/>
          <tpl fld="2" item="3"/>
          <tpl hier="10" item="6"/>
          <tpl hier="11" item="0"/>
          <tpl fld="0" item="0"/>
        </tpls>
      </n>
      <m in="0">
        <tpls c="5">
          <tpl fld="1" item="10"/>
          <tpl fld="2" item="7"/>
          <tpl hier="10" item="6"/>
          <tpl hier="11" item="0"/>
          <tpl fld="0" item="1"/>
        </tpls>
      </m>
      <n v="-13238" in="0">
        <tpls c="5">
          <tpl fld="1" item="10"/>
          <tpl fld="2" item="10"/>
          <tpl hier="10" item="6"/>
          <tpl hier="11" item="0"/>
          <tpl fld="0" item="0"/>
        </tpls>
      </n>
      <n v="-227950.5" in="0">
        <tpls c="5">
          <tpl fld="1" item="11"/>
          <tpl fld="2" item="0"/>
          <tpl hier="10" item="6"/>
          <tpl hier="11" item="0"/>
          <tpl fld="0" item="0"/>
        </tpls>
      </n>
      <m in="0">
        <tpls c="5">
          <tpl fld="1" item="3"/>
          <tpl fld="2" item="4"/>
          <tpl hier="10" item="6"/>
          <tpl hier="11" item="0"/>
          <tpl fld="0" item="1"/>
        </tpls>
      </m>
      <n v="-3892" in="0">
        <tpls c="5">
          <tpl fld="1" item="10"/>
          <tpl fld="2" item="13"/>
          <tpl hier="10" item="6"/>
          <tpl hier="11" item="0"/>
          <tpl fld="0" item="1"/>
        </tpls>
      </n>
      <n v="-2560" in="0">
        <tpls c="5">
          <tpl fld="1" item="5"/>
          <tpl fld="2" item="3"/>
          <tpl hier="10" item="6"/>
          <tpl hier="11" item="0"/>
          <tpl fld="0" item="1"/>
        </tpls>
      </n>
      <n v="-7230.25" in="0">
        <tpls c="5">
          <tpl fld="1" item="8"/>
          <tpl fld="2" item="13"/>
          <tpl hier="10" item="6"/>
          <tpl hier="11" item="0"/>
          <tpl fld="0" item="0"/>
        </tpls>
      </n>
      <m in="0">
        <tpls c="5">
          <tpl fld="1" item="0"/>
          <tpl fld="2" item="2"/>
          <tpl hier="10" item="6"/>
          <tpl hier="11" item="0"/>
          <tpl fld="0" item="1"/>
        </tpls>
      </m>
      <m in="0">
        <tpls c="5">
          <tpl fld="1" item="6"/>
          <tpl fld="2" item="2"/>
          <tpl hier="10" item="6"/>
          <tpl hier="11" item="0"/>
          <tpl fld="0" item="0"/>
        </tpls>
      </m>
      <n v="-4887" in="0">
        <tpls c="5">
          <tpl fld="1" item="8"/>
          <tpl fld="2" item="10"/>
          <tpl hier="10" item="6"/>
          <tpl hier="11" item="0"/>
          <tpl fld="0" item="1"/>
        </tpls>
      </n>
      <m in="0">
        <tpls c="5">
          <tpl fld="1" item="0"/>
          <tpl fld="2" item="2"/>
          <tpl hier="10" item="6"/>
          <tpl hier="11" item="0"/>
          <tpl fld="0" item="0"/>
        </tpls>
      </m>
      <n v="-3941.75" in="0">
        <tpls c="5">
          <tpl fld="1" item="6"/>
          <tpl fld="2" item="13"/>
          <tpl hier="10" item="6"/>
          <tpl hier="11" item="0"/>
          <tpl fld="0" item="0"/>
        </tpls>
      </n>
      <m in="0">
        <tpls c="5">
          <tpl fld="1" item="10"/>
          <tpl fld="2" item="9"/>
          <tpl hier="10" item="6"/>
          <tpl hier="11" item="0"/>
          <tpl fld="0" item="0"/>
        </tpls>
      </m>
      <n v="-1530" in="0">
        <tpls c="5">
          <tpl fld="1" item="10"/>
          <tpl fld="2" item="1"/>
          <tpl hier="10" item="6"/>
          <tpl hier="11" item="0"/>
          <tpl fld="0" item="1"/>
        </tpls>
      </n>
      <m in="0">
        <tpls c="5">
          <tpl fld="1" item="8"/>
          <tpl fld="2" item="7"/>
          <tpl hier="10" item="6"/>
          <tpl hier="11" item="0"/>
          <tpl fld="0" item="1"/>
        </tpls>
      </m>
      <n v="-15298.25" in="0">
        <tpls c="5">
          <tpl fld="1" item="5"/>
          <tpl fld="2" item="6"/>
          <tpl hier="10" item="6"/>
          <tpl hier="11" item="0"/>
          <tpl fld="0" item="0"/>
        </tpls>
      </n>
      <m in="0">
        <tpls c="5">
          <tpl fld="1" item="4"/>
          <tpl fld="2" item="8"/>
          <tpl hier="10" item="6"/>
          <tpl hier="11" item="0"/>
          <tpl fld="0" item="0"/>
        </tpls>
      </m>
      <n v="-1336" in="0">
        <tpls c="5">
          <tpl fld="1" item="9"/>
          <tpl fld="2" item="5"/>
          <tpl hier="10" item="6"/>
          <tpl hier="11" item="0"/>
          <tpl fld="0" item="0"/>
        </tpls>
      </n>
      <n v="-161438" in="0">
        <tpls c="5">
          <tpl fld="1" item="10"/>
          <tpl hier="9" item="4294967295"/>
          <tpl hier="10" item="6"/>
          <tpl hier="11" item="0"/>
          <tpl fld="0" item="1"/>
        </tpls>
      </n>
      <n v="-4474.25" in="0">
        <tpls c="5">
          <tpl fld="1" item="9"/>
          <tpl fld="2" item="12"/>
          <tpl hier="10" item="6"/>
          <tpl hier="11" item="0"/>
          <tpl fld="0" item="0"/>
        </tpls>
      </n>
      <m in="0">
        <tpls c="5">
          <tpl fld="1" item="5"/>
          <tpl fld="2" item="2"/>
          <tpl hier="10" item="6"/>
          <tpl hier="11" item="0"/>
          <tpl fld="0" item="0"/>
        </tpls>
      </m>
      <m in="0">
        <tpls c="5">
          <tpl fld="1" item="7"/>
          <tpl fld="2" item="4"/>
          <tpl hier="10" item="6"/>
          <tpl hier="11" item="0"/>
          <tpl fld="0" item="0"/>
        </tpls>
      </m>
      <n v="-24567.75" in="0">
        <tpls c="5">
          <tpl fld="1" item="3"/>
          <tpl fld="2" item="6"/>
          <tpl hier="10" item="6"/>
          <tpl hier="11" item="0"/>
          <tpl fld="0" item="0"/>
        </tpls>
      </n>
      <n v="-7154" in="0">
        <tpls c="5">
          <tpl fld="1" item="4"/>
          <tpl fld="2" item="13"/>
          <tpl hier="10" item="6"/>
          <tpl hier="11" item="0"/>
          <tpl fld="0" item="1"/>
        </tpls>
      </n>
      <m in="0">
        <tpls c="5">
          <tpl fld="1" item="9"/>
          <tpl fld="2" item="15"/>
          <tpl hier="10" item="6"/>
          <tpl hier="11" item="0"/>
          <tpl fld="0" item="1"/>
        </tpls>
      </m>
      <n v="-1823.25" in="0">
        <tpls c="5">
          <tpl fld="1" item="1"/>
          <tpl fld="2" item="3"/>
          <tpl hier="10" item="6"/>
          <tpl hier="11" item="0"/>
          <tpl fld="0" item="0"/>
        </tpls>
      </n>
      <m in="0">
        <tpls c="5">
          <tpl fld="1" item="7"/>
          <tpl fld="2" item="8"/>
          <tpl hier="10" item="6"/>
          <tpl hier="11" item="0"/>
          <tpl fld="0" item="0"/>
        </tpls>
      </m>
      <n v="-14161.25" in="0">
        <tpls c="4">
          <tpl fld="2" item="5"/>
          <tpl hier="10" item="6"/>
          <tpl hier="11" item="0"/>
          <tpl fld="0" item="0"/>
        </tpls>
      </n>
      <n v="-9571.5" in="0">
        <tpls c="5">
          <tpl fld="1" item="1"/>
          <tpl fld="2" item="10"/>
          <tpl hier="10" item="6"/>
          <tpl hier="11" item="0"/>
          <tpl fld="0" item="0"/>
        </tpls>
      </n>
      <n v="-128779" in="0">
        <tpls c="5">
          <tpl fld="1" item="10"/>
          <tpl fld="2" item="0"/>
          <tpl hier="10" item="6"/>
          <tpl hier="11" item="0"/>
          <tpl fld="0" item="1"/>
        </tpls>
      </n>
      <n v="-3824" in="0">
        <tpls c="5">
          <tpl fld="1" item="3"/>
          <tpl fld="2" item="12"/>
          <tpl hier="10" item="6"/>
          <tpl hier="11" item="0"/>
          <tpl fld="0" item="1"/>
        </tpls>
      </n>
      <m in="0">
        <tpls c="4">
          <tpl fld="2" item="9"/>
          <tpl hier="10" item="6"/>
          <tpl hier="11" item="0"/>
          <tpl fld="0" item="0"/>
        </tpls>
      </m>
      <n v="-4710.5" in="0">
        <tpls c="5">
          <tpl fld="1" item="2"/>
          <tpl fld="2" item="1"/>
          <tpl hier="10" item="6"/>
          <tpl hier="11" item="0"/>
          <tpl fld="0" item="0"/>
        </tpls>
      </n>
      <m in="0">
        <tpls c="4">
          <tpl fld="2" item="14"/>
          <tpl hier="10" item="6"/>
          <tpl hier="11" item="0"/>
          <tpl fld="0" item="0"/>
        </tpls>
      </m>
      <n v="-20753" in="0">
        <tpls c="5">
          <tpl fld="1" item="2"/>
          <tpl fld="2" item="10"/>
          <tpl hier="10" item="6"/>
          <tpl hier="11" item="0"/>
          <tpl fld="0" item="1"/>
        </tpls>
      </n>
      <m in="0">
        <tpls c="5">
          <tpl fld="1" item="6"/>
          <tpl fld="2" item="8"/>
          <tpl hier="10" item="6"/>
          <tpl hier="11" item="0"/>
          <tpl fld="0" item="1"/>
        </tpls>
      </m>
      <n v="-53161.5" in="0">
        <tpls c="4">
          <tpl fld="2" item="1"/>
          <tpl hier="10" item="6"/>
          <tpl hier="11" item="0"/>
          <tpl fld="0" item="0"/>
        </tpls>
      </n>
      <n v="-17210" in="0">
        <tpls c="5">
          <tpl fld="1" item="8"/>
          <tpl fld="2" item="6"/>
          <tpl hier="10" item="6"/>
          <tpl hier="11" item="0"/>
          <tpl fld="0" item="1"/>
        </tpls>
      </n>
      <m in="0">
        <tpls c="4">
          <tpl fld="2" item="8"/>
          <tpl hier="10" item="6"/>
          <tpl hier="11" item="0"/>
          <tpl fld="0" item="0"/>
        </tpls>
      </m>
      <n v="-274074" in="0">
        <tpls c="5">
          <tpl fld="1" item="1"/>
          <tpl hier="9" item="4294967295"/>
          <tpl hier="10" item="6"/>
          <tpl hier="11" item="0"/>
          <tpl fld="0" item="1"/>
        </tpls>
      </n>
      <m in="0">
        <tpls c="5">
          <tpl fld="1" item="8"/>
          <tpl fld="2" item="4"/>
          <tpl hier="10" item="6"/>
          <tpl hier="11" item="0"/>
          <tpl fld="0" item="0"/>
        </tpls>
      </m>
      <m in="0">
        <tpls c="5">
          <tpl fld="1" item="4"/>
          <tpl fld="2" item="8"/>
          <tpl hier="10" item="6"/>
          <tpl hier="11" item="0"/>
          <tpl fld="0" item="1"/>
        </tpls>
      </m>
      <n v="-6540" in="0">
        <tpls c="5">
          <tpl fld="1" item="7"/>
          <tpl fld="2" item="10"/>
          <tpl hier="10" item="6"/>
          <tpl hier="11" item="0"/>
          <tpl fld="0" item="0"/>
        </tpls>
      </n>
      <n v="-6088.5" in="0">
        <tpls c="5">
          <tpl fld="1" item="1"/>
          <tpl fld="2" item="15"/>
          <tpl hier="10" item="6"/>
          <tpl hier="11" item="0"/>
          <tpl fld="0" item="0"/>
        </tpls>
      </n>
      <n v="-1234.5" in="0">
        <tpls c="5">
          <tpl fld="1" item="2"/>
          <tpl fld="2" item="5"/>
          <tpl hier="10" item="6"/>
          <tpl hier="11" item="0"/>
          <tpl fld="0" item="0"/>
        </tpls>
      </n>
      <n v="-266806" in="0">
        <tpls c="5">
          <tpl fld="1" item="10"/>
          <tpl hier="9" item="4294967295"/>
          <tpl hier="10" item="6"/>
          <tpl hier="11" item="0"/>
          <tpl fld="0" item="0"/>
        </tpls>
      </n>
      <n v="-979" in="0">
        <tpls c="5">
          <tpl fld="1" item="2"/>
          <tpl fld="2" item="5"/>
          <tpl hier="10" item="6"/>
          <tpl hier="11" item="0"/>
          <tpl fld="0" item="1"/>
        </tpls>
      </n>
      <m in="0">
        <tpls c="5">
          <tpl fld="1" item="8"/>
          <tpl fld="2" item="13"/>
          <tpl hier="10" item="6"/>
          <tpl hier="11" item="0"/>
          <tpl fld="0" item="1"/>
        </tpls>
      </m>
      <n v="-2694" in="0">
        <tpls c="5">
          <tpl fld="1" item="6"/>
          <tpl fld="2" item="15"/>
          <tpl hier="10" item="6"/>
          <tpl hier="11" item="0"/>
          <tpl fld="0" item="1"/>
        </tpls>
      </n>
      <n v="-1202" in="0">
        <tpls c="5">
          <tpl fld="1" item="7"/>
          <tpl fld="2" item="3"/>
          <tpl hier="10" item="6"/>
          <tpl hier="11" item="0"/>
          <tpl fld="0" item="1"/>
        </tpls>
      </n>
      <m in="0">
        <tpls c="5">
          <tpl fld="1" item="9"/>
          <tpl fld="2" item="14"/>
          <tpl hier="10" item="6"/>
          <tpl hier="11" item="0"/>
          <tpl fld="0" item="1"/>
        </tpls>
      </m>
      <m in="0">
        <tpls c="5">
          <tpl fld="1" item="7"/>
          <tpl fld="2" item="2"/>
          <tpl hier="10" item="6"/>
          <tpl hier="11" item="0"/>
          <tpl fld="0" item="0"/>
        </tpls>
      </m>
      <m in="0">
        <tpls c="4">
          <tpl fld="2" item="2"/>
          <tpl hier="10" item="6"/>
          <tpl hier="11" item="0"/>
          <tpl fld="0" item="1"/>
        </tpls>
      </m>
      <n v="-6879" in="0">
        <tpls c="5">
          <tpl fld="1" item="7"/>
          <tpl fld="2" item="15"/>
          <tpl hier="10" item="6"/>
          <tpl hier="11" item="0"/>
          <tpl fld="0" item="0"/>
        </tpls>
      </n>
      <n v="-218538.5" in="0">
        <tpls c="5">
          <tpl fld="1" item="0"/>
          <tpl fld="2" item="0"/>
          <tpl hier="10" item="6"/>
          <tpl hier="11" item="0"/>
          <tpl fld="0" item="0"/>
        </tpls>
      </n>
      <m in="0">
        <tpls c="5">
          <tpl fld="1" item="4"/>
          <tpl fld="2" item="7"/>
          <tpl hier="10" item="6"/>
          <tpl hier="11" item="0"/>
          <tpl fld="0" item="1"/>
        </tpls>
      </m>
      <n v="-1520" in="0">
        <tpls c="5">
          <tpl fld="1" item="0"/>
          <tpl fld="2" item="1"/>
          <tpl hier="10" item="6"/>
          <tpl hier="11" item="0"/>
          <tpl fld="0" item="1"/>
        </tpls>
      </n>
      <n v="-17031" in="0">
        <tpls c="5">
          <tpl fld="1" item="9"/>
          <tpl fld="2" item="6"/>
          <tpl hier="10" item="6"/>
          <tpl hier="11" item="0"/>
          <tpl fld="0" item="1"/>
        </tpls>
      </n>
      <n v="-5361" in="0">
        <tpls c="5">
          <tpl fld="1" item="10"/>
          <tpl fld="2" item="10"/>
          <tpl hier="10" item="6"/>
          <tpl hier="11" item="0"/>
          <tpl fld="0" item="1"/>
        </tpls>
      </n>
      <n v="-4926" in="0">
        <tpls c="5">
          <tpl fld="1" item="0"/>
          <tpl fld="2" item="1"/>
          <tpl hier="10" item="6"/>
          <tpl hier="11" item="0"/>
          <tpl fld="0" item="0"/>
        </tpls>
      </n>
      <n v="-3378.25" in="0">
        <tpls c="5">
          <tpl fld="1" item="1"/>
          <tpl fld="2" item="1"/>
          <tpl hier="10" item="6"/>
          <tpl hier="11" item="0"/>
          <tpl fld="0" item="0"/>
        </tpls>
      </n>
      <n v="-2863" in="0">
        <tpls c="5">
          <tpl fld="1" item="1"/>
          <tpl fld="2" item="12"/>
          <tpl hier="10" item="6"/>
          <tpl hier="11" item="0"/>
          <tpl fld="0" item="1"/>
        </tpls>
      </n>
      <n v="-264335" in="0">
        <tpls c="5">
          <tpl fld="1" item="7"/>
          <tpl fld="2" item="0"/>
          <tpl hier="10" item="6"/>
          <tpl hier="11" item="0"/>
          <tpl fld="0" item="0"/>
        </tpls>
      </n>
      <m in="0">
        <tpls c="5">
          <tpl fld="1" item="9"/>
          <tpl fld="2" item="4"/>
          <tpl hier="10" item="6"/>
          <tpl hier="11" item="0"/>
          <tpl fld="0" item="1"/>
        </tpls>
      </m>
      <n v="-12806" in="0">
        <tpls c="5">
          <tpl fld="1" item="3"/>
          <tpl fld="2" item="10"/>
          <tpl hier="10" item="6"/>
          <tpl hier="11" item="0"/>
          <tpl fld="0" item="1"/>
        </tpls>
      </n>
      <m in="0">
        <tpls c="5">
          <tpl fld="1" item="2"/>
          <tpl fld="2" item="4"/>
          <tpl hier="10" item="6"/>
          <tpl hier="11" item="0"/>
          <tpl fld="0" item="0"/>
        </tpls>
      </m>
      <n v="-244490.5" in="0">
        <tpls c="5">
          <tpl fld="1" item="1"/>
          <tpl hier="9" item="4294967295"/>
          <tpl hier="10" item="6"/>
          <tpl hier="11" item="0"/>
          <tpl fld="0" item="0"/>
        </tpls>
      </n>
      <m in="0">
        <tpls c="5">
          <tpl fld="1" item="11"/>
          <tpl fld="2" item="8"/>
          <tpl hier="10" item="6"/>
          <tpl hier="11" item="0"/>
          <tpl fld="0" item="1"/>
        </tpls>
      </m>
      <n v="-8610" in="0">
        <tpls c="5">
          <tpl fld="1" item="1"/>
          <tpl fld="2" item="6"/>
          <tpl hier="10" item="6"/>
          <tpl hier="11" item="0"/>
          <tpl fld="0" item="1"/>
        </tpls>
      </n>
      <m in="0">
        <tpls c="5">
          <tpl fld="1" item="0"/>
          <tpl fld="2" item="7"/>
          <tpl hier="10" item="6"/>
          <tpl hier="11" item="0"/>
          <tpl fld="0" item="1"/>
        </tpls>
      </m>
      <n v="-1383.25" in="0">
        <tpls c="5">
          <tpl fld="1" item="1"/>
          <tpl fld="2" item="5"/>
          <tpl hier="10" item="6"/>
          <tpl hier="11" item="0"/>
          <tpl fld="0" item="0"/>
        </tpls>
      </n>
      <m in="0">
        <tpls c="5">
          <tpl fld="1" item="0"/>
          <tpl fld="2" item="7"/>
          <tpl hier="10" item="6"/>
          <tpl hier="11" item="0"/>
          <tpl fld="0" item="0"/>
        </tpls>
      </m>
      <m in="0">
        <tpls c="5">
          <tpl fld="1" item="7"/>
          <tpl fld="2" item="2"/>
          <tpl hier="10" item="6"/>
          <tpl hier="11" item="0"/>
          <tpl fld="0" item="1"/>
        </tpls>
      </m>
      <n v="-427328" in="0">
        <tpls c="5">
          <tpl fld="1" item="8"/>
          <tpl hier="9" item="4294967295"/>
          <tpl hier="10" item="6"/>
          <tpl hier="11" item="0"/>
          <tpl fld="0" item="1"/>
        </tpls>
      </n>
      <m in="0">
        <tpls c="5">
          <tpl fld="1" item="1"/>
          <tpl fld="2" item="9"/>
          <tpl hier="10" item="6"/>
          <tpl hier="11" item="0"/>
          <tpl fld="0" item="0"/>
        </tpls>
      </m>
      <m in="0">
        <tpls c="5">
          <tpl fld="1" item="2"/>
          <tpl fld="2" item="7"/>
          <tpl hier="10" item="6"/>
          <tpl hier="11" item="0"/>
          <tpl fld="0" item="1"/>
        </tpls>
      </m>
      <m in="0">
        <tpls c="5">
          <tpl fld="1" item="8"/>
          <tpl fld="2" item="2"/>
          <tpl hier="10" item="6"/>
          <tpl hier="11" item="0"/>
          <tpl fld="0" item="0"/>
        </tpls>
      </m>
      <n v="-2347" in="0">
        <tpls c="5">
          <tpl fld="1" item="6"/>
          <tpl fld="2" item="5"/>
          <tpl hier="10" item="6"/>
          <tpl hier="11" item="0"/>
          <tpl fld="0" item="1"/>
        </tpls>
      </n>
      <m in="0">
        <tpls c="5">
          <tpl fld="1" item="8"/>
          <tpl fld="2" item="7"/>
          <tpl hier="10" item="6"/>
          <tpl hier="11" item="0"/>
          <tpl fld="0" item="0"/>
        </tpls>
      </m>
      <n v="-4891" in="0">
        <tpls c="5">
          <tpl fld="1" item="4"/>
          <tpl fld="2" item="12"/>
          <tpl hier="10" item="6"/>
          <tpl hier="11" item="0"/>
          <tpl fld="0" item="0"/>
        </tpls>
      </n>
      <m in="0">
        <tpls c="5">
          <tpl fld="1" item="7"/>
          <tpl fld="2" item="7"/>
          <tpl hier="10" item="6"/>
          <tpl hier="11" item="0"/>
          <tpl fld="0" item="0"/>
        </tpls>
      </m>
      <n v="-1560" in="0">
        <tpls c="5">
          <tpl fld="1" item="4"/>
          <tpl fld="2" item="1"/>
          <tpl hier="10" item="6"/>
          <tpl hier="11" item="0"/>
          <tpl fld="0" item="1"/>
        </tpls>
      </n>
      <n v="-564.25" in="0">
        <tpls c="5">
          <tpl fld="1" item="6"/>
          <tpl fld="2" item="11"/>
          <tpl hier="10" item="6"/>
          <tpl hier="11" item="0"/>
          <tpl fld="0" item="0"/>
        </tpls>
      </n>
      <n v="-6606.75" in="0">
        <tpls c="5">
          <tpl fld="1" item="2"/>
          <tpl fld="2" item="13"/>
          <tpl hier="10" item="6"/>
          <tpl hier="11" item="0"/>
          <tpl fld="0" item="0"/>
        </tpls>
      </n>
      <n v="-1222.5" in="0">
        <tpls c="5">
          <tpl fld="1" item="4"/>
          <tpl fld="2" item="5"/>
          <tpl hier="10" item="6"/>
          <tpl hier="11" item="0"/>
          <tpl fld="0" item="0"/>
        </tpls>
      </n>
      <m in="0">
        <tpls c="5">
          <tpl fld="1" item="10"/>
          <tpl fld="2" item="14"/>
          <tpl hier="10" item="6"/>
          <tpl hier="11" item="0"/>
          <tpl fld="0" item="1"/>
        </tpls>
      </m>
      <n v="-174012" in="0">
        <tpls c="4">
          <tpl fld="2" item="6"/>
          <tpl hier="10" item="6"/>
          <tpl hier="11" item="0"/>
          <tpl fld="0" item="1"/>
        </tpls>
      </n>
      <n v="-363749" in="0">
        <tpls c="5">
          <tpl fld="1" item="6"/>
          <tpl hier="9" item="4294967295"/>
          <tpl hier="10" item="6"/>
          <tpl hier="11" item="0"/>
          <tpl fld="0" item="1"/>
        </tpls>
      </n>
      <n v="-6577.25" in="0">
        <tpls c="5">
          <tpl fld="1" item="11"/>
          <tpl fld="2" item="15"/>
          <tpl hier="10" item="6"/>
          <tpl hier="11" item="0"/>
          <tpl fld="0" item="0"/>
        </tpls>
      </n>
      <n v="-15775" in="0">
        <tpls c="5">
          <tpl fld="1" item="0"/>
          <tpl fld="2" item="10"/>
          <tpl hier="10" item="6"/>
          <tpl hier="11" item="0"/>
          <tpl fld="0" item="1"/>
        </tpls>
      </n>
      <n v="-4562.5" in="0">
        <tpls c="5">
          <tpl fld="1" item="7"/>
          <tpl fld="2" item="1"/>
          <tpl hier="10" item="6"/>
          <tpl hier="11" item="0"/>
          <tpl fld="0" item="0"/>
        </tpls>
      </n>
      <n v="-2346" in="0">
        <tpls c="5">
          <tpl fld="1" item="4"/>
          <tpl fld="2" item="3"/>
          <tpl hier="10" item="6"/>
          <tpl hier="11" item="0"/>
          <tpl fld="0" item="1"/>
        </tpls>
      </n>
      <m in="0">
        <tpls c="5">
          <tpl fld="1" item="6"/>
          <tpl fld="2" item="7"/>
          <tpl hier="10" item="6"/>
          <tpl hier="11" item="0"/>
          <tpl fld="0" item="0"/>
        </tpls>
      </m>
      <n v="-4346.25" in="0">
        <tpls c="5">
          <tpl fld="1" item="1"/>
          <tpl fld="2" item="13"/>
          <tpl hier="10" item="6"/>
          <tpl hier="11" item="0"/>
          <tpl fld="0" item="0"/>
        </tpls>
      </n>
      <m in="0">
        <tpls c="5">
          <tpl fld="1" item="4"/>
          <tpl fld="2" item="14"/>
          <tpl hier="10" item="6"/>
          <tpl hier="11" item="0"/>
          <tpl fld="0" item="1"/>
        </tpls>
      </m>
      <n v="-3161713" in="0">
        <tpls c="4">
          <tpl hier="9" item="4294967295"/>
          <tpl hier="10" item="6"/>
          <tpl hier="11" item="0"/>
          <tpl fld="0" item="1"/>
        </tpls>
      </n>
      <n v="-533" in="0">
        <tpls c="5">
          <tpl fld="1" item="0"/>
          <tpl fld="2" item="11"/>
          <tpl hier="10" item="6"/>
          <tpl hier="11" item="0"/>
          <tpl fld="0" item="1"/>
        </tpls>
      </n>
      <m in="0">
        <tpls c="5">
          <tpl fld="1" item="2"/>
          <tpl fld="2" item="7"/>
          <tpl hier="10" item="6"/>
          <tpl hier="11" item="0"/>
          <tpl fld="0" item="0"/>
        </tpls>
      </m>
      <n v="-10414" in="0">
        <tpls c="5">
          <tpl fld="1" item="4"/>
          <tpl fld="2" item="10"/>
          <tpl hier="10" item="6"/>
          <tpl hier="11" item="0"/>
          <tpl fld="0" item="1"/>
        </tpls>
      </n>
      <n v="-6765" in="0">
        <tpls c="5">
          <tpl fld="1" item="11"/>
          <tpl fld="2" item="12"/>
          <tpl hier="10" item="6"/>
          <tpl hier="11" item="0"/>
          <tpl fld="0" item="1"/>
        </tpls>
      </n>
      <m in="0">
        <tpls c="5">
          <tpl fld="1" item="6"/>
          <tpl fld="2" item="7"/>
          <tpl hier="10" item="6"/>
          <tpl hier="11" item="0"/>
          <tpl fld="0" item="1"/>
        </tpls>
      </m>
      <n v="-4395" in="0">
        <tpls c="4">
          <tpl fld="2" item="11"/>
          <tpl hier="10" item="6"/>
          <tpl hier="11" item="0"/>
          <tpl fld="0" item="1"/>
        </tpls>
      </n>
      <n v="-11441.25" in="0">
        <tpls c="5">
          <tpl fld="1" item="4"/>
          <tpl fld="2" item="10"/>
          <tpl hier="10" item="6"/>
          <tpl hier="11" item="0"/>
          <tpl fld="0" item="0"/>
        </tpls>
      </n>
      <m in="0">
        <tpls c="4">
          <tpl fld="2" item="2"/>
          <tpl hier="10" item="6"/>
          <tpl hier="11" item="0"/>
          <tpl fld="0" item="0"/>
        </tpls>
      </m>
      <m in="0">
        <tpls c="5">
          <tpl fld="1" item="7"/>
          <tpl fld="2" item="14"/>
          <tpl hier="10" item="6"/>
          <tpl hier="11" item="0"/>
          <tpl fld="0" item="0"/>
        </tpls>
      </m>
      <m in="0">
        <tpls c="4">
          <tpl fld="2" item="7"/>
          <tpl hier="10" item="6"/>
          <tpl hier="11" item="0"/>
          <tpl fld="0" item="0"/>
        </tpls>
      </m>
      <n v="-6206.5" in="0">
        <tpls c="5">
          <tpl fld="1" item="5"/>
          <tpl fld="2" item="13"/>
          <tpl hier="10" item="6"/>
          <tpl hier="11" item="0"/>
          <tpl fld="0" item="0"/>
        </tpls>
      </n>
      <n v="-18450" in="0">
        <tpls c="4">
          <tpl fld="2" item="1"/>
          <tpl hier="10" item="6"/>
          <tpl hier="11" item="0"/>
          <tpl fld="0" item="1"/>
        </tpls>
      </n>
      <n v="-10944" in="0">
        <tpls c="5">
          <tpl fld="1" item="0"/>
          <tpl fld="2" item="12"/>
          <tpl hier="10" item="6"/>
          <tpl hier="11" item="0"/>
          <tpl fld="0" item="1"/>
        </tpls>
      </n>
      <m in="0">
        <tpls c="5">
          <tpl fld="1" item="2"/>
          <tpl fld="2" item="8"/>
          <tpl hier="10" item="6"/>
          <tpl hier="11" item="0"/>
          <tpl fld="0" item="1"/>
        </tpls>
      </m>
      <n v="-79663" in="0">
        <tpls c="5">
          <tpl fld="1" item="7"/>
          <tpl fld="2" item="0"/>
          <tpl hier="10" item="6"/>
          <tpl hier="11" item="0"/>
          <tpl fld="0" item="1"/>
        </tpls>
      </n>
      <m in="0">
        <tpls c="4">
          <tpl fld="2" item="7"/>
          <tpl hier="10" item="6"/>
          <tpl hier="11" item="0"/>
          <tpl fld="0" item="1"/>
        </tpls>
      </m>
      <n v="-12129" in="0">
        <tpls c="5">
          <tpl fld="1" item="5"/>
          <tpl fld="2" item="13"/>
          <tpl hier="10" item="6"/>
          <tpl hier="11" item="0"/>
          <tpl fld="0" item="1"/>
        </tpls>
      </n>
      <n v="-221221.25" in="0">
        <tpls c="4">
          <tpl fld="2" item="6"/>
          <tpl hier="10" item="6"/>
          <tpl hier="11" item="0"/>
          <tpl fld="0" item="0"/>
        </tpls>
      </n>
      <n v="-470" in="0">
        <tpls c="5">
          <tpl fld="1" item="11"/>
          <tpl fld="2" item="11"/>
          <tpl hier="10" item="6"/>
          <tpl hier="11" item="0"/>
          <tpl fld="0" item="0"/>
        </tpls>
      </n>
      <n v="-2828" in="0">
        <tpls c="5">
          <tpl fld="1" item="11"/>
          <tpl fld="2" item="3"/>
          <tpl hier="10" item="6"/>
          <tpl hier="11" item="0"/>
          <tpl fld="0" item="1"/>
        </tpls>
      </n>
      <n v="-149205.75" in="0">
        <tpls c="4">
          <tpl fld="2" item="10"/>
          <tpl hier="10" item="6"/>
          <tpl hier="11" item="0"/>
          <tpl fld="0" item="0"/>
        </tpls>
      </n>
      <m in="0">
        <tpls c="5">
          <tpl fld="1" item="11"/>
          <tpl fld="2" item="9"/>
          <tpl hier="10" item="6"/>
          <tpl hier="11" item="0"/>
          <tpl fld="0" item="0"/>
        </tpls>
      </m>
      <n v="-2707498" in="0">
        <tpls c="4">
          <tpl fld="2" item="0"/>
          <tpl hier="10" item="6"/>
          <tpl hier="11" item="0"/>
          <tpl fld="0" item="0"/>
        </tpls>
      </n>
      <n v="-1550" in="0">
        <tpls c="5">
          <tpl fld="1" item="8"/>
          <tpl fld="2" item="1"/>
          <tpl hier="10" item="6"/>
          <tpl hier="11" item="0"/>
          <tpl fld="0" item="1"/>
        </tpls>
      </n>
      <n v="-14105" in="0">
        <tpls c="4">
          <tpl fld="2" item="5"/>
          <tpl hier="10" item="6"/>
          <tpl hier="11" item="0"/>
          <tpl fld="0" item="1"/>
        </tpls>
      </n>
      <n v="-130665" in="0">
        <tpls c="4">
          <tpl fld="2" item="10"/>
          <tpl hier="10" item="6"/>
          <tpl hier="11" item="0"/>
          <tpl fld="0" item="1"/>
        </tpls>
      </n>
      <n v="-1103" in="0">
        <tpls c="5">
          <tpl fld="1" item="11"/>
          <tpl fld="2" item="5"/>
          <tpl hier="10" item="6"/>
          <tpl hier="11" item="0"/>
          <tpl fld="0" item="0"/>
        </tpls>
      </n>
      <n v="-26538" in="0">
        <tpls c="4">
          <tpl fld="2" item="3"/>
          <tpl hier="10" item="6"/>
          <tpl hier="11" item="0"/>
          <tpl fld="0" item="0"/>
        </tpls>
      </n>
      <m in="0">
        <tpls c="5">
          <tpl fld="1" item="8"/>
          <tpl fld="2" item="4"/>
          <tpl hier="10" item="6"/>
          <tpl hier="11" item="0"/>
          <tpl fld="0" item="1"/>
        </tpls>
      </m>
      <n v="-9820.25" in="0">
        <tpls c="5">
          <tpl fld="1" item="11"/>
          <tpl fld="2" item="10"/>
          <tpl hier="10" item="6"/>
          <tpl hier="11" item="0"/>
          <tpl fld="0" item="0"/>
        </tpls>
      </n>
      <n v="-306518" in="0">
        <tpls c="5">
          <tpl fld="1" item="9"/>
          <tpl hier="9" item="4294967295"/>
          <tpl hier="10" item="6"/>
          <tpl hier="11" item="0"/>
          <tpl fld="0" item="1"/>
        </tpls>
      </n>
      <n v="-2588.75" in="0">
        <tpls c="5">
          <tpl fld="1" item="3"/>
          <tpl fld="2" item="3"/>
          <tpl hier="10" item="6"/>
          <tpl hier="11" item="0"/>
          <tpl fld="0" item="0"/>
        </tpls>
      </n>
      <m in="0">
        <tpls c="5">
          <tpl fld="1" item="9"/>
          <tpl fld="2" item="2"/>
          <tpl hier="10" item="6"/>
          <tpl hier="11" item="0"/>
          <tpl fld="0" item="0"/>
        </tpls>
      </m>
      <m in="0">
        <tpls c="5">
          <tpl fld="1" item="11"/>
          <tpl fld="2" item="2"/>
          <tpl hier="10" item="6"/>
          <tpl hier="11" item="0"/>
          <tpl fld="0" item="0"/>
        </tpls>
      </m>
      <n v="-531" in="0">
        <tpls c="5">
          <tpl fld="1" item="10"/>
          <tpl fld="2" item="11"/>
          <tpl hier="10" item="6"/>
          <tpl hier="11" item="0"/>
          <tpl fld="0" item="0"/>
        </tpls>
      </n>
      <n v="-1569" in="0">
        <tpls c="5">
          <tpl fld="1" item="1"/>
          <tpl fld="2" item="3"/>
          <tpl hier="10" item="6"/>
          <tpl hier="11" item="0"/>
          <tpl fld="0" item="1"/>
        </tpls>
      </n>
      <n v="-2498" in="0">
        <tpls c="5">
          <tpl fld="1" item="2"/>
          <tpl fld="2" item="12"/>
          <tpl hier="10" item="6"/>
          <tpl hier="11" item="0"/>
          <tpl fld="0" item="1"/>
        </tpls>
      </n>
      <m in="0">
        <tpls c="4">
          <tpl fld="2" item="4"/>
          <tpl hier="10" item="6"/>
          <tpl hier="11" item="0"/>
          <tpl fld="0" item="0"/>
        </tpls>
      </m>
      <m in="0">
        <tpls c="5">
          <tpl fld="1" item="5"/>
          <tpl fld="2" item="8"/>
          <tpl hier="10" item="6"/>
          <tpl hier="11" item="0"/>
          <tpl fld="0" item="0"/>
        </tpls>
      </m>
      <n v="-3990.75" in="0">
        <tpls c="5">
          <tpl fld="1" item="1"/>
          <tpl fld="2" item="12"/>
          <tpl hier="10" item="6"/>
          <tpl hier="11" item="0"/>
          <tpl fld="0" item="0"/>
        </tpls>
      </n>
      <n v="-417111" in="0">
        <tpls c="5">
          <tpl fld="1" item="2"/>
          <tpl hier="9" item="4294967295"/>
          <tpl hier="10" item="6"/>
          <tpl hier="11" item="0"/>
          <tpl fld="0" item="1"/>
        </tpls>
      </n>
      <n v="-4741.5" in="0">
        <tpls c="5">
          <tpl fld="1" item="0"/>
          <tpl fld="2" item="15"/>
          <tpl hier="10" item="6"/>
          <tpl hier="11" item="0"/>
          <tpl fld="0" item="0"/>
        </tpls>
      </n>
      <m in="0">
        <tpls c="5">
          <tpl fld="1" item="10"/>
          <tpl fld="2" item="8"/>
          <tpl hier="10" item="6"/>
          <tpl hier="11" item="0"/>
          <tpl fld="0" item="1"/>
        </tpls>
      </m>
      <n v="-564.75" in="0">
        <tpls c="5">
          <tpl fld="1" item="4"/>
          <tpl fld="2" item="11"/>
          <tpl hier="10" item="6"/>
          <tpl hier="11" item="0"/>
          <tpl fld="0" item="0"/>
        </tpls>
      </n>
      <n v="-6029.25" in="0">
        <tpls c="5">
          <tpl fld="1" item="11"/>
          <tpl fld="2" item="12"/>
          <tpl hier="10" item="6"/>
          <tpl hier="11" item="0"/>
          <tpl fld="0" item="0"/>
        </tpls>
      </n>
      <n v="-4449.5" in="0">
        <tpls c="5">
          <tpl fld="1" item="5"/>
          <tpl fld="2" item="12"/>
          <tpl hier="10" item="6"/>
          <tpl hier="11" item="0"/>
          <tpl fld="0" item="0"/>
        </tpls>
      </n>
      <n v="-8769" in="0">
        <tpls c="5">
          <tpl fld="1" item="2"/>
          <tpl fld="2" item="15"/>
          <tpl hier="10" item="6"/>
          <tpl hier="11" item="0"/>
          <tpl fld="0" item="1"/>
        </tpls>
      </n>
      <n v="-19038" in="0">
        <tpls c="5">
          <tpl fld="1" item="6"/>
          <tpl fld="2" item="6"/>
          <tpl hier="10" item="6"/>
          <tpl hier="11" item="0"/>
          <tpl fld="0" item="0"/>
        </tpls>
      </n>
      <n v="-4116.25" in="0">
        <tpls c="5">
          <tpl fld="1" item="8"/>
          <tpl fld="2" item="1"/>
          <tpl hier="10" item="6"/>
          <tpl hier="11" item="0"/>
          <tpl fld="0" item="0"/>
        </tpls>
      </n>
      <m in="0">
        <tpls c="5">
          <tpl fld="1" item="9"/>
          <tpl fld="2" item="9"/>
          <tpl hier="10" item="6"/>
          <tpl hier="11" item="0"/>
          <tpl fld="0" item="0"/>
        </tpls>
      </m>
      <n v="-7505.5" in="0">
        <tpls c="5">
          <tpl fld="1" item="9"/>
          <tpl fld="2" item="15"/>
          <tpl hier="10" item="6"/>
          <tpl hier="11" item="0"/>
          <tpl fld="0" item="0"/>
        </tpls>
      </n>
      <n v="-123" in="0">
        <tpls c="5">
          <tpl fld="1" item="2"/>
          <tpl fld="2" item="11"/>
          <tpl hier="10" item="6"/>
          <tpl hier="11" item="0"/>
          <tpl fld="0" item="1"/>
        </tpls>
      </n>
      <m in="0">
        <tpls c="5">
          <tpl fld="1" item="4"/>
          <tpl fld="2" item="14"/>
          <tpl hier="10" item="6"/>
          <tpl hier="11" item="0"/>
          <tpl fld="0" item="0"/>
        </tpls>
      </m>
      <n v="-241004.5" in="0">
        <tpls c="5">
          <tpl fld="1" item="2"/>
          <tpl fld="2" item="0"/>
          <tpl hier="10" item="6"/>
          <tpl hier="11" item="0"/>
          <tpl fld="0" item="0"/>
        </tpls>
      </n>
      <n v="-1520" in="0">
        <tpls c="5">
          <tpl fld="1" item="11"/>
          <tpl fld="2" item="1"/>
          <tpl hier="10" item="6"/>
          <tpl hier="11" item="0"/>
          <tpl fld="0" item="1"/>
        </tpls>
      </n>
      <n v="-234878" in="0">
        <tpls c="5">
          <tpl fld="1" item="5"/>
          <tpl fld="2" item="0"/>
          <tpl hier="10" item="6"/>
          <tpl hier="11" item="0"/>
          <tpl fld="0" item="0"/>
        </tpls>
      </n>
      <m in="0">
        <tpls c="5">
          <tpl fld="1" item="11"/>
          <tpl fld="2" item="9"/>
          <tpl hier="10" item="6"/>
          <tpl hier="11" item="0"/>
          <tpl fld="0" item="1"/>
        </tpls>
      </m>
      <m in="0">
        <tpls c="5">
          <tpl fld="1" item="6"/>
          <tpl fld="2" item="4"/>
          <tpl hier="10" item="6"/>
          <tpl hier="11" item="0"/>
          <tpl fld="0" item="0"/>
        </tpls>
      </m>
      <m in="0">
        <tpls c="5">
          <tpl fld="1" item="4"/>
          <tpl fld="2" item="4"/>
          <tpl hier="10" item="6"/>
          <tpl hier="11" item="0"/>
          <tpl fld="0" item="1"/>
        </tpls>
      </m>
      <n v="-4811" in="0">
        <tpls c="5">
          <tpl fld="1" item="3"/>
          <tpl fld="2" item="12"/>
          <tpl hier="10" item="6"/>
          <tpl hier="11" item="0"/>
          <tpl fld="0" item="0"/>
        </tpls>
      </n>
      <n v="-420.25" in="0">
        <tpls c="5">
          <tpl fld="1" item="2"/>
          <tpl fld="2" item="11"/>
          <tpl hier="10" item="6"/>
          <tpl hier="11" item="0"/>
          <tpl fld="0" item="0"/>
        </tpls>
      </n>
      <m in="0">
        <tpls c="5">
          <tpl fld="1" item="5"/>
          <tpl fld="2" item="8"/>
          <tpl hier="10" item="6"/>
          <tpl hier="11" item="0"/>
          <tpl fld="0" item="1"/>
        </tpls>
      </m>
      <n v="-1082.25" in="0">
        <tpls c="5">
          <tpl fld="1" item="7"/>
          <tpl fld="2" item="5"/>
          <tpl hier="10" item="6"/>
          <tpl hier="11" item="0"/>
          <tpl fld="0" item="0"/>
        </tpls>
      </n>
      <m in="0">
        <tpls c="5">
          <tpl fld="1" item="7"/>
          <tpl fld="2" item="7"/>
          <tpl hier="10" item="6"/>
          <tpl hier="11" item="0"/>
          <tpl fld="0" item="1"/>
        </tpls>
      </m>
      <n v="-14810.75" in="0">
        <tpls c="5">
          <tpl fld="1" item="2"/>
          <tpl fld="2" item="10"/>
          <tpl hier="10" item="6"/>
          <tpl hier="11" item="0"/>
          <tpl fld="0" item="0"/>
        </tpls>
      </n>
      <n v="-226" in="0">
        <tpls c="5">
          <tpl fld="1" item="6"/>
          <tpl fld="2" item="11"/>
          <tpl hier="10" item="6"/>
          <tpl hier="11" item="0"/>
          <tpl fld="0" item="1"/>
        </tpls>
      </n>
      <n v="-2215" in="0">
        <tpls c="5">
          <tpl fld="1" item="2"/>
          <tpl fld="2" item="13"/>
          <tpl hier="10" item="6"/>
          <tpl hier="11" item="0"/>
          <tpl fld="0" item="1"/>
        </tpls>
      </n>
      <m in="0">
        <tpls c="5">
          <tpl fld="1" item="4"/>
          <tpl fld="2" item="4"/>
          <tpl hier="10" item="6"/>
          <tpl hier="11" item="0"/>
          <tpl fld="0" item="0"/>
        </tpls>
      </m>
      <m in="0">
        <tpls c="5">
          <tpl fld="1" item="7"/>
          <tpl fld="2" item="14"/>
          <tpl hier="10" item="6"/>
          <tpl hier="11" item="0"/>
          <tpl fld="0" item="1"/>
        </tpls>
      </m>
      <m in="0">
        <tpls c="4">
          <tpl fld="2" item="8"/>
          <tpl hier="10" item="6"/>
          <tpl hier="11" item="0"/>
          <tpl fld="0" item="1"/>
        </tpls>
      </m>
      <n v="-3373888.25" in="0">
        <tpls c="4">
          <tpl hier="9" item="4294967295"/>
          <tpl hier="10" item="6"/>
          <tpl hier="11" item="0"/>
          <tpl fld="0" item="0"/>
        </tpls>
      </n>
      <n v="-4343.5" in="0">
        <tpls c="5">
          <tpl fld="1" item="10"/>
          <tpl fld="2" item="15"/>
          <tpl hier="10" item="6"/>
          <tpl hier="11" item="0"/>
          <tpl fld="0" item="0"/>
        </tpls>
      </n>
      <n v="-19193" in="0">
        <tpls c="5">
          <tpl fld="1" item="0"/>
          <tpl fld="2" item="10"/>
          <tpl hier="10" item="6"/>
          <tpl hier="11" item="0"/>
          <tpl fld="0" item="0"/>
        </tpls>
      </n>
      <m in="0">
        <tpls c="5">
          <tpl fld="1" item="2"/>
          <tpl fld="2" item="2"/>
          <tpl hier="10" item="6"/>
          <tpl hier="11" item="0"/>
          <tpl fld="0" item="0"/>
        </tpls>
      </m>
      <n v="-7357.5" in="0">
        <tpls c="5">
          <tpl fld="1" item="4"/>
          <tpl fld="2" item="13"/>
          <tpl hier="10" item="6"/>
          <tpl hier="11" item="0"/>
          <tpl fld="0" item="0"/>
        </tpls>
      </n>
      <n v="-2738" in="0">
        <tpls c="5">
          <tpl fld="1" item="1"/>
          <tpl fld="2" item="10"/>
          <tpl hier="10" item="6"/>
          <tpl hier="11" item="0"/>
          <tpl fld="0" item="1"/>
        </tpls>
      </n>
      <n v="-6294.75" in="0">
        <tpls c="4">
          <tpl fld="2" item="11"/>
          <tpl hier="10" item="6"/>
          <tpl hier="11" item="0"/>
          <tpl fld="0" item="0"/>
        </tpls>
      </n>
      <m in="0">
        <tpls c="5">
          <tpl fld="1" item="4"/>
          <tpl fld="2" item="9"/>
          <tpl hier="10" item="6"/>
          <tpl hier="11" item="0"/>
          <tpl fld="0" item="0"/>
        </tpls>
      </m>
      <n v="-26479" in="0">
        <tpls c="4">
          <tpl fld="2" item="3"/>
          <tpl hier="10" item="6"/>
          <tpl hier="11" item="0"/>
          <tpl fld="0" item="1"/>
        </tpls>
      </n>
      <n v="-5134" in="0">
        <tpls c="5">
          <tpl fld="1" item="10"/>
          <tpl fld="2" item="15"/>
          <tpl hier="10" item="6"/>
          <tpl hier="11" item="0"/>
          <tpl fld="0" item="1"/>
        </tpls>
      </n>
      <m in="0">
        <tpls c="5">
          <tpl fld="1" item="1"/>
          <tpl fld="2" item="8"/>
          <tpl hier="10" item="6"/>
          <tpl hier="11" item="0"/>
          <tpl fld="0" item="1"/>
        </tpls>
      </m>
      <n v="-1887" in="0">
        <tpls c="5">
          <tpl fld="1" item="6"/>
          <tpl fld="2" item="3"/>
          <tpl hier="10" item="6"/>
          <tpl hier="11" item="0"/>
          <tpl fld="0" item="1"/>
        </tpls>
      </n>
      <n v="-1905" in="0">
        <tpls c="5">
          <tpl fld="1" item="8"/>
          <tpl fld="2" item="5"/>
          <tpl hier="10" item="6"/>
          <tpl hier="11" item="0"/>
          <tpl fld="0" item="1"/>
        </tpls>
      </n>
      <n v="-8477" in="0">
        <tpls c="5">
          <tpl fld="1" item="5"/>
          <tpl fld="2" item="10"/>
          <tpl hier="10" item="6"/>
          <tpl hier="11" item="0"/>
          <tpl fld="0" item="1"/>
        </tpls>
      </n>
      <n v="-3841" in="0">
        <tpls c="5">
          <tpl fld="1" item="1"/>
          <tpl fld="2" item="13"/>
          <tpl hier="10" item="6"/>
          <tpl hier="11" item="0"/>
          <tpl fld="0" item="1"/>
        </tpls>
      </n>
      <m in="0">
        <tpls c="5">
          <tpl fld="1" item="9"/>
          <tpl fld="2" item="14"/>
          <tpl hier="10" item="6"/>
          <tpl hier="11" item="0"/>
          <tpl fld="0" item="0"/>
        </tpls>
      </m>
      <n v="-514.25" in="0">
        <tpls c="5">
          <tpl fld="1" item="0"/>
          <tpl fld="2" item="11"/>
          <tpl hier="10" item="6"/>
          <tpl hier="11" item="0"/>
          <tpl fld="0" item="0"/>
        </tpls>
      </n>
      <n v="-456" in="0">
        <tpls c="5">
          <tpl fld="1" item="7"/>
          <tpl fld="2" item="11"/>
          <tpl hier="10" item="6"/>
          <tpl hier="11" item="0"/>
          <tpl fld="0" item="1"/>
        </tpls>
      </n>
      <n v="-1524" in="0">
        <tpls c="5">
          <tpl fld="1" item="6"/>
          <tpl fld="2" item="13"/>
          <tpl hier="10" item="6"/>
          <tpl hier="11" item="0"/>
          <tpl fld="0" item="1"/>
        </tpls>
      </n>
      <n v="-13470.25" in="0">
        <tpls c="5">
          <tpl fld="1" item="6"/>
          <tpl fld="2" item="10"/>
          <tpl hier="10" item="6"/>
          <tpl hier="11" item="0"/>
          <tpl fld="0" item="0"/>
        </tpls>
      </n>
      <n v="-227469" in="0">
        <tpls c="5">
          <tpl fld="1" item="4"/>
          <tpl fld="2" item="0"/>
          <tpl hier="10" item="6"/>
          <tpl hier="11" item="0"/>
          <tpl fld="0" item="0"/>
        </tpls>
      </n>
      <n v="-63042" in="0">
        <tpls c="4">
          <tpl fld="2" item="13"/>
          <tpl hier="10" item="6"/>
          <tpl hier="11" item="0"/>
          <tpl fld="0" item="0"/>
        </tpls>
      </n>
      <m in="0">
        <tpls c="5">
          <tpl fld="1" item="3"/>
          <tpl fld="2" item="2"/>
          <tpl hier="10" item="6"/>
          <tpl hier="11" item="0"/>
          <tpl fld="0" item="1"/>
        </tpls>
      </m>
      <n v="-246298" in="0">
        <tpls c="5">
          <tpl fld="1" item="1"/>
          <tpl fld="2" item="0"/>
          <tpl hier="10" item="6"/>
          <tpl hier="11" item="0"/>
          <tpl fld="0" item="1"/>
        </tpls>
      </n>
      <n v="-12963" in="0">
        <tpls c="5">
          <tpl fld="1" item="6"/>
          <tpl fld="2" item="10"/>
          <tpl hier="10" item="6"/>
          <tpl hier="11" item="0"/>
          <tpl fld="0" item="1"/>
        </tpls>
      </n>
      <n v="-4083.5" in="0">
        <tpls c="5">
          <tpl fld="1" item="4"/>
          <tpl fld="2" item="1"/>
          <tpl hier="10" item="6"/>
          <tpl hier="11" item="0"/>
          <tpl fld="0" item="0"/>
        </tpls>
      </n>
      <m in="0">
        <tpls c="5">
          <tpl fld="1" item="3"/>
          <tpl fld="2" item="7"/>
          <tpl hier="10" item="6"/>
          <tpl hier="11" item="0"/>
          <tpl fld="0" item="1"/>
        </tpls>
      </m>
      <m in="0">
        <tpls c="5">
          <tpl fld="1" item="8"/>
          <tpl fld="2" item="8"/>
          <tpl hier="10" item="6"/>
          <tpl hier="11" item="0"/>
          <tpl fld="0" item="0"/>
        </tpls>
      </m>
      <n v="-3573.5" in="0">
        <tpls c="5">
          <tpl fld="1" item="9"/>
          <tpl fld="2" item="13"/>
          <tpl hier="10" item="6"/>
          <tpl hier="11" item="0"/>
          <tpl fld="0" item="0"/>
        </tpls>
      </n>
      <n v="-298713.25" in="0">
        <tpls c="5">
          <tpl fld="1" item="2"/>
          <tpl hier="9" item="4294967295"/>
          <tpl hier="10" item="6"/>
          <tpl hier="11" item="0"/>
          <tpl fld="0" item="0"/>
        </tpls>
      </n>
      <n v="-8351" in="0">
        <tpls c="5">
          <tpl fld="1" item="0"/>
          <tpl fld="2" item="13"/>
          <tpl hier="10" item="6"/>
          <tpl hier="11" item="0"/>
          <tpl fld="0" item="1"/>
        </tpls>
      </n>
      <n v="-1512" in="0">
        <tpls c="5">
          <tpl fld="1" item="1"/>
          <tpl fld="2" item="5"/>
          <tpl hier="10" item="6"/>
          <tpl hier="11" item="0"/>
          <tpl fld="0" item="1"/>
        </tpls>
      </n>
      <m in="0">
        <tpls c="5">
          <tpl fld="1" item="4"/>
          <tpl fld="2" item="2"/>
          <tpl hier="10" item="6"/>
          <tpl hier="11" item="0"/>
          <tpl fld="0" item="0"/>
        </tpls>
      </m>
      <n v="-8792" in="0">
        <tpls c="5">
          <tpl fld="1" item="9"/>
          <tpl fld="2" item="13"/>
          <tpl hier="10" item="6"/>
          <tpl hier="11" item="0"/>
          <tpl fld="0" item="1"/>
        </tpls>
      </n>
      <n v="-122880" in="0">
        <tpls c="5">
          <tpl fld="1" item="0"/>
          <tpl hier="9" item="4294967295"/>
          <tpl hier="10" item="6"/>
          <tpl hier="11" item="0"/>
          <tpl fld="0" item="1"/>
        </tpls>
      </n>
      <n v="-13632" in="0">
        <tpls c="5">
          <tpl fld="1" item="4"/>
          <tpl fld="2" item="6"/>
          <tpl hier="10" item="6"/>
          <tpl hier="11" item="0"/>
          <tpl fld="0" item="0"/>
        </tpls>
      </n>
      <m in="0">
        <tpls c="5">
          <tpl fld="1" item="4"/>
          <tpl fld="2" item="2"/>
          <tpl hier="10" item="6"/>
          <tpl hier="11" item="0"/>
          <tpl fld="0" item="1"/>
        </tpls>
      </m>
      <n v="-1458" in="0">
        <tpls c="5">
          <tpl fld="1" item="4"/>
          <tpl fld="2" item="12"/>
          <tpl hier="10" item="6"/>
          <tpl hier="11" item="0"/>
          <tpl fld="0" item="1"/>
        </tpls>
      </n>
      <m in="0">
        <tpls c="5">
          <tpl fld="1" item="6"/>
          <tpl fld="2" item="14"/>
          <tpl hier="10" item="6"/>
          <tpl hier="11" item="0"/>
          <tpl fld="0" item="0"/>
        </tpls>
      </m>
      <m in="0">
        <tpls c="5">
          <tpl fld="1" item="7"/>
          <tpl fld="2" item="8"/>
          <tpl hier="10" item="6"/>
          <tpl hier="11" item="0"/>
          <tpl fld="0" item="1"/>
        </tpls>
      </m>
      <m in="0">
        <tpls c="5">
          <tpl fld="1" item="6"/>
          <tpl fld="2" item="14"/>
          <tpl hier="10" item="6"/>
          <tpl hier="11" item="0"/>
          <tpl fld="0" item="1"/>
        </tpls>
      </m>
      <m in="0">
        <tpls c="5">
          <tpl fld="1" item="11"/>
          <tpl fld="2" item="7"/>
          <tpl hier="10" item="6"/>
          <tpl hier="11" item="0"/>
          <tpl fld="0" item="1"/>
        </tpls>
      </m>
      <m in="0">
        <tpls c="5">
          <tpl fld="1" item="6"/>
          <tpl fld="2" item="8"/>
          <tpl hier="10" item="6"/>
          <tpl hier="11" item="0"/>
          <tpl fld="0" item="0"/>
        </tpls>
      </m>
      <n v="-5180.25" in="0">
        <tpls c="5">
          <tpl fld="1" item="10"/>
          <tpl fld="2" item="13"/>
          <tpl hier="10" item="6"/>
          <tpl hier="11" item="0"/>
          <tpl fld="0" item="0"/>
        </tpls>
      </n>
      <n v="-2568" in="0">
        <tpls c="5">
          <tpl fld="1" item="0"/>
          <tpl fld="2" item="15"/>
          <tpl hier="10" item="6"/>
          <tpl hier="11" item="0"/>
          <tpl fld="0" item="1"/>
        </tpls>
      </n>
      <n v="-330072" in="0">
        <tpls c="5">
          <tpl fld="1" item="6"/>
          <tpl fld="2" item="0"/>
          <tpl hier="10" item="6"/>
          <tpl hier="11" item="0"/>
          <tpl fld="0" item="1"/>
        </tpls>
      </n>
      <n v="-2381.25" in="0">
        <tpls c="5">
          <tpl fld="1" item="5"/>
          <tpl fld="2" item="3"/>
          <tpl hier="10" item="6"/>
          <tpl hier="11" item="0"/>
          <tpl fld="0" item="0"/>
        </tpls>
      </n>
      <m in="0">
        <tpls c="4">
          <tpl fld="2" item="14"/>
          <tpl hier="10" item="6"/>
          <tpl hier="11" item="0"/>
          <tpl fld="0" item="1"/>
        </tpls>
      </m>
      <n v="-2767" in="0">
        <tpls c="5">
          <tpl fld="1" item="8"/>
          <tpl fld="2" item="3"/>
          <tpl hier="10" item="6"/>
          <tpl hier="11" item="0"/>
          <tpl fld="0" item="1"/>
        </tpls>
      </n>
      <m in="0">
        <tpls c="5">
          <tpl fld="1" item="9"/>
          <tpl fld="2" item="8"/>
          <tpl hier="10" item="6"/>
          <tpl hier="11" item="0"/>
          <tpl fld="0" item="1"/>
        </tpls>
      </m>
      <n v="-1824.25" in="0">
        <tpls c="5">
          <tpl fld="1" item="6"/>
          <tpl fld="2" item="3"/>
          <tpl hier="10" item="6"/>
          <tpl hier="11" item="0"/>
          <tpl fld="0" item="0"/>
        </tpls>
      </n>
      <m in="0">
        <tpls c="4">
          <tpl fld="2" item="9"/>
          <tpl hier="10" item="6"/>
          <tpl hier="11" item="0"/>
          <tpl fld="0" item="1"/>
        </tpls>
      </m>
      <n v="-258917.75" in="0">
        <tpls c="5">
          <tpl fld="1" item="3"/>
          <tpl hier="9" item="4294967295"/>
          <tpl hier="10" item="6"/>
          <tpl hier="11" item="0"/>
          <tpl fld="0" item="0"/>
        </tpls>
      </n>
      <m in="0">
        <tpls c="5">
          <tpl fld="1" item="8"/>
          <tpl fld="2" item="2"/>
          <tpl hier="10" item="6"/>
          <tpl hier="11" item="0"/>
          <tpl fld="0" item="1"/>
        </tpls>
      </m>
      <n v="-2259" in="0">
        <tpls c="5">
          <tpl fld="1" item="10"/>
          <tpl fld="2" item="12"/>
          <tpl hier="10" item="6"/>
          <tpl hier="11" item="0"/>
          <tpl fld="0" item="1"/>
        </tpls>
      </n>
      <n v="-3736" in="0">
        <tpls c="5">
          <tpl fld="1" item="0"/>
          <tpl fld="2" item="3"/>
          <tpl hier="10" item="6"/>
          <tpl hier="11" item="0"/>
          <tpl fld="0" item="1"/>
        </tpls>
      </n>
      <m in="0">
        <tpls c="5">
          <tpl fld="1" item="11"/>
          <tpl fld="2" item="11"/>
          <tpl hier="10" item="6"/>
          <tpl hier="11" item="0"/>
          <tpl fld="0" item="1"/>
        </tpls>
      </m>
      <n v="-20240" in="0">
        <tpls c="5">
          <tpl fld="1" item="0"/>
          <tpl fld="2" item="6"/>
          <tpl hier="10" item="6"/>
          <tpl hier="11" item="0"/>
          <tpl fld="0" item="0"/>
        </tpls>
      </n>
      <n v="-7463" in="0">
        <tpls c="5">
          <tpl fld="1" item="6"/>
          <tpl fld="2" item="6"/>
          <tpl hier="10" item="6"/>
          <tpl hier="11" item="0"/>
          <tpl fld="0" item="1"/>
        </tpls>
      </n>
      <m in="0">
        <tpls c="5">
          <tpl fld="1" item="11"/>
          <tpl fld="2" item="4"/>
          <tpl hier="10" item="6"/>
          <tpl hier="11" item="0"/>
          <tpl fld="0" item="1"/>
        </tpls>
      </m>
      <m in="0">
        <tpls c="5">
          <tpl fld="1" item="7"/>
          <tpl fld="2" item="4"/>
          <tpl hier="10" item="6"/>
          <tpl hier="11" item="0"/>
          <tpl fld="0" item="1"/>
        </tpls>
      </m>
      <n v="-4660" in="0">
        <tpls c="5">
          <tpl fld="1" item="4"/>
          <tpl fld="2" item="15"/>
          <tpl hier="10" item="6"/>
          <tpl hier="11" item="0"/>
          <tpl fld="0" item="1"/>
        </tpls>
      </n>
      <m in="0">
        <tpls c="5">
          <tpl fld="1" item="11"/>
          <tpl fld="2" item="8"/>
          <tpl hier="10" item="6"/>
          <tpl hier="11" item="0"/>
          <tpl fld="0" item="0"/>
        </tpls>
      </m>
      <n v="-383" in="0">
        <tpls c="5">
          <tpl fld="1" item="9"/>
          <tpl fld="2" item="11"/>
          <tpl hier="10" item="6"/>
          <tpl hier="11" item="0"/>
          <tpl fld="0" item="1"/>
        </tpls>
      </n>
      <n v="-281721.25" in="0">
        <tpls c="5">
          <tpl fld="1" item="0"/>
          <tpl hier="9" item="4294967295"/>
          <tpl hier="10" item="6"/>
          <tpl hier="11" item="0"/>
          <tpl fld="0" item="0"/>
        </tpls>
      </n>
      <m in="0">
        <tpls c="5">
          <tpl fld="1" item="9"/>
          <tpl fld="2" item="4"/>
          <tpl hier="10" item="6"/>
          <tpl hier="11" item="0"/>
          <tpl fld="0" item="0"/>
        </tpls>
      </m>
      <n v="-6006" in="0">
        <tpls c="5">
          <tpl fld="1" item="0"/>
          <tpl fld="2" item="13"/>
          <tpl hier="10" item="6"/>
          <tpl hier="11" item="0"/>
          <tpl fld="0" item="0"/>
        </tpls>
      </n>
      <n v="-2515" in="0">
        <tpls c="5">
          <tpl fld="1" item="7"/>
          <tpl fld="2" item="3"/>
          <tpl hier="10" item="6"/>
          <tpl hier="11" item="0"/>
          <tpl fld="0" item="0"/>
        </tpls>
      </n>
      <n v="-3699" in="0">
        <tpls c="5">
          <tpl fld="1" item="11"/>
          <tpl fld="2" item="13"/>
          <tpl hier="10" item="6"/>
          <tpl hier="11" item="0"/>
          <tpl fld="0" item="0"/>
        </tpls>
      </n>
      <m in="0">
        <tpls c="5">
          <tpl fld="1" item="0"/>
          <tpl fld="2" item="14"/>
          <tpl hier="10" item="6"/>
          <tpl hier="11" item="0"/>
          <tpl fld="0" item="1"/>
        </tpls>
      </m>
      <n v="-439" in="0">
        <tpls c="5">
          <tpl fld="1" item="9"/>
          <tpl fld="2" item="3"/>
          <tpl hier="10" item="6"/>
          <tpl hier="11" item="0"/>
          <tpl fld="0" item="1"/>
        </tpls>
      </n>
      <n v="-280" in="0">
        <tpls c="5">
          <tpl fld="1" item="1"/>
          <tpl fld="2" item="11"/>
          <tpl hier="10" item="6"/>
          <tpl hier="11" item="0"/>
          <tpl fld="0" item="1"/>
        </tpls>
      </n>
      <n v="-6206" in="0">
        <tpls c="5">
          <tpl fld="1" item="11"/>
          <tpl fld="2" item="13"/>
          <tpl hier="10" item="6"/>
          <tpl hier="11" item="0"/>
          <tpl fld="0" item="1"/>
        </tpls>
      </n>
      <m in="0">
        <tpls c="5">
          <tpl fld="1" item="0"/>
          <tpl fld="2" item="14"/>
          <tpl hier="10" item="6"/>
          <tpl hier="11" item="0"/>
          <tpl fld="0" item="0"/>
        </tpls>
      </m>
      <n v="-665" in="0">
        <tpls c="5">
          <tpl fld="1" item="2"/>
          <tpl fld="2" item="3"/>
          <tpl hier="10" item="6"/>
          <tpl hier="11" item="0"/>
          <tpl fld="0" item="1"/>
        </tpls>
      </n>
      <n v="-319688" in="0">
        <tpls c="5">
          <tpl fld="1" item="3"/>
          <tpl hier="9" item="4294967295"/>
          <tpl hier="10" item="6"/>
          <tpl hier="11" item="0"/>
          <tpl fld="0" item="1"/>
        </tpls>
      </n>
      <m in="0">
        <tpls c="5">
          <tpl fld="1" item="5"/>
          <tpl fld="2" item="4"/>
          <tpl hier="10" item="6"/>
          <tpl hier="11" item="0"/>
          <tpl fld="0" item="1"/>
        </tpls>
      </m>
      <m in="0">
        <tpls c="5">
          <tpl fld="1" item="9"/>
          <tpl fld="2" item="2"/>
          <tpl hier="10" item="6"/>
          <tpl hier="11" item="0"/>
          <tpl fld="0" item="1"/>
        </tpls>
      </m>
      <m in="0">
        <tpls c="5">
          <tpl fld="1" item="10"/>
          <tpl fld="2" item="8"/>
          <tpl hier="10" item="6"/>
          <tpl hier="11" item="0"/>
          <tpl fld="0" item="0"/>
        </tpls>
      </m>
      <n v="-14417.5" in="0">
        <tpls c="5">
          <tpl fld="1" item="8"/>
          <tpl fld="2" item="10"/>
          <tpl hier="10" item="6"/>
          <tpl hier="11" item="0"/>
          <tpl fld="0" item="0"/>
        </tpls>
      </n>
      <n v="-6382.25" in="0">
        <tpls c="5">
          <tpl fld="1" item="2"/>
          <tpl fld="2" item="15"/>
          <tpl hier="10" item="6"/>
          <tpl hier="11" item="0"/>
          <tpl fld="0" item="0"/>
        </tpls>
      </n>
      <m in="0">
        <tpls c="5">
          <tpl fld="1" item="9"/>
          <tpl fld="2" item="7"/>
          <tpl hier="10" item="6"/>
          <tpl hier="11" item="0"/>
          <tpl fld="0" item="1"/>
        </tpls>
      </m>
      <n v="-1863.75" in="0">
        <tpls c="5">
          <tpl fld="1" item="4"/>
          <tpl fld="2" item="3"/>
          <tpl hier="10" item="6"/>
          <tpl hier="11" item="0"/>
          <tpl fld="0" item="0"/>
        </tpls>
      </n>
      <m in="0">
        <tpls c="5">
          <tpl fld="1" item="10"/>
          <tpl fld="2" item="4"/>
          <tpl hier="10" item="6"/>
          <tpl hier="11" item="0"/>
          <tpl fld="0" item="1"/>
        </tpls>
      </m>
      <m in="0">
        <tpls c="5">
          <tpl fld="1" item="1"/>
          <tpl fld="2" item="8"/>
          <tpl hier="10" item="6"/>
          <tpl hier="11" item="0"/>
          <tpl fld="0" item="0"/>
        </tpls>
      </m>
      <m in="0">
        <tpls c="5">
          <tpl fld="1" item="9"/>
          <tpl fld="2" item="9"/>
          <tpl hier="10" item="6"/>
          <tpl hier="11" item="0"/>
          <tpl fld="0" item="1"/>
        </tpls>
      </m>
      <m in="0">
        <tpls c="5">
          <tpl fld="1" item="2"/>
          <tpl fld="2" item="14"/>
          <tpl hier="10" item="6"/>
          <tpl hier="11" item="0"/>
          <tpl fld="0" item="1"/>
        </tpls>
      </m>
      <n v="-12844.75" in="0">
        <tpls c="5">
          <tpl fld="1" item="9"/>
          <tpl fld="2" item="10"/>
          <tpl hier="10" item="6"/>
          <tpl hier="11" item="0"/>
          <tpl fld="0" item="0"/>
        </tpls>
      </n>
      <n v="-4763.75" in="0">
        <tpls c="5">
          <tpl fld="1" item="5"/>
          <tpl fld="2" item="1"/>
          <tpl hier="10" item="6"/>
          <tpl hier="11" item="0"/>
          <tpl fld="0" item="0"/>
        </tpls>
      </n>
      <n v="-4569.5" in="0">
        <tpls c="5">
          <tpl fld="1" item="10"/>
          <tpl fld="2" item="12"/>
          <tpl hier="10" item="6"/>
          <tpl hier="11" item="0"/>
          <tpl fld="0" item="0"/>
        </tpls>
      </n>
      <n v="-401" in="0">
        <tpls c="5">
          <tpl fld="1" item="4"/>
          <tpl fld="2" item="11"/>
          <tpl hier="10" item="6"/>
          <tpl hier="11" item="0"/>
          <tpl fld="0" item="1"/>
        </tpls>
      </n>
      <n v="-324009.5" in="0">
        <tpls c="5">
          <tpl fld="1" item="8"/>
          <tpl hier="9" item="4294967295"/>
          <tpl hier="10" item="6"/>
          <tpl hier="11" item="0"/>
          <tpl fld="0" item="0"/>
        </tpls>
      </n>
      <m in="0">
        <tpls c="5">
          <tpl fld="1" item="1"/>
          <tpl fld="2" item="14"/>
          <tpl hier="10" item="6"/>
          <tpl hier="11" item="0"/>
          <tpl fld="0" item="0"/>
        </tpls>
      </m>
      <m in="0">
        <tpls c="5">
          <tpl fld="1" item="1"/>
          <tpl fld="2" item="2"/>
          <tpl hier="10" item="6"/>
          <tpl hier="11" item="0"/>
          <tpl fld="0" item="0"/>
        </tpls>
      </m>
      <n v="-2179.25" in="0">
        <tpls c="5">
          <tpl fld="1" item="2"/>
          <tpl fld="2" item="3"/>
          <tpl hier="10" item="6"/>
          <tpl hier="11" item="0"/>
          <tpl fld="0" item="0"/>
        </tpls>
      </n>
      <n v="-1133.25" in="0">
        <tpls c="5">
          <tpl fld="1" item="6"/>
          <tpl fld="2" item="5"/>
          <tpl hier="10" item="6"/>
          <tpl hier="11" item="0"/>
          <tpl fld="0" item="0"/>
        </tpls>
      </n>
      <m in="0">
        <tpls c="5">
          <tpl fld="1" item="2"/>
          <tpl fld="2" item="9"/>
          <tpl hier="10" item="6"/>
          <tpl hier="11" item="0"/>
          <tpl fld="0" item="1"/>
        </tpls>
      </m>
      <n v="-392823" in="0">
        <tpls c="5">
          <tpl fld="1" item="8"/>
          <tpl fld="2" item="0"/>
          <tpl hier="10" item="6"/>
          <tpl hier="11" item="0"/>
          <tpl fld="0" item="1"/>
        </tpls>
      </n>
      <m in="0">
        <tpls c="5">
          <tpl fld="1" item="9"/>
          <tpl fld="2" item="7"/>
          <tpl hier="10" item="6"/>
          <tpl hier="11" item="0"/>
          <tpl fld="0" item="0"/>
        </tpls>
      </m>
      <m in="0">
        <tpls c="5">
          <tpl fld="1" item="3"/>
          <tpl fld="2" item="9"/>
          <tpl hier="10" item="6"/>
          <tpl hier="11" item="0"/>
          <tpl fld="0" item="0"/>
        </tpls>
      </m>
      <n v="-196536.5" in="0">
        <tpls c="5">
          <tpl fld="1" item="1"/>
          <tpl fld="2" item="0"/>
          <tpl hier="10" item="6"/>
          <tpl hier="11" item="0"/>
          <tpl fld="0" item="0"/>
        </tpls>
      </n>
      <m in="0">
        <tpls c="5">
          <tpl fld="1" item="2"/>
          <tpl fld="2" item="4"/>
          <tpl hier="10" item="6"/>
          <tpl hier="11" item="0"/>
          <tpl fld="0" item="1"/>
        </tpls>
      </m>
      <m in="0">
        <tpls c="5">
          <tpl fld="1" item="10"/>
          <tpl fld="2" item="9"/>
          <tpl hier="10" item="6"/>
          <tpl hier="11" item="0"/>
          <tpl fld="0" item="1"/>
        </tpls>
      </m>
      <m in="0">
        <tpls c="5">
          <tpl fld="1" item="5"/>
          <tpl fld="2" item="9"/>
          <tpl hier="10" item="6"/>
          <tpl hier="11" item="0"/>
          <tpl fld="0" item="1"/>
        </tpls>
      </m>
      <n v="-5421" in="0">
        <tpls c="5">
          <tpl fld="1" item="8"/>
          <tpl fld="2" item="12"/>
          <tpl hier="10" item="6"/>
          <tpl hier="11" item="0"/>
          <tpl fld="0" item="0"/>
        </tpls>
      </n>
      <n v="-961.25" in="0">
        <tpls c="5">
          <tpl fld="1" item="8"/>
          <tpl fld="2" item="5"/>
          <tpl hier="10" item="6"/>
          <tpl hier="11" item="0"/>
          <tpl fld="0" item="0"/>
        </tpls>
      </n>
      <m in="0">
        <tpls c="5">
          <tpl fld="1" item="9"/>
          <tpl fld="2" item="5"/>
          <tpl hier="10" item="6"/>
          <tpl hier="11" item="0"/>
          <tpl fld="0" item="1"/>
        </tpls>
      </m>
      <n v="-1530" in="0">
        <tpls c="5">
          <tpl fld="1" item="10"/>
          <tpl fld="2" item="5"/>
          <tpl hier="10" item="6"/>
          <tpl hier="11" item="0"/>
          <tpl fld="0" item="1"/>
        </tpls>
      </n>
      <n v="-285388.75" in="0">
        <tpls c="5">
          <tpl fld="1" item="5"/>
          <tpl hier="9" item="4294967295"/>
          <tpl hier="10" item="6"/>
          <tpl hier="11" item="0"/>
          <tpl fld="0" item="0"/>
        </tpls>
      </n>
      <n v="-4813" in="0">
        <tpls c="5">
          <tpl fld="1" item="1"/>
          <tpl fld="2" item="15"/>
          <tpl hier="10" item="6"/>
          <tpl hier="11" item="0"/>
          <tpl fld="0" item="1"/>
        </tpls>
      </n>
      <n v="-2154" in="0">
        <tpls c="5">
          <tpl fld="1" item="0"/>
          <tpl fld="2" item="3"/>
          <tpl hier="10" item="6"/>
          <tpl hier="11" item="0"/>
          <tpl fld="0" item="0"/>
        </tpls>
      </n>
      <m in="0">
        <tpls c="5">
          <tpl fld="1" item="3"/>
          <tpl fld="2" item="4"/>
          <tpl hier="10" item="6"/>
          <tpl hier="11" item="0"/>
          <tpl fld="0" item="0"/>
        </tpls>
      </m>
      <m in="0">
        <tpls c="5">
          <tpl fld="1" item="2"/>
          <tpl fld="2" item="9"/>
          <tpl hier="10" item="6"/>
          <tpl hier="11" item="0"/>
          <tpl fld="0" item="0"/>
        </tpls>
      </m>
      <n v="-3649" in="0">
        <tpls c="5">
          <tpl fld="1" item="7"/>
          <tpl fld="2" item="6"/>
          <tpl hier="10" item="6"/>
          <tpl hier="11" item="0"/>
          <tpl fld="0" item="1"/>
        </tpls>
      </n>
      <m in="0">
        <tpls c="5">
          <tpl fld="1" item="6"/>
          <tpl fld="2" item="2"/>
          <tpl hier="10" item="6"/>
          <tpl hier="11" item="0"/>
          <tpl fld="0" item="1"/>
        </tpls>
      </m>
      <m in="0">
        <tpls c="5">
          <tpl fld="1" item="1"/>
          <tpl fld="2" item="4"/>
          <tpl hier="10" item="6"/>
          <tpl hier="11" item="0"/>
          <tpl fld="0" item="0"/>
        </tpls>
      </m>
      <m in="0">
        <tpls c="5">
          <tpl fld="1" item="8"/>
          <tpl fld="2" item="9"/>
          <tpl hier="10" item="6"/>
          <tpl hier="11" item="0"/>
          <tpl fld="0" item="0"/>
        </tpls>
      </m>
      <n v="-318" in="0">
        <tpls c="5">
          <tpl fld="1" item="5"/>
          <tpl fld="2" item="5"/>
          <tpl hier="10" item="6"/>
          <tpl hier="11" item="0"/>
          <tpl fld="0" item="1"/>
        </tpls>
      </n>
      <n v="-1602" in="0">
        <tpls c="5">
          <tpl fld="1" item="8"/>
          <tpl fld="2" item="12"/>
          <tpl hier="10" item="6"/>
          <tpl hier="11" item="0"/>
          <tpl fld="0" item="1"/>
        </tpls>
      </n>
      <n v="-5306.5" in="0">
        <tpls c="5">
          <tpl fld="1" item="10"/>
          <tpl fld="2" item="1"/>
          <tpl hier="10" item="6"/>
          <tpl hier="11" item="0"/>
          <tpl fld="0" item="0"/>
        </tpls>
      </n>
      <n v="-12710" in="0">
        <tpls c="5">
          <tpl fld="1" item="9"/>
          <tpl fld="2" item="10"/>
          <tpl hier="10" item="6"/>
          <tpl hier="11" item="0"/>
          <tpl fld="0" item="1"/>
        </tpls>
      </n>
      <m in="0">
        <tpls c="5">
          <tpl fld="1" item="10"/>
          <tpl fld="2" item="2"/>
          <tpl hier="10" item="6"/>
          <tpl hier="11" item="0"/>
          <tpl fld="0" item="1"/>
        </tpls>
      </m>
      <n v="-140102" in="0">
        <tpls c="5">
          <tpl fld="1" item="5"/>
          <tpl hier="9" item="4294967295"/>
          <tpl hier="10" item="6"/>
          <tpl hier="11" item="0"/>
          <tpl fld="0" item="1"/>
        </tpls>
      </n>
      <n v="-6440.25" in="0">
        <tpls c="5">
          <tpl fld="1" item="5"/>
          <tpl fld="2" item="15"/>
          <tpl hier="10" item="6"/>
          <tpl hier="11" item="0"/>
          <tpl fld="0" item="0"/>
        </tpls>
      </n>
      <m in="0">
        <tpls c="5">
          <tpl fld="1" item="0"/>
          <tpl fld="2" item="4"/>
          <tpl hier="10" item="6"/>
          <tpl hier="11" item="0"/>
          <tpl fld="0" item="1"/>
        </tpls>
      </m>
      <n v="-3946.5" in="0">
        <tpls c="5">
          <tpl fld="1" item="3"/>
          <tpl fld="2" item="1"/>
          <tpl hier="10" item="6"/>
          <tpl hier="11" item="0"/>
          <tpl fld="0" item="0"/>
        </tpls>
      </n>
      <n v="-68850" in="0">
        <tpls c="5">
          <tpl fld="1" item="5"/>
          <tpl fld="2" item="0"/>
          <tpl hier="10" item="6"/>
          <tpl hier="11" item="0"/>
          <tpl fld="0" item="1"/>
        </tpls>
      </n>
      <n v="-1843.5" in="0">
        <tpls c="5">
          <tpl fld="1" item="11"/>
          <tpl fld="2" item="3"/>
          <tpl hier="10" item="6"/>
          <tpl hier="11" item="0"/>
          <tpl fld="0" item="0"/>
        </tpls>
      </n>
      <m in="0">
        <tpls c="5">
          <tpl fld="1" item="1"/>
          <tpl fld="2" item="4"/>
          <tpl hier="10" item="6"/>
          <tpl hier="11" item="0"/>
          <tpl fld="0" item="1"/>
        </tpls>
      </m>
      <m in="0">
        <tpls c="5">
          <tpl fld="1" item="8"/>
          <tpl fld="2" item="9"/>
          <tpl hier="10" item="6"/>
          <tpl hier="11" item="0"/>
          <tpl fld="0" item="1"/>
        </tpls>
      </m>
      <m in="0">
        <tpls c="5">
          <tpl fld="1" item="5"/>
          <tpl fld="2" item="7"/>
          <tpl hier="10" item="6"/>
          <tpl hier="11" item="0"/>
          <tpl fld="0" item="1"/>
        </tpls>
      </m>
      <n v="-4271.25" in="0">
        <tpls c="5">
          <tpl fld="1" item="7"/>
          <tpl fld="2" item="12"/>
          <tpl hier="10" item="6"/>
          <tpl hier="11" item="0"/>
          <tpl fld="0" item="0"/>
        </tpls>
      </n>
      <m in="0">
        <tpls c="5">
          <tpl fld="1" item="10"/>
          <tpl fld="2" item="4"/>
          <tpl hier="10" item="6"/>
          <tpl hier="11" item="0"/>
          <tpl fld="0" item="0"/>
        </tpls>
      </m>
      <n v="-262106" in="0">
        <tpls c="5">
          <tpl fld="1" item="9"/>
          <tpl fld="2" item="0"/>
          <tpl hier="10" item="6"/>
          <tpl hier="11" item="0"/>
          <tpl fld="0" item="1"/>
        </tpls>
      </n>
      <n v="-1103.25" in="0">
        <tpls c="5">
          <tpl fld="1" item="5"/>
          <tpl fld="2" item="5"/>
          <tpl hier="10" item="6"/>
          <tpl hier="11" item="0"/>
          <tpl fld="0" item="0"/>
        </tpls>
      </n>
      <n v="-279102.5" in="0">
        <tpls c="5">
          <tpl fld="1" item="4"/>
          <tpl hier="9" item="4294967295"/>
          <tpl hier="10" item="6"/>
          <tpl hier="11" item="0"/>
          <tpl fld="0" item="0"/>
        </tpls>
      </n>
      <n v="-5360" in="0">
        <tpls c="5">
          <tpl fld="1" item="5"/>
          <tpl fld="2" item="15"/>
          <tpl hier="10" item="6"/>
          <tpl hier="11" item="0"/>
          <tpl fld="0" item="1"/>
        </tpls>
      </n>
      <m in="0">
        <tpls c="5">
          <tpl fld="1" item="0"/>
          <tpl fld="2" item="4"/>
          <tpl hier="10" item="6"/>
          <tpl hier="11" item="0"/>
          <tpl fld="0" item="0"/>
        </tpls>
      </m>
      <n v="-3649.5" in="0">
        <tpls c="5">
          <tpl fld="1" item="6"/>
          <tpl fld="2" item="1"/>
          <tpl hier="10" item="6"/>
          <tpl hier="11" item="0"/>
          <tpl fld="0" item="0"/>
        </tpls>
      </n>
      <m in="0">
        <tpls c="5">
          <tpl fld="1" item="9"/>
          <tpl fld="2" item="8"/>
          <tpl hier="10" item="6"/>
          <tpl hier="11" item="0"/>
          <tpl fld="0" item="0"/>
        </tpls>
      </m>
      <n v="-260505.5" in="0">
        <tpls c="5">
          <tpl fld="1" item="8"/>
          <tpl fld="2" item="0"/>
          <tpl hier="10" item="6"/>
          <tpl hier="11" item="0"/>
          <tpl fld="0" item="0"/>
        </tpls>
      </n>
      <n v="-1550" in="0">
        <tpls c="5">
          <tpl fld="1" item="1"/>
          <tpl fld="2" item="1"/>
          <tpl hier="10" item="6"/>
          <tpl hier="11" item="0"/>
          <tpl fld="0" item="1"/>
        </tpls>
      </n>
      <n v="-4032" in="0">
        <tpls c="5">
          <tpl fld="1" item="10"/>
          <tpl fld="2" item="3"/>
          <tpl hier="10" item="6"/>
          <tpl hier="11" item="0"/>
          <tpl fld="0" item="1"/>
        </tpls>
      </n>
      <n v="-21093" in="0">
        <tpls c="5">
          <tpl fld="1" item="11"/>
          <tpl fld="2" item="6"/>
          <tpl hier="10" item="6"/>
          <tpl hier="11" item="0"/>
          <tpl fld="0" item="1"/>
        </tpls>
      </n>
      <m in="0">
        <tpls c="5">
          <tpl fld="1" item="5"/>
          <tpl fld="2" item="4"/>
          <tpl hier="10" item="6"/>
          <tpl hier="11" item="0"/>
          <tpl fld="0" item="0"/>
        </tpls>
      </m>
      <m in="0">
        <tpls c="5">
          <tpl fld="1" item="7"/>
          <tpl fld="2" item="9"/>
          <tpl hier="10" item="6"/>
          <tpl hier="11" item="0"/>
          <tpl fld="0" item="0"/>
        </tpls>
      </m>
      <n v="-32986" in="0">
        <tpls c="5">
          <tpl fld="1" item="5"/>
          <tpl fld="2" item="6"/>
          <tpl hier="10" item="6"/>
          <tpl hier="11" item="0"/>
          <tpl fld="0" item="1"/>
        </tpls>
      </n>
      <n v="-1146" in="0">
        <tpls c="5">
          <tpl fld="1" item="7"/>
          <tpl fld="2" item="12"/>
          <tpl hier="10" item="6"/>
          <tpl hier="11" item="0"/>
          <tpl fld="0" item="1"/>
        </tpls>
      </n>
      <n v="-1092.75" in="0">
        <tpls c="5">
          <tpl fld="1" item="10"/>
          <tpl fld="2" item="5"/>
          <tpl hier="10" item="6"/>
          <tpl hier="11" item="0"/>
          <tpl fld="0" item="0"/>
        </tpls>
      </n>
      <m in="0">
        <tpls c="5">
          <tpl fld="1" item="3"/>
          <tpl fld="2" item="14"/>
          <tpl hier="10" item="6"/>
          <tpl hier="11" item="0"/>
          <tpl fld="0" item="0"/>
        </tpls>
      </m>
      <n v="-9340.75" in="0">
        <tpls c="5">
          <tpl fld="1" item="5"/>
          <tpl fld="2" item="10"/>
          <tpl hier="10" item="6"/>
          <tpl hier="11" item="0"/>
          <tpl fld="0" item="0"/>
        </tpls>
      </n>
      <n v="-303435" in="0">
        <tpls c="5">
          <tpl fld="1" item="4"/>
          <tpl hier="9" item="4294967295"/>
          <tpl hier="10" item="6"/>
          <tpl hier="11" item="0"/>
          <tpl fld="0" item="1"/>
        </tpls>
      </n>
      <n v="-4211" in="0">
        <tpls c="5">
          <tpl fld="1" item="3"/>
          <tpl fld="2" item="15"/>
          <tpl hier="10" item="6"/>
          <tpl hier="11" item="0"/>
          <tpl fld="0" item="1"/>
        </tpls>
      </n>
      <n v="-1325" in="0">
        <tpls c="5">
          <tpl fld="1" item="0"/>
          <tpl fld="2" item="5"/>
          <tpl hier="10" item="6"/>
          <tpl hier="11" item="0"/>
          <tpl fld="0" item="1"/>
        </tpls>
      </n>
      <m in="0">
        <tpls c="5">
          <tpl fld="1" item="1"/>
          <tpl fld="2" item="7"/>
          <tpl hier="10" item="6"/>
          <tpl hier="11" item="0"/>
          <tpl fld="0" item="0"/>
        </tpls>
      </m>
      <n v="-21136" in="0">
        <tpls c="5">
          <tpl fld="1" item="7"/>
          <tpl fld="2" item="6"/>
          <tpl hier="10" item="6"/>
          <tpl hier="11" item="0"/>
          <tpl fld="0" item="0"/>
        </tpls>
      </n>
      <m in="0">
        <tpls c="5">
          <tpl fld="1" item="1"/>
          <tpl fld="2" item="14"/>
          <tpl hier="10" item="6"/>
          <tpl hier="11" item="0"/>
          <tpl fld="0" item="1"/>
        </tpls>
      </m>
      <n v="-19733.75" in="0">
        <tpls c="5">
          <tpl fld="1" item="8"/>
          <tpl fld="2" item="6"/>
          <tpl hier="10" item="6"/>
          <tpl hier="11" item="0"/>
          <tpl fld="0" item="0"/>
        </tpls>
      </n>
      <m in="0">
        <tpls c="5">
          <tpl fld="1" item="10"/>
          <tpl fld="2" item="7"/>
          <tpl hier="10" item="6"/>
          <tpl hier="11" item="0"/>
          <tpl fld="0" item="0"/>
        </tpls>
      </m>
      <n v="-1183.75" in="0">
        <tpls c="5">
          <tpl fld="1" item="3"/>
          <tpl fld="2" item="5"/>
          <tpl hier="10" item="6"/>
          <tpl hier="11" item="0"/>
          <tpl fld="0" item="0"/>
        </tpls>
      </n>
      <m in="0">
        <tpls c="5">
          <tpl fld="1" item="7"/>
          <tpl fld="2" item="9"/>
          <tpl hier="10" item="6"/>
          <tpl hier="11" item="0"/>
          <tpl fld="0" item="1"/>
        </tpls>
      </m>
      <n v="-1520" in="0">
        <tpls c="5">
          <tpl fld="1" item="5"/>
          <tpl fld="2" item="1"/>
          <tpl hier="10" item="6"/>
          <tpl hier="11" item="0"/>
          <tpl fld="0" item="1"/>
        </tpls>
      </n>
      <n v="-4557.75" in="0">
        <tpls c="5">
          <tpl fld="1" item="6"/>
          <tpl fld="2" item="12"/>
          <tpl hier="10" item="6"/>
          <tpl hier="11" item="0"/>
          <tpl fld="0" item="0"/>
        </tpls>
      </n>
      <m in="0">
        <tpls c="5">
          <tpl fld="1" item="10"/>
          <tpl fld="2" item="2"/>
          <tpl hier="10" item="6"/>
          <tpl hier="11" item="0"/>
          <tpl fld="0" item="0"/>
        </tpls>
      </m>
      <m in="0">
        <tpls c="5">
          <tpl fld="1" item="3"/>
          <tpl fld="2" item="14"/>
          <tpl hier="10" item="6"/>
          <tpl hier="11" item="0"/>
          <tpl fld="0" item="1"/>
        </tpls>
      </m>
      <m in="0">
        <tpls c="5">
          <tpl fld="1" item="5"/>
          <tpl fld="2" item="9"/>
          <tpl hier="10" item="6"/>
          <tpl hier="11" item="0"/>
          <tpl fld="0" item="0"/>
        </tpls>
      </m>
      <n v="-276945.5" in="0">
        <tpls c="5">
          <tpl fld="1" item="9"/>
          <tpl hier="9" item="4294967295"/>
          <tpl hier="10" item="6"/>
          <tpl hier="11" item="0"/>
          <tpl fld="0" item="0"/>
        </tpls>
      </n>
      <n v="-6577.25" in="0">
        <tpls c="5">
          <tpl fld="1" item="4"/>
          <tpl fld="2" item="15"/>
          <tpl hier="10" item="6"/>
          <tpl hier="11" item="0"/>
          <tpl fld="0" item="0"/>
        </tpls>
      </n>
      <n v="-1325.5" in="0">
        <tpls c="5">
          <tpl fld="1" item="0"/>
          <tpl fld="2" item="5"/>
          <tpl hier="10" item="6"/>
          <tpl hier="11" item="0"/>
          <tpl fld="0" item="0"/>
        </tpls>
      </n>
      <n v="-2307.75" in="0">
        <tpls c="5">
          <tpl fld="1" item="9"/>
          <tpl fld="2" item="3"/>
          <tpl hier="10" item="6"/>
          <tpl hier="11" item="0"/>
          <tpl fld="0" item="0"/>
        </tpls>
      </n>
      <n v="-544" in="0">
        <tpls c="5">
          <tpl fld="1" item="1"/>
          <tpl fld="2" item="11"/>
          <tpl hier="10" item="6"/>
          <tpl hier="11" item="0"/>
          <tpl fld="0" item="0"/>
        </tpls>
      </n>
      <n v="-211241.25" in="0">
        <tpls c="5">
          <tpl fld="1" item="6"/>
          <tpl fld="2" item="0"/>
          <tpl hier="10" item="6"/>
          <tpl hier="11" item="0"/>
          <tpl fld="0" item="0"/>
        </tpls>
      </n>
      <n v="-118" in="0">
        <tpls c="5">
          <tpl fld="1" item="5"/>
          <tpl fld="2" item="11"/>
          <tpl hier="10" item="6"/>
          <tpl hier="11" item="0"/>
          <tpl fld="0" item="1"/>
        </tpls>
      </n>
      <n v="-664" in="0">
        <tpls c="5">
          <tpl fld="1" item="3"/>
          <tpl fld="2" item="5"/>
          <tpl hier="10" item="6"/>
          <tpl hier="11" item="0"/>
          <tpl fld="0" item="1"/>
        </tpls>
      </n>
      <m in="0">
        <tpls c="5">
          <tpl fld="1" item="6"/>
          <tpl fld="2" item="9"/>
          <tpl hier="10" item="6"/>
          <tpl hier="11" item="0"/>
          <tpl fld="0" item="0"/>
        </tpls>
      </m>
      <m in="0">
        <tpls c="5">
          <tpl fld="1" item="5"/>
          <tpl fld="2" item="2"/>
          <tpl hier="10" item="6"/>
          <tpl hier="11" item="0"/>
          <tpl fld="0" item="1"/>
        </tpls>
      </m>
      <n v="-3023" in="0">
        <tpls c="5">
          <tpl fld="1" item="6"/>
          <tpl fld="2" item="12"/>
          <tpl hier="10" item="6"/>
          <tpl hier="11" item="0"/>
          <tpl fld="0" item="1"/>
        </tpls>
      </n>
      <n v="-212567" in="0">
        <tpls c="5">
          <tpl fld="1" item="10"/>
          <tpl fld="2" item="0"/>
          <tpl hier="10" item="6"/>
          <tpl hier="11" item="0"/>
          <tpl fld="0" item="0"/>
        </tpls>
      </n>
      <m in="0">
        <tpls c="5">
          <tpl fld="1" item="2"/>
          <tpl fld="2" item="14"/>
          <tpl hier="10" item="6"/>
          <tpl hier="11" item="0"/>
          <tpl fld="0" item="0"/>
        </tpls>
      </m>
      <m in="0">
        <tpls c="5">
          <tpl fld="1" item="5"/>
          <tpl fld="2" item="7"/>
          <tpl hier="10" item="6"/>
          <tpl hier="11" item="0"/>
          <tpl fld="0" item="0"/>
        </tpls>
      </m>
      <n v="-277481.5" in="0">
        <tpls c="5">
          <tpl fld="1" item="11"/>
          <tpl hier="9" item="4294967295"/>
          <tpl hier="10" item="6"/>
          <tpl hier="11" item="0"/>
          <tpl fld="0" item="0"/>
        </tpls>
      </n>
      <n v="-7320.75" in="0">
        <tpls c="5">
          <tpl fld="1" item="3"/>
          <tpl fld="2" item="15"/>
          <tpl hier="10" item="6"/>
          <tpl hier="11" item="0"/>
          <tpl fld="0" item="0"/>
        </tpls>
      </n>
      <n v="-7181" in="0">
        <tpls c="5">
          <tpl fld="1" item="0"/>
          <tpl fld="2" item="6"/>
          <tpl hier="10" item="6"/>
          <tpl hier="11" item="0"/>
          <tpl fld="0" item="1"/>
        </tpls>
      </n>
      <n v="-1560" in="0">
        <tpls c="5">
          <tpl fld="1" item="7"/>
          <tpl fld="2" item="1"/>
          <tpl hier="10" item="6"/>
          <tpl hier="11" item="0"/>
          <tpl fld="0" item="1"/>
        </tpls>
      </n>
      <n v="-362550" in="0">
        <tpls c="5">
          <tpl fld="1" item="2"/>
          <tpl fld="2" item="0"/>
          <tpl hier="10" item="6"/>
          <tpl hier="11" item="0"/>
          <tpl fld="0" item="1"/>
        </tpls>
      </n>
      <m in="0">
        <tpls c="5">
          <tpl fld="1" item="1"/>
          <tpl fld="2" item="9"/>
          <tpl hier="10" item="6"/>
          <tpl hier="11" item="0"/>
          <tpl fld="0" item="1"/>
        </tpls>
      </m>
      <n v="-15235.75" in="0">
        <tpls c="5">
          <tpl fld="1" item="11"/>
          <tpl fld="2" item="6"/>
          <tpl hier="10" item="6"/>
          <tpl hier="11" item="0"/>
          <tpl fld="0" item="0"/>
        </tpls>
      </n>
      <n v="-56223.25" in="0">
        <tpls c="4">
          <tpl fld="2" item="12"/>
          <tpl hier="10" item="6"/>
          <tpl hier="11" item="0"/>
          <tpl fld="0" item="0"/>
        </tpls>
      </n>
      <n v="-22961" in="0">
        <tpls c="5">
          <tpl fld="1" item="4"/>
          <tpl fld="2" item="6"/>
          <tpl hier="10" item="6"/>
          <tpl hier="11" item="0"/>
          <tpl fld="0" item="1"/>
        </tpls>
      </n>
      <n v="-755" in="0">
        <tpls c="5">
          <tpl fld="1" item="8"/>
          <tpl fld="2" item="11"/>
          <tpl hier="10" item="6"/>
          <tpl hier="11" item="0"/>
          <tpl fld="0" item="1"/>
        </tpls>
      </n>
      <n v="-16828.25" in="0">
        <tpls c="5">
          <tpl fld="1" item="1"/>
          <tpl fld="2" item="6"/>
          <tpl hier="10" item="6"/>
          <tpl hier="11" item="0"/>
          <tpl fld="0" item="0"/>
        </tpls>
      </n>
      <n v="-6402" in="0">
        <tpls c="5">
          <tpl fld="1" item="7"/>
          <tpl fld="2" item="13"/>
          <tpl hier="10" item="6"/>
          <tpl hier="11" item="0"/>
          <tpl fld="0" item="1"/>
        </tpls>
      </n>
      <n v="-14753" in="0">
        <tpls c="5">
          <tpl fld="1" item="7"/>
          <tpl fld="2" item="10"/>
          <tpl hier="10" item="6"/>
          <tpl hier="11" item="0"/>
          <tpl fld="0" item="1"/>
        </tpls>
      </n>
      <n v="-4965.25" in="0">
        <tpls c="5">
          <tpl fld="1" item="9"/>
          <tpl fld="2" item="1"/>
          <tpl hier="10" item="6"/>
          <tpl hier="11" item="0"/>
          <tpl fld="0" item="0"/>
        </tpls>
      </n>
      <m in="0">
        <tpls c="5">
          <tpl fld="1" item="0"/>
          <tpl fld="2" item="8"/>
          <tpl hier="10" item="6"/>
          <tpl hier="11" item="0"/>
          <tpl fld="0" item="1"/>
        </tpls>
      </m>
      <n v="-218442.75" in="0">
        <tpls c="5">
          <tpl fld="1" item="9"/>
          <tpl fld="2" item="0"/>
          <tpl hier="10" item="6"/>
          <tpl hier="11" item="0"/>
          <tpl fld="0" item="0"/>
        </tpls>
      </n>
      <m in="0">
        <tpls c="5">
          <tpl fld="1" item="1"/>
          <tpl fld="2" item="7"/>
          <tpl hier="10" item="7"/>
          <tpl hier="11" item="0"/>
          <tpl fld="0" item="1"/>
        </tpls>
      </m>
      <m in="0">
        <tpls c="5">
          <tpl fld="1" item="3"/>
          <tpl fld="2" item="2"/>
          <tpl hier="10" item="7"/>
          <tpl hier="11" item="0"/>
          <tpl fld="0" item="0"/>
        </tpls>
      </m>
      <n v="-9428" in="0">
        <tpls c="5">
          <tpl fld="1" item="2"/>
          <tpl fld="2" item="6"/>
          <tpl hier="10" item="7"/>
          <tpl hier="11" item="0"/>
          <tpl fld="0" item="1"/>
        </tpls>
      </n>
      <n v="-319" in="0">
        <tpls c="5">
          <tpl fld="1" item="3"/>
          <tpl fld="2" item="11"/>
          <tpl hier="10" item="7"/>
          <tpl hier="11" item="0"/>
          <tpl fld="0" item="1"/>
        </tpls>
      </n>
      <n v="-15073" in="0">
        <tpls c="5">
          <tpl fld="1" item="3"/>
          <tpl fld="2" item="10"/>
          <tpl hier="10" item="7"/>
          <tpl hier="11" item="0"/>
          <tpl fld="0" item="0"/>
        </tpls>
      </n>
      <n v="-3050.25" in="0">
        <tpls c="5">
          <tpl fld="1" item="10"/>
          <tpl fld="2" item="3"/>
          <tpl hier="10" item="7"/>
          <tpl hier="11" item="0"/>
          <tpl fld="0" item="0"/>
        </tpls>
      </n>
      <m in="0">
        <tpls c="5">
          <tpl fld="1" item="11"/>
          <tpl fld="2" item="7"/>
          <tpl hier="10" item="7"/>
          <tpl hier="11" item="0"/>
          <tpl fld="0" item="0"/>
        </tpls>
      </m>
      <n v="-8942" in="0">
        <tpls c="5">
          <tpl fld="1" item="3"/>
          <tpl fld="2" item="6"/>
          <tpl hier="10" item="7"/>
          <tpl hier="11" item="0"/>
          <tpl fld="0" item="1"/>
        </tpls>
      </n>
      <m in="0">
        <tpls c="5">
          <tpl fld="1" item="4"/>
          <tpl fld="2" item="9"/>
          <tpl hier="10" item="7"/>
          <tpl hier="11" item="0"/>
          <tpl fld="0" item="1"/>
        </tpls>
      </m>
      <n v="-231" in="0">
        <tpls c="5">
          <tpl fld="1" item="10"/>
          <tpl fld="2" item="11"/>
          <tpl hier="10" item="7"/>
          <tpl hier="11" item="0"/>
          <tpl fld="0" item="1"/>
        </tpls>
      </n>
      <n v="-6133" in="0">
        <tpls c="5">
          <tpl fld="1" item="7"/>
          <tpl fld="2" item="13"/>
          <tpl hier="10" item="7"/>
          <tpl hier="11" item="0"/>
          <tpl fld="0" item="0"/>
        </tpls>
      </n>
      <n v="-665" in="0">
        <tpls c="5">
          <tpl fld="1" item="11"/>
          <tpl fld="2" item="5"/>
          <tpl hier="10" item="7"/>
          <tpl hier="11" item="0"/>
          <tpl fld="0" item="1"/>
        </tpls>
      </n>
      <m in="0">
        <tpls c="5">
          <tpl fld="1" item="5"/>
          <tpl fld="2" item="14"/>
          <tpl hier="10" item="7"/>
          <tpl hier="11" item="0"/>
          <tpl fld="0" item="0"/>
        </tpls>
      </m>
      <n v="-55861" in="0">
        <tpls c="4">
          <tpl fld="2" item="13"/>
          <tpl hier="10" item="7"/>
          <tpl hier="11" item="0"/>
          <tpl fld="0" item="1"/>
        </tpls>
      </n>
      <n v="-307119.5" in="0">
        <tpls c="5">
          <tpl fld="1" item="7"/>
          <tpl hier="9" item="4294967295"/>
          <tpl hier="10" item="7"/>
          <tpl hier="11" item="0"/>
          <tpl fld="0" item="0"/>
        </tpls>
      </n>
      <n v="-1950" in="0">
        <tpls c="5">
          <tpl fld="1" item="11"/>
          <tpl fld="2" item="15"/>
          <tpl hier="10" item="7"/>
          <tpl hier="11" item="0"/>
          <tpl fld="0" item="1"/>
        </tpls>
      </n>
      <m in="0">
        <tpls c="5">
          <tpl fld="1" item="0"/>
          <tpl fld="2" item="8"/>
          <tpl hier="10" item="7"/>
          <tpl hier="11" item="0"/>
          <tpl fld="0" item="0"/>
        </tpls>
      </m>
      <n v="-1770" in="0">
        <tpls c="5">
          <tpl fld="1" item="6"/>
          <tpl fld="2" item="1"/>
          <tpl hier="10" item="7"/>
          <tpl hier="11" item="0"/>
          <tpl fld="0" item="1"/>
        </tpls>
      </n>
      <m in="0">
        <tpls c="5">
          <tpl fld="1" item="3"/>
          <tpl fld="2" item="7"/>
          <tpl hier="10" item="7"/>
          <tpl hier="11" item="0"/>
          <tpl fld="0" item="0"/>
        </tpls>
      </m>
      <m in="0">
        <tpls c="5">
          <tpl fld="1" item="6"/>
          <tpl fld="2" item="9"/>
          <tpl hier="10" item="7"/>
          <tpl hier="11" item="0"/>
          <tpl fld="0" item="1"/>
        </tpls>
      </m>
      <n v="-2711" in="0">
        <tpls c="5">
          <tpl fld="1" item="3"/>
          <tpl fld="2" item="3"/>
          <tpl hier="10" item="7"/>
          <tpl hier="11" item="0"/>
          <tpl fld="0" item="1"/>
        </tpls>
      </n>
      <n v="-512.25" in="0">
        <tpls c="5">
          <tpl fld="1" item="9"/>
          <tpl fld="2" item="11"/>
          <tpl hier="10" item="7"/>
          <tpl hier="11" item="0"/>
          <tpl fld="0" item="0"/>
        </tpls>
      </n>
      <n v="-25197" in="0">
        <tpls c="5">
          <tpl fld="1" item="10"/>
          <tpl fld="2" item="6"/>
          <tpl hier="10" item="7"/>
          <tpl hier="11" item="0"/>
          <tpl fld="0" item="1"/>
        </tpls>
      </n>
      <m in="0">
        <tpls c="5">
          <tpl fld="1" item="3"/>
          <tpl fld="2" item="0"/>
          <tpl hier="10" item="7"/>
          <tpl hier="11" item="0"/>
          <tpl fld="0" item="1"/>
        </tpls>
      </m>
      <n v="-13498.25" in="0">
        <tpls c="5">
          <tpl fld="1" item="2"/>
          <tpl fld="2" item="6"/>
          <tpl hier="10" item="7"/>
          <tpl hier="11" item="0"/>
          <tpl fld="0" item="0"/>
        </tpls>
      </n>
      <n v="-1171" in="0">
        <tpls c="5">
          <tpl fld="1" item="4"/>
          <tpl fld="2" item="5"/>
          <tpl hier="10" item="7"/>
          <tpl hier="11" item="0"/>
          <tpl fld="0" item="1"/>
        </tpls>
      </n>
      <n v="-539.25" in="0">
        <tpls c="5">
          <tpl fld="1" item="8"/>
          <tpl fld="2" item="11"/>
          <tpl hier="10" item="7"/>
          <tpl hier="11" item="0"/>
          <tpl fld="0" item="0"/>
        </tpls>
      </n>
      <n v="-5094.25" in="0">
        <tpls c="5">
          <tpl fld="1" item="3"/>
          <tpl fld="2" item="13"/>
          <tpl hier="10" item="7"/>
          <tpl hier="11" item="0"/>
          <tpl fld="0" item="0"/>
        </tpls>
      </n>
      <m in="0">
        <tpls c="5">
          <tpl fld="1" item="11"/>
          <tpl fld="2" item="2"/>
          <tpl hier="10" item="7"/>
          <tpl hier="11" item="0"/>
          <tpl fld="0" item="1"/>
        </tpls>
      </m>
      <m in="0">
        <tpls c="5">
          <tpl fld="1" item="5"/>
          <tpl fld="2" item="14"/>
          <tpl hier="10" item="7"/>
          <tpl hier="11" item="0"/>
          <tpl fld="0" item="1"/>
        </tpls>
      </m>
      <n v="-59532" in="0">
        <tpls c="4">
          <tpl fld="2" item="12"/>
          <tpl hier="10" item="7"/>
          <tpl hier="11" item="0"/>
          <tpl fld="0" item="1"/>
        </tpls>
      </n>
      <n v="-121790" in="0">
        <tpls c="5">
          <tpl fld="1" item="7"/>
          <tpl hier="9" item="4294967295"/>
          <tpl hier="10" item="7"/>
          <tpl hier="11" item="0"/>
          <tpl fld="0" item="1"/>
        </tpls>
      </n>
      <n v="-80698.75" in="0">
        <tpls c="4">
          <tpl fld="2" item="15"/>
          <tpl hier="10" item="7"/>
          <tpl hier="11" item="0"/>
          <tpl fld="0" item="0"/>
        </tpls>
      </n>
      <m in="0">
        <tpls c="5">
          <tpl fld="1" item="0"/>
          <tpl fld="2" item="9"/>
          <tpl hier="10" item="7"/>
          <tpl hier="11" item="0"/>
          <tpl fld="0" item="1"/>
        </tpls>
      </m>
      <m in="0">
        <tpls c="5">
          <tpl fld="1" item="6"/>
          <tpl fld="2" item="4"/>
          <tpl hier="10" item="7"/>
          <tpl hier="11" item="0"/>
          <tpl fld="0" item="1"/>
        </tpls>
      </m>
      <n v="-1720" in="0">
        <tpls c="5">
          <tpl fld="1" item="2"/>
          <tpl fld="2" item="1"/>
          <tpl hier="10" item="7"/>
          <tpl hier="11" item="0"/>
          <tpl fld="0" item="1"/>
        </tpls>
      </n>
      <m in="0">
        <tpls c="5">
          <tpl fld="1" item="2"/>
          <tpl fld="2" item="2"/>
          <tpl hier="10" item="7"/>
          <tpl hier="11" item="0"/>
          <tpl fld="0" item="1"/>
        </tpls>
      </m>
      <m in="0">
        <tpls c="5">
          <tpl fld="1" item="3"/>
          <tpl fld="2" item="8"/>
          <tpl hier="10" item="7"/>
          <tpl hier="11" item="0"/>
          <tpl fld="0" item="1"/>
        </tpls>
      </m>
      <m in="0">
        <tpls c="5">
          <tpl fld="1" item="3"/>
          <tpl fld="2" item="9"/>
          <tpl hier="10" item="7"/>
          <tpl hier="11" item="0"/>
          <tpl fld="0" item="1"/>
        </tpls>
      </m>
      <n v="-600.75" in="0">
        <tpls c="5">
          <tpl fld="1" item="5"/>
          <tpl fld="2" item="11"/>
          <tpl hier="10" item="7"/>
          <tpl hier="11" item="0"/>
          <tpl fld="0" item="0"/>
        </tpls>
      </n>
      <n v="-20324.25" in="0">
        <tpls c="5">
          <tpl fld="1" item="9"/>
          <tpl fld="2" item="6"/>
          <tpl hier="10" item="7"/>
          <tpl hier="11" item="0"/>
          <tpl fld="0" item="0"/>
        </tpls>
      </n>
      <m in="0">
        <tpls c="5">
          <tpl fld="1" item="4"/>
          <tpl fld="2" item="7"/>
          <tpl hier="10" item="7"/>
          <tpl hier="11" item="0"/>
          <tpl fld="0" item="0"/>
        </tpls>
      </m>
      <n v="-146927" in="0">
        <tpls c="5">
          <tpl fld="1" item="4"/>
          <tpl fld="2" item="0"/>
          <tpl hier="10" item="7"/>
          <tpl hier="11" item="0"/>
          <tpl fld="0" item="1"/>
        </tpls>
      </n>
      <n v="-630" in="0">
        <tpls c="5">
          <tpl fld="1" item="7"/>
          <tpl fld="2" item="11"/>
          <tpl hier="10" item="7"/>
          <tpl hier="11" item="0"/>
          <tpl fld="0" item="0"/>
        </tpls>
      </n>
      <n v="-6065" in="0">
        <tpls c="5">
          <tpl fld="1" item="3"/>
          <tpl fld="2" item="13"/>
          <tpl hier="10" item="7"/>
          <tpl hier="11" item="0"/>
          <tpl fld="0" item="1"/>
        </tpls>
      </n>
      <n v="-232509" in="0">
        <tpls c="5">
          <tpl fld="1" item="11"/>
          <tpl fld="2" item="0"/>
          <tpl hier="10" item="7"/>
          <tpl hier="11" item="0"/>
          <tpl fld="0" item="1"/>
        </tpls>
      </n>
      <m in="0">
        <tpls c="5">
          <tpl fld="1" item="11"/>
          <tpl fld="2" item="14"/>
          <tpl hier="10" item="7"/>
          <tpl hier="11" item="0"/>
          <tpl fld="0" item="0"/>
        </tpls>
      </m>
      <n v="-2268543" in="0">
        <tpls c="4">
          <tpl fld="2" item="0"/>
          <tpl hier="10" item="7"/>
          <tpl hier="11" item="0"/>
          <tpl fld="0" item="1"/>
        </tpls>
      </n>
      <n v="-347955.5" in="0">
        <tpls c="5">
          <tpl fld="1" item="6"/>
          <tpl hier="9" item="4294967295"/>
          <tpl hier="10" item="7"/>
          <tpl hier="11" item="0"/>
          <tpl fld="0" item="0"/>
        </tpls>
      </n>
      <n v="-42184" in="0">
        <tpls c="4">
          <tpl fld="2" item="15"/>
          <tpl hier="10" item="7"/>
          <tpl hier="11" item="0"/>
          <tpl fld="0" item="1"/>
        </tpls>
      </n>
      <m in="0">
        <tpls c="5">
          <tpl fld="1" item="0"/>
          <tpl fld="2" item="9"/>
          <tpl hier="10" item="7"/>
          <tpl hier="11" item="0"/>
          <tpl fld="0" item="0"/>
        </tpls>
      </m>
      <m in="0">
        <tpls c="4">
          <tpl fld="2" item="4"/>
          <tpl hier="10" item="7"/>
          <tpl hier="11" item="0"/>
          <tpl fld="0" item="1"/>
        </tpls>
      </m>
      <n v="-7155" in="0">
        <tpls c="5">
          <tpl fld="1" item="8"/>
          <tpl fld="2" item="15"/>
          <tpl hier="10" item="7"/>
          <tpl hier="11" item="0"/>
          <tpl fld="0" item="0"/>
        </tpls>
      </n>
      <m in="0">
        <tpls c="5">
          <tpl fld="1" item="3"/>
          <tpl fld="2" item="8"/>
          <tpl hier="10" item="7"/>
          <tpl hier="11" item="0"/>
          <tpl fld="0" item="0"/>
        </tpls>
      </m>
      <n v="-548.75" in="0">
        <tpls c="5">
          <tpl fld="1" item="3"/>
          <tpl fld="2" item="11"/>
          <tpl hier="10" item="7"/>
          <tpl hier="11" item="0"/>
          <tpl fld="0" item="0"/>
        </tpls>
      </n>
      <m in="0">
        <tpls c="5">
          <tpl fld="1" item="11"/>
          <tpl fld="2" item="14"/>
          <tpl hier="10" item="7"/>
          <tpl hier="11" item="0"/>
          <tpl fld="0" item="1"/>
        </tpls>
      </m>
      <n v="-3504" in="0">
        <tpls c="5">
          <tpl fld="1" item="8"/>
          <tpl fld="2" item="15"/>
          <tpl hier="10" item="7"/>
          <tpl hier="11" item="0"/>
          <tpl fld="0" item="1"/>
        </tpls>
      </n>
      <n v="-1720" in="0">
        <tpls c="5">
          <tpl fld="1" item="3"/>
          <tpl fld="2" item="1"/>
          <tpl hier="10" item="7"/>
          <tpl hier="11" item="0"/>
          <tpl fld="0" item="1"/>
        </tpls>
      </n>
      <n v="-1750" in="0">
        <tpls c="5">
          <tpl fld="1" item="9"/>
          <tpl fld="2" item="1"/>
          <tpl hier="10" item="7"/>
          <tpl hier="11" item="0"/>
          <tpl fld="0" item="1"/>
        </tpls>
      </n>
      <n v="-3726" in="0">
        <tpls c="5">
          <tpl fld="1" item="9"/>
          <tpl fld="2" item="12"/>
          <tpl hier="10" item="7"/>
          <tpl hier="11" item="0"/>
          <tpl fld="0" item="1"/>
        </tpls>
      </n>
      <m in="0">
        <tpls c="5">
          <tpl fld="1" item="10"/>
          <tpl fld="2" item="14"/>
          <tpl hier="10" item="7"/>
          <tpl hier="11" item="0"/>
          <tpl fld="0" item="0"/>
        </tpls>
      </m>
      <n v="-5368" in="0">
        <tpls c="5">
          <tpl fld="1" item="0"/>
          <tpl fld="2" item="12"/>
          <tpl hier="10" item="7"/>
          <tpl hier="11" item="0"/>
          <tpl fld="0" item="0"/>
        </tpls>
      </n>
      <n v="-696" in="0">
        <tpls c="5">
          <tpl fld="1" item="7"/>
          <tpl fld="2" item="5"/>
          <tpl hier="10" item="7"/>
          <tpl hier="11" item="0"/>
          <tpl fld="0" item="1"/>
        </tpls>
      </n>
      <n v="-4051" in="0">
        <tpls c="5">
          <tpl fld="1" item="11"/>
          <tpl fld="2" item="1"/>
          <tpl hier="10" item="7"/>
          <tpl hier="11" item="0"/>
          <tpl fld="0" item="0"/>
        </tpls>
      </n>
      <n v="-4966.75" in="0">
        <tpls c="5">
          <tpl fld="1" item="2"/>
          <tpl fld="2" item="12"/>
          <tpl hier="10" item="7"/>
          <tpl hier="11" item="0"/>
          <tpl fld="0" item="0"/>
        </tpls>
      </n>
      <m in="0">
        <tpls c="5">
          <tpl fld="1" item="8"/>
          <tpl fld="2" item="14"/>
          <tpl hier="10" item="7"/>
          <tpl hier="11" item="0"/>
          <tpl fld="0" item="0"/>
        </tpls>
      </m>
      <n v="-5465" in="0">
        <tpls c="5">
          <tpl fld="1" item="7"/>
          <tpl fld="2" item="15"/>
          <tpl hier="10" item="7"/>
          <tpl hier="11" item="0"/>
          <tpl fld="0" item="1"/>
        </tpls>
      </n>
      <m in="0">
        <tpls c="5">
          <tpl fld="1" item="2"/>
          <tpl fld="2" item="8"/>
          <tpl hier="10" item="7"/>
          <tpl hier="11" item="0"/>
          <tpl fld="0" item="0"/>
        </tpls>
      </m>
      <n v="-191221.25" in="0">
        <tpls c="5">
          <tpl fld="1" item="3"/>
          <tpl fld="2" item="0"/>
          <tpl hier="10" item="7"/>
          <tpl hier="11" item="0"/>
          <tpl fld="0" item="0"/>
        </tpls>
      </n>
      <m in="0">
        <tpls c="5">
          <tpl fld="1" item="8"/>
          <tpl fld="2" item="8"/>
          <tpl hier="10" item="7"/>
          <tpl hier="11" item="0"/>
          <tpl fld="0" item="1"/>
        </tpls>
      </m>
      <n v="-5598" in="0">
        <tpls c="5">
          <tpl fld="1" item="5"/>
          <tpl fld="2" item="12"/>
          <tpl hier="10" item="7"/>
          <tpl hier="11" item="0"/>
          <tpl fld="0" item="1"/>
        </tpls>
      </n>
      <m in="0">
        <tpls c="5">
          <tpl fld="1" item="8"/>
          <tpl fld="2" item="14"/>
          <tpl hier="10" item="7"/>
          <tpl hier="11" item="0"/>
          <tpl fld="0" item="1"/>
        </tpls>
      </m>
      <n v="-5956.75" in="0">
        <tpls c="5">
          <tpl fld="1" item="6"/>
          <tpl fld="2" item="15"/>
          <tpl hier="10" item="7"/>
          <tpl hier="11" item="0"/>
          <tpl fld="0" item="0"/>
        </tpls>
      </n>
      <n v="-18513" in="0">
        <tpls c="5">
          <tpl fld="1" item="10"/>
          <tpl fld="2" item="6"/>
          <tpl hier="10" item="7"/>
          <tpl hier="11" item="0"/>
          <tpl fld="0" item="0"/>
        </tpls>
      </n>
      <m in="0">
        <tpls c="5">
          <tpl fld="1" item="11"/>
          <tpl fld="2" item="4"/>
          <tpl hier="10" item="7"/>
          <tpl hier="11" item="0"/>
          <tpl fld="0" item="0"/>
        </tpls>
      </m>
      <n v="-257723" in="0">
        <tpls c="5">
          <tpl fld="1" item="0"/>
          <tpl fld="2" item="0"/>
          <tpl hier="10" item="7"/>
          <tpl hier="11" item="0"/>
          <tpl fld="0" item="1"/>
        </tpls>
      </n>
      <m in="0">
        <tpls c="5">
          <tpl fld="1" item="1"/>
          <tpl fld="2" item="2"/>
          <tpl hier="10" item="7"/>
          <tpl hier="11" item="0"/>
          <tpl fld="0" item="1"/>
        </tpls>
      </m>
      <n v="-5656" in="0">
        <tpls c="5">
          <tpl fld="1" item="11"/>
          <tpl fld="2" item="10"/>
          <tpl hier="10" item="7"/>
          <tpl hier="11" item="0"/>
          <tpl fld="0" item="1"/>
        </tpls>
      </n>
      <n v="-269369" in="0">
        <tpls c="5">
          <tpl fld="1" item="11"/>
          <tpl hier="9" item="4294967295"/>
          <tpl hier="10" item="7"/>
          <tpl hier="11" item="0"/>
          <tpl fld="0" item="1"/>
        </tpls>
      </n>
      <n v="-2479.75" in="0">
        <tpls c="5">
          <tpl fld="1" item="8"/>
          <tpl fld="2" item="3"/>
          <tpl hier="10" item="7"/>
          <tpl hier="11" item="0"/>
          <tpl fld="0" item="0"/>
        </tpls>
      </n>
      <m in="0">
        <tpls c="5">
          <tpl fld="1" item="10"/>
          <tpl fld="2" item="7"/>
          <tpl hier="10" item="7"/>
          <tpl hier="11" item="0"/>
          <tpl fld="0" item="1"/>
        </tpls>
      </m>
      <n v="-11801.5" in="0">
        <tpls c="5">
          <tpl fld="1" item="10"/>
          <tpl fld="2" item="10"/>
          <tpl hier="10" item="7"/>
          <tpl hier="11" item="0"/>
          <tpl fld="0" item="0"/>
        </tpls>
      </n>
      <n v="-192807" in="0">
        <tpls c="5">
          <tpl fld="1" item="11"/>
          <tpl fld="2" item="0"/>
          <tpl hier="10" item="7"/>
          <tpl hier="11" item="0"/>
          <tpl fld="0" item="0"/>
        </tpls>
      </n>
      <m in="0">
        <tpls c="5">
          <tpl fld="1" item="3"/>
          <tpl fld="2" item="4"/>
          <tpl hier="10" item="7"/>
          <tpl hier="11" item="0"/>
          <tpl fld="0" item="1"/>
        </tpls>
      </m>
      <n v="-8339" in="0">
        <tpls c="5">
          <tpl fld="1" item="10"/>
          <tpl fld="2" item="13"/>
          <tpl hier="10" item="7"/>
          <tpl hier="11" item="0"/>
          <tpl fld="0" item="1"/>
        </tpls>
      </n>
      <n v="-1237" in="0">
        <tpls c="5">
          <tpl fld="1" item="5"/>
          <tpl fld="2" item="3"/>
          <tpl hier="10" item="7"/>
          <tpl hier="11" item="0"/>
          <tpl fld="0" item="1"/>
        </tpls>
      </n>
      <n v="-6753" in="0">
        <tpls c="5">
          <tpl fld="1" item="8"/>
          <tpl fld="2" item="13"/>
          <tpl hier="10" item="7"/>
          <tpl hier="11" item="0"/>
          <tpl fld="0" item="0"/>
        </tpls>
      </n>
      <m in="0">
        <tpls c="5">
          <tpl fld="1" item="0"/>
          <tpl fld="2" item="2"/>
          <tpl hier="10" item="7"/>
          <tpl hier="11" item="0"/>
          <tpl fld="0" item="1"/>
        </tpls>
      </m>
      <m in="0">
        <tpls c="5">
          <tpl fld="1" item="6"/>
          <tpl fld="2" item="2"/>
          <tpl hier="10" item="7"/>
          <tpl hier="11" item="0"/>
          <tpl fld="0" item="0"/>
        </tpls>
      </m>
      <n v="-17301" in="0">
        <tpls c="5">
          <tpl fld="1" item="8"/>
          <tpl fld="2" item="10"/>
          <tpl hier="10" item="7"/>
          <tpl hier="11" item="0"/>
          <tpl fld="0" item="1"/>
        </tpls>
      </n>
      <m in="0">
        <tpls c="5">
          <tpl fld="1" item="0"/>
          <tpl fld="2" item="2"/>
          <tpl hier="10" item="7"/>
          <tpl hier="11" item="0"/>
          <tpl fld="0" item="0"/>
        </tpls>
      </m>
      <n v="-4700" in="0">
        <tpls c="5">
          <tpl fld="1" item="6"/>
          <tpl fld="2" item="13"/>
          <tpl hier="10" item="7"/>
          <tpl hier="11" item="0"/>
          <tpl fld="0" item="0"/>
        </tpls>
      </n>
      <m in="0">
        <tpls c="5">
          <tpl fld="1" item="10"/>
          <tpl fld="2" item="9"/>
          <tpl hier="10" item="7"/>
          <tpl hier="11" item="0"/>
          <tpl fld="0" item="0"/>
        </tpls>
      </m>
      <n v="-1720" in="0">
        <tpls c="5">
          <tpl fld="1" item="10"/>
          <tpl fld="2" item="1"/>
          <tpl hier="10" item="7"/>
          <tpl hier="11" item="0"/>
          <tpl fld="0" item="1"/>
        </tpls>
      </n>
      <m in="0">
        <tpls c="5">
          <tpl fld="1" item="8"/>
          <tpl fld="2" item="7"/>
          <tpl hier="10" item="7"/>
          <tpl hier="11" item="0"/>
          <tpl fld="0" item="1"/>
        </tpls>
      </m>
      <n v="-17168" in="0">
        <tpls c="5">
          <tpl fld="1" item="5"/>
          <tpl fld="2" item="6"/>
          <tpl hier="10" item="7"/>
          <tpl hier="11" item="0"/>
          <tpl fld="0" item="0"/>
        </tpls>
      </n>
      <m in="0">
        <tpls c="5">
          <tpl fld="1" item="4"/>
          <tpl fld="2" item="8"/>
          <tpl hier="10" item="7"/>
          <tpl hier="11" item="0"/>
          <tpl fld="0" item="0"/>
        </tpls>
      </m>
      <n v="-1476.25" in="0">
        <tpls c="5">
          <tpl fld="1" item="9"/>
          <tpl fld="2" item="5"/>
          <tpl hier="10" item="7"/>
          <tpl hier="11" item="0"/>
          <tpl fld="0" item="0"/>
        </tpls>
      </n>
      <n v="-287252" in="0">
        <tpls c="5">
          <tpl fld="1" item="10"/>
          <tpl hier="9" item="4294967295"/>
          <tpl hier="10" item="7"/>
          <tpl hier="11" item="0"/>
          <tpl fld="0" item="1"/>
        </tpls>
      </n>
      <n v="-4390.25" in="0">
        <tpls c="5">
          <tpl fld="1" item="9"/>
          <tpl fld="2" item="12"/>
          <tpl hier="10" item="7"/>
          <tpl hier="11" item="0"/>
          <tpl fld="0" item="0"/>
        </tpls>
      </n>
      <m in="0">
        <tpls c="5">
          <tpl fld="1" item="5"/>
          <tpl fld="2" item="2"/>
          <tpl hier="10" item="7"/>
          <tpl hier="11" item="0"/>
          <tpl fld="0" item="0"/>
        </tpls>
      </m>
      <m in="0">
        <tpls c="5">
          <tpl fld="1" item="7"/>
          <tpl fld="2" item="4"/>
          <tpl hier="10" item="7"/>
          <tpl hier="11" item="0"/>
          <tpl fld="0" item="0"/>
        </tpls>
      </m>
      <n v="-16113" in="0">
        <tpls c="5">
          <tpl fld="1" item="3"/>
          <tpl fld="2" item="6"/>
          <tpl hier="10" item="7"/>
          <tpl hier="11" item="0"/>
          <tpl fld="0" item="0"/>
        </tpls>
      </n>
      <n v="-4447" in="0">
        <tpls c="5">
          <tpl fld="1" item="4"/>
          <tpl fld="2" item="13"/>
          <tpl hier="10" item="7"/>
          <tpl hier="11" item="0"/>
          <tpl fld="0" item="1"/>
        </tpls>
      </n>
      <n v="-2779" in="0">
        <tpls c="5">
          <tpl fld="1" item="9"/>
          <tpl fld="2" item="15"/>
          <tpl hier="10" item="7"/>
          <tpl hier="11" item="0"/>
          <tpl fld="0" item="1"/>
        </tpls>
      </n>
      <n v="-2374.5" in="0">
        <tpls c="5">
          <tpl fld="1" item="1"/>
          <tpl fld="2" item="3"/>
          <tpl hier="10" item="7"/>
          <tpl hier="11" item="0"/>
          <tpl fld="0" item="0"/>
        </tpls>
      </n>
      <m in="0">
        <tpls c="5">
          <tpl fld="1" item="7"/>
          <tpl fld="2" item="8"/>
          <tpl hier="10" item="7"/>
          <tpl hier="11" item="0"/>
          <tpl fld="0" item="0"/>
        </tpls>
      </m>
      <n v="-14459" in="0">
        <tpls c="4">
          <tpl fld="2" item="5"/>
          <tpl hier="10" item="7"/>
          <tpl hier="11" item="0"/>
          <tpl fld="0" item="0"/>
        </tpls>
      </n>
      <n v="-12465.25" in="0">
        <tpls c="5">
          <tpl fld="1" item="1"/>
          <tpl fld="2" item="10"/>
          <tpl hier="10" item="7"/>
          <tpl hier="11" item="0"/>
          <tpl fld="0" item="0"/>
        </tpls>
      </n>
      <n v="-224812" in="0">
        <tpls c="5">
          <tpl fld="1" item="10"/>
          <tpl fld="2" item="0"/>
          <tpl hier="10" item="7"/>
          <tpl hier="11" item="0"/>
          <tpl fld="0" item="1"/>
        </tpls>
      </n>
      <n v="-6984" in="0">
        <tpls c="5">
          <tpl fld="1" item="3"/>
          <tpl fld="2" item="12"/>
          <tpl hier="10" item="7"/>
          <tpl hier="11" item="0"/>
          <tpl fld="0" item="1"/>
        </tpls>
      </n>
      <m in="0">
        <tpls c="4">
          <tpl fld="2" item="9"/>
          <tpl hier="10" item="7"/>
          <tpl hier="11" item="0"/>
          <tpl fld="0" item="0"/>
        </tpls>
      </m>
      <n v="-4371" in="0">
        <tpls c="5">
          <tpl fld="1" item="2"/>
          <tpl fld="2" item="1"/>
          <tpl hier="10" item="7"/>
          <tpl hier="11" item="0"/>
          <tpl fld="0" item="0"/>
        </tpls>
      </n>
      <m in="0">
        <tpls c="4">
          <tpl fld="2" item="14"/>
          <tpl hier="10" item="7"/>
          <tpl hier="11" item="0"/>
          <tpl fld="0" item="0"/>
        </tpls>
      </m>
      <n v="-9836" in="0">
        <tpls c="5">
          <tpl fld="1" item="2"/>
          <tpl fld="2" item="10"/>
          <tpl hier="10" item="7"/>
          <tpl hier="11" item="0"/>
          <tpl fld="0" item="1"/>
        </tpls>
      </n>
      <m in="0">
        <tpls c="5">
          <tpl fld="1" item="6"/>
          <tpl fld="2" item="8"/>
          <tpl hier="10" item="7"/>
          <tpl hier="11" item="0"/>
          <tpl fld="0" item="1"/>
        </tpls>
      </m>
      <n v="-53906.5" in="0">
        <tpls c="4">
          <tpl fld="2" item="1"/>
          <tpl hier="10" item="7"/>
          <tpl hier="11" item="0"/>
          <tpl fld="0" item="0"/>
        </tpls>
      </n>
      <n v="-7576" in="0">
        <tpls c="5">
          <tpl fld="1" item="8"/>
          <tpl fld="2" item="6"/>
          <tpl hier="10" item="7"/>
          <tpl hier="11" item="0"/>
          <tpl fld="0" item="1"/>
        </tpls>
      </n>
      <m in="0">
        <tpls c="4">
          <tpl fld="2" item="8"/>
          <tpl hier="10" item="7"/>
          <tpl hier="11" item="0"/>
          <tpl fld="0" item="0"/>
        </tpls>
      </m>
      <n v="-533817" in="0">
        <tpls c="5">
          <tpl fld="1" item="1"/>
          <tpl hier="9" item="4294967295"/>
          <tpl hier="10" item="7"/>
          <tpl hier="11" item="0"/>
          <tpl fld="0" item="1"/>
        </tpls>
      </n>
      <m in="0">
        <tpls c="5">
          <tpl fld="1" item="8"/>
          <tpl fld="2" item="4"/>
          <tpl hier="10" item="7"/>
          <tpl hier="11" item="0"/>
          <tpl fld="0" item="0"/>
        </tpls>
      </m>
      <m in="0">
        <tpls c="5">
          <tpl fld="1" item="4"/>
          <tpl fld="2" item="8"/>
          <tpl hier="10" item="7"/>
          <tpl hier="11" item="0"/>
          <tpl fld="0" item="1"/>
        </tpls>
      </m>
      <n v="-17308" in="0">
        <tpls c="5">
          <tpl fld="1" item="7"/>
          <tpl fld="2" item="10"/>
          <tpl hier="10" item="7"/>
          <tpl hier="11" item="0"/>
          <tpl fld="0" item="0"/>
        </tpls>
      </n>
      <n v="-5290" in="0">
        <tpls c="5">
          <tpl fld="1" item="1"/>
          <tpl fld="2" item="15"/>
          <tpl hier="10" item="7"/>
          <tpl hier="11" item="0"/>
          <tpl fld="0" item="0"/>
        </tpls>
      </n>
      <n v="-1035" in="0">
        <tpls c="5">
          <tpl fld="1" item="2"/>
          <tpl fld="2" item="5"/>
          <tpl hier="10" item="7"/>
          <tpl hier="11" item="0"/>
          <tpl fld="0" item="0"/>
        </tpls>
      </n>
      <n v="-333934.25" in="0">
        <tpls c="5">
          <tpl fld="1" item="10"/>
          <tpl hier="9" item="4294967295"/>
          <tpl hier="10" item="7"/>
          <tpl hier="11" item="0"/>
          <tpl fld="0" item="0"/>
        </tpls>
      </n>
      <n v="-596" in="0">
        <tpls c="5">
          <tpl fld="1" item="2"/>
          <tpl fld="2" item="5"/>
          <tpl hier="10" item="7"/>
          <tpl hier="11" item="0"/>
          <tpl fld="0" item="1"/>
        </tpls>
      </n>
      <n v="-7521" in="0">
        <tpls c="5">
          <tpl fld="1" item="8"/>
          <tpl fld="2" item="13"/>
          <tpl hier="10" item="7"/>
          <tpl hier="11" item="0"/>
          <tpl fld="0" item="1"/>
        </tpls>
      </n>
      <n v="-2631" in="0">
        <tpls c="5">
          <tpl fld="1" item="6"/>
          <tpl fld="2" item="15"/>
          <tpl hier="10" item="7"/>
          <tpl hier="11" item="0"/>
          <tpl fld="0" item="1"/>
        </tpls>
      </n>
      <n v="-1976" in="0">
        <tpls c="5">
          <tpl fld="1" item="7"/>
          <tpl fld="2" item="3"/>
          <tpl hier="10" item="7"/>
          <tpl hier="11" item="0"/>
          <tpl fld="0" item="1"/>
        </tpls>
      </n>
      <m in="0">
        <tpls c="5">
          <tpl fld="1" item="9"/>
          <tpl fld="2" item="14"/>
          <tpl hier="10" item="7"/>
          <tpl hier="11" item="0"/>
          <tpl fld="0" item="1"/>
        </tpls>
      </m>
      <m in="0">
        <tpls c="5">
          <tpl fld="1" item="7"/>
          <tpl fld="2" item="2"/>
          <tpl hier="10" item="7"/>
          <tpl hier="11" item="0"/>
          <tpl fld="0" item="0"/>
        </tpls>
      </m>
      <m in="0">
        <tpls c="4">
          <tpl fld="2" item="2"/>
          <tpl hier="10" item="7"/>
          <tpl hier="11" item="0"/>
          <tpl fld="0" item="1"/>
        </tpls>
      </m>
      <n v="-5772.25" in="0">
        <tpls c="5">
          <tpl fld="1" item="7"/>
          <tpl fld="2" item="15"/>
          <tpl hier="10" item="7"/>
          <tpl hier="11" item="0"/>
          <tpl fld="0" item="0"/>
        </tpls>
      </n>
      <n v="-261651" in="0">
        <tpls c="5">
          <tpl fld="1" item="0"/>
          <tpl fld="2" item="0"/>
          <tpl hier="10" item="7"/>
          <tpl hier="11" item="0"/>
          <tpl fld="0" item="0"/>
        </tpls>
      </n>
      <m in="0">
        <tpls c="5">
          <tpl fld="1" item="4"/>
          <tpl fld="2" item="7"/>
          <tpl hier="10" item="7"/>
          <tpl hier="11" item="0"/>
          <tpl fld="0" item="1"/>
        </tpls>
      </m>
      <n v="-1730" in="0">
        <tpls c="5">
          <tpl fld="1" item="0"/>
          <tpl fld="2" item="1"/>
          <tpl hier="10" item="7"/>
          <tpl hier="11" item="0"/>
          <tpl fld="0" item="1"/>
        </tpls>
      </n>
      <n v="-7618" in="0">
        <tpls c="5">
          <tpl fld="1" item="9"/>
          <tpl fld="2" item="6"/>
          <tpl hier="10" item="7"/>
          <tpl hier="11" item="0"/>
          <tpl fld="0" item="1"/>
        </tpls>
      </n>
      <n v="-17698" in="0">
        <tpls c="5">
          <tpl fld="1" item="10"/>
          <tpl fld="2" item="10"/>
          <tpl hier="10" item="7"/>
          <tpl hier="11" item="0"/>
          <tpl fld="0" item="1"/>
        </tpls>
      </n>
      <n v="-5149.5" in="0">
        <tpls c="5">
          <tpl fld="1" item="0"/>
          <tpl fld="2" item="1"/>
          <tpl hier="10" item="7"/>
          <tpl hier="11" item="0"/>
          <tpl fld="0" item="0"/>
        </tpls>
      </n>
      <n v="-4519.25" in="0">
        <tpls c="5">
          <tpl fld="1" item="1"/>
          <tpl fld="2" item="1"/>
          <tpl hier="10" item="7"/>
          <tpl hier="11" item="0"/>
          <tpl fld="0" item="0"/>
        </tpls>
      </n>
      <n v="-3835" in="0">
        <tpls c="5">
          <tpl fld="1" item="1"/>
          <tpl fld="2" item="12"/>
          <tpl hier="10" item="7"/>
          <tpl hier="11" item="0"/>
          <tpl fld="0" item="1"/>
        </tpls>
      </n>
      <n v="-246487.25" in="0">
        <tpls c="5">
          <tpl fld="1" item="7"/>
          <tpl fld="2" item="0"/>
          <tpl hier="10" item="7"/>
          <tpl hier="11" item="0"/>
          <tpl fld="0" item="0"/>
        </tpls>
      </n>
      <m in="0">
        <tpls c="5">
          <tpl fld="1" item="9"/>
          <tpl fld="2" item="4"/>
          <tpl hier="10" item="7"/>
          <tpl hier="11" item="0"/>
          <tpl fld="0" item="1"/>
        </tpls>
      </m>
      <n v="-12722" in="0">
        <tpls c="5">
          <tpl fld="1" item="3"/>
          <tpl fld="2" item="10"/>
          <tpl hier="10" item="7"/>
          <tpl hier="11" item="0"/>
          <tpl fld="0" item="1"/>
        </tpls>
      </n>
      <m in="0">
        <tpls c="5">
          <tpl fld="1" item="2"/>
          <tpl fld="2" item="4"/>
          <tpl hier="10" item="7"/>
          <tpl hier="11" item="0"/>
          <tpl fld="0" item="0"/>
        </tpls>
      </m>
      <n v="-270305" in="0">
        <tpls c="5">
          <tpl fld="1" item="1"/>
          <tpl hier="9" item="4294967295"/>
          <tpl hier="10" item="7"/>
          <tpl hier="11" item="0"/>
          <tpl fld="0" item="0"/>
        </tpls>
      </n>
      <m in="0">
        <tpls c="5">
          <tpl fld="1" item="11"/>
          <tpl fld="2" item="8"/>
          <tpl hier="10" item="7"/>
          <tpl hier="11" item="0"/>
          <tpl fld="0" item="1"/>
        </tpls>
      </m>
      <n v="-23531" in="0">
        <tpls c="5">
          <tpl fld="1" item="1"/>
          <tpl fld="2" item="6"/>
          <tpl hier="10" item="7"/>
          <tpl hier="11" item="0"/>
          <tpl fld="0" item="1"/>
        </tpls>
      </n>
      <m in="0">
        <tpls c="5">
          <tpl fld="1" item="0"/>
          <tpl fld="2" item="7"/>
          <tpl hier="10" item="7"/>
          <tpl hier="11" item="0"/>
          <tpl fld="0" item="1"/>
        </tpls>
      </m>
      <n v="-1340.25" in="0">
        <tpls c="5">
          <tpl fld="1" item="1"/>
          <tpl fld="2" item="5"/>
          <tpl hier="10" item="7"/>
          <tpl hier="11" item="0"/>
          <tpl fld="0" item="0"/>
        </tpls>
      </n>
      <m in="0">
        <tpls c="5">
          <tpl fld="1" item="0"/>
          <tpl fld="2" item="7"/>
          <tpl hier="10" item="7"/>
          <tpl hier="11" item="0"/>
          <tpl fld="0" item="0"/>
        </tpls>
      </m>
      <m in="0">
        <tpls c="5">
          <tpl fld="1" item="7"/>
          <tpl fld="2" item="2"/>
          <tpl hier="10" item="7"/>
          <tpl hier="11" item="0"/>
          <tpl fld="0" item="1"/>
        </tpls>
      </m>
      <n v="-226918" in="0">
        <tpls c="5">
          <tpl fld="1" item="8"/>
          <tpl hier="9" item="4294967295"/>
          <tpl hier="10" item="7"/>
          <tpl hier="11" item="0"/>
          <tpl fld="0" item="1"/>
        </tpls>
      </n>
      <m in="0">
        <tpls c="5">
          <tpl fld="1" item="1"/>
          <tpl fld="2" item="9"/>
          <tpl hier="10" item="7"/>
          <tpl hier="11" item="0"/>
          <tpl fld="0" item="0"/>
        </tpls>
      </m>
      <m in="0">
        <tpls c="5">
          <tpl fld="1" item="2"/>
          <tpl fld="2" item="7"/>
          <tpl hier="10" item="7"/>
          <tpl hier="11" item="0"/>
          <tpl fld="0" item="1"/>
        </tpls>
      </m>
      <m in="0">
        <tpls c="5">
          <tpl fld="1" item="8"/>
          <tpl fld="2" item="2"/>
          <tpl hier="10" item="7"/>
          <tpl hier="11" item="0"/>
          <tpl fld="0" item="0"/>
        </tpls>
      </m>
      <n v="-1689" in="0">
        <tpls c="5">
          <tpl fld="1" item="6"/>
          <tpl fld="2" item="5"/>
          <tpl hier="10" item="7"/>
          <tpl hier="11" item="0"/>
          <tpl fld="0" item="1"/>
        </tpls>
      </n>
      <m in="0">
        <tpls c="5">
          <tpl fld="1" item="8"/>
          <tpl fld="2" item="7"/>
          <tpl hier="10" item="7"/>
          <tpl hier="11" item="0"/>
          <tpl fld="0" item="0"/>
        </tpls>
      </m>
      <n v="-3607.75" in="0">
        <tpls c="5">
          <tpl fld="1" item="4"/>
          <tpl fld="2" item="12"/>
          <tpl hier="10" item="7"/>
          <tpl hier="11" item="0"/>
          <tpl fld="0" item="0"/>
        </tpls>
      </n>
      <m in="0">
        <tpls c="5">
          <tpl fld="1" item="7"/>
          <tpl fld="2" item="7"/>
          <tpl hier="10" item="7"/>
          <tpl hier="11" item="0"/>
          <tpl fld="0" item="0"/>
        </tpls>
      </m>
      <n v="-1750" in="0">
        <tpls c="5">
          <tpl fld="1" item="4"/>
          <tpl fld="2" item="1"/>
          <tpl hier="10" item="7"/>
          <tpl hier="11" item="0"/>
          <tpl fld="0" item="1"/>
        </tpls>
      </n>
      <n v="-725.5" in="0">
        <tpls c="5">
          <tpl fld="1" item="6"/>
          <tpl fld="2" item="11"/>
          <tpl hier="10" item="7"/>
          <tpl hier="11" item="0"/>
          <tpl fld="0" item="0"/>
        </tpls>
      </n>
      <n v="-5129.5" in="0">
        <tpls c="5">
          <tpl fld="1" item="2"/>
          <tpl fld="2" item="13"/>
          <tpl hier="10" item="7"/>
          <tpl hier="11" item="0"/>
          <tpl fld="0" item="0"/>
        </tpls>
      </n>
      <n v="-928.5" in="0">
        <tpls c="5">
          <tpl fld="1" item="4"/>
          <tpl fld="2" item="5"/>
          <tpl hier="10" item="7"/>
          <tpl hier="11" item="0"/>
          <tpl fld="0" item="0"/>
        </tpls>
      </n>
      <m in="0">
        <tpls c="5">
          <tpl fld="1" item="10"/>
          <tpl fld="2" item="14"/>
          <tpl hier="10" item="7"/>
          <tpl hier="11" item="0"/>
          <tpl fld="0" item="1"/>
        </tpls>
      </m>
      <n v="-197904" in="0">
        <tpls c="4">
          <tpl fld="2" item="6"/>
          <tpl hier="10" item="7"/>
          <tpl hier="11" item="0"/>
          <tpl fld="0" item="1"/>
        </tpls>
      </n>
      <n v="-77052" in="0">
        <tpls c="5">
          <tpl fld="1" item="6"/>
          <tpl hier="9" item="4294967295"/>
          <tpl hier="10" item="7"/>
          <tpl hier="11" item="0"/>
          <tpl fld="0" item="1"/>
        </tpls>
      </n>
      <n v="-5577.5" in="0">
        <tpls c="5">
          <tpl fld="1" item="11"/>
          <tpl fld="2" item="15"/>
          <tpl hier="10" item="7"/>
          <tpl hier="11" item="0"/>
          <tpl fld="0" item="0"/>
        </tpls>
      </n>
      <n v="-13330" in="0">
        <tpls c="5">
          <tpl fld="1" item="0"/>
          <tpl fld="2" item="10"/>
          <tpl hier="10" item="7"/>
          <tpl hier="11" item="0"/>
          <tpl fld="0" item="1"/>
        </tpls>
      </n>
      <n v="-5074.75" in="0">
        <tpls c="5">
          <tpl fld="1" item="7"/>
          <tpl fld="2" item="1"/>
          <tpl hier="10" item="7"/>
          <tpl hier="11" item="0"/>
          <tpl fld="0" item="0"/>
        </tpls>
      </n>
      <n v="-2266" in="0">
        <tpls c="5">
          <tpl fld="1" item="4"/>
          <tpl fld="2" item="3"/>
          <tpl hier="10" item="7"/>
          <tpl hier="11" item="0"/>
          <tpl fld="0" item="1"/>
        </tpls>
      </n>
      <m in="0">
        <tpls c="5">
          <tpl fld="1" item="6"/>
          <tpl fld="2" item="7"/>
          <tpl hier="10" item="7"/>
          <tpl hier="11" item="0"/>
          <tpl fld="0" item="0"/>
        </tpls>
      </m>
      <n v="-5622.25" in="0">
        <tpls c="5">
          <tpl fld="1" item="1"/>
          <tpl fld="2" item="13"/>
          <tpl hier="10" item="7"/>
          <tpl hier="11" item="0"/>
          <tpl fld="0" item="0"/>
        </tpls>
      </n>
      <m in="0">
        <tpls c="5">
          <tpl fld="1" item="4"/>
          <tpl fld="2" item="14"/>
          <tpl hier="10" item="7"/>
          <tpl hier="11" item="0"/>
          <tpl fld="0" item="1"/>
        </tpls>
      </m>
      <n v="-2831710" in="0">
        <tpls c="4">
          <tpl hier="9" item="4294967295"/>
          <tpl hier="10" item="7"/>
          <tpl hier="11" item="0"/>
          <tpl fld="0" item="1"/>
        </tpls>
      </n>
      <n v="-315" in="0">
        <tpls c="5">
          <tpl fld="1" item="0"/>
          <tpl fld="2" item="11"/>
          <tpl hier="10" item="7"/>
          <tpl hier="11" item="0"/>
          <tpl fld="0" item="1"/>
        </tpls>
      </n>
      <m in="0">
        <tpls c="5">
          <tpl fld="1" item="2"/>
          <tpl fld="2" item="7"/>
          <tpl hier="10" item="7"/>
          <tpl hier="11" item="0"/>
          <tpl fld="0" item="0"/>
        </tpls>
      </m>
      <n v="-13011" in="0">
        <tpls c="5">
          <tpl fld="1" item="4"/>
          <tpl fld="2" item="10"/>
          <tpl hier="10" item="7"/>
          <tpl hier="11" item="0"/>
          <tpl fld="0" item="1"/>
        </tpls>
      </n>
      <n v="-7935" in="0">
        <tpls c="5">
          <tpl fld="1" item="11"/>
          <tpl fld="2" item="12"/>
          <tpl hier="10" item="7"/>
          <tpl hier="11" item="0"/>
          <tpl fld="0" item="1"/>
        </tpls>
      </n>
      <m in="0">
        <tpls c="5">
          <tpl fld="1" item="6"/>
          <tpl fld="2" item="7"/>
          <tpl hier="10" item="7"/>
          <tpl hier="11" item="0"/>
          <tpl fld="0" item="1"/>
        </tpls>
      </m>
      <n v="-5563" in="0">
        <tpls c="4">
          <tpl fld="2" item="11"/>
          <tpl hier="10" item="7"/>
          <tpl hier="11" item="0"/>
          <tpl fld="0" item="1"/>
        </tpls>
      </n>
      <n v="-12959" in="0">
        <tpls c="5">
          <tpl fld="1" item="4"/>
          <tpl fld="2" item="10"/>
          <tpl hier="10" item="7"/>
          <tpl hier="11" item="0"/>
          <tpl fld="0" item="0"/>
        </tpls>
      </n>
      <m in="0">
        <tpls c="4">
          <tpl fld="2" item="2"/>
          <tpl hier="10" item="7"/>
          <tpl hier="11" item="0"/>
          <tpl fld="0" item="0"/>
        </tpls>
      </m>
      <m in="0">
        <tpls c="5">
          <tpl fld="1" item="7"/>
          <tpl fld="2" item="14"/>
          <tpl hier="10" item="7"/>
          <tpl hier="11" item="0"/>
          <tpl fld="0" item="0"/>
        </tpls>
      </m>
      <m in="0">
        <tpls c="4">
          <tpl fld="2" item="7"/>
          <tpl hier="10" item="7"/>
          <tpl hier="11" item="0"/>
          <tpl fld="0" item="0"/>
        </tpls>
      </m>
      <n v="-5502.5" in="0">
        <tpls c="5">
          <tpl fld="1" item="5"/>
          <tpl fld="2" item="13"/>
          <tpl hier="10" item="7"/>
          <tpl hier="11" item="0"/>
          <tpl fld="0" item="0"/>
        </tpls>
      </n>
      <n v="-20920" in="0">
        <tpls c="4">
          <tpl fld="2" item="1"/>
          <tpl hier="10" item="7"/>
          <tpl hier="11" item="0"/>
          <tpl fld="0" item="1"/>
        </tpls>
      </n>
      <n v="-1058" in="0">
        <tpls c="5">
          <tpl fld="1" item="0"/>
          <tpl fld="2" item="12"/>
          <tpl hier="10" item="7"/>
          <tpl hier="11" item="0"/>
          <tpl fld="0" item="1"/>
        </tpls>
      </n>
      <m in="0">
        <tpls c="5">
          <tpl fld="1" item="2"/>
          <tpl fld="2" item="8"/>
          <tpl hier="10" item="7"/>
          <tpl hier="11" item="0"/>
          <tpl fld="0" item="1"/>
        </tpls>
      </m>
      <n v="-67694" in="0">
        <tpls c="5">
          <tpl fld="1" item="7"/>
          <tpl fld="2" item="0"/>
          <tpl hier="10" item="7"/>
          <tpl hier="11" item="0"/>
          <tpl fld="0" item="1"/>
        </tpls>
      </n>
      <m in="0">
        <tpls c="4">
          <tpl fld="2" item="7"/>
          <tpl hier="10" item="7"/>
          <tpl hier="11" item="0"/>
          <tpl fld="0" item="1"/>
        </tpls>
      </m>
      <n v="-931" in="0">
        <tpls c="5">
          <tpl fld="1" item="5"/>
          <tpl fld="2" item="13"/>
          <tpl hier="10" item="7"/>
          <tpl hier="11" item="0"/>
          <tpl fld="0" item="1"/>
        </tpls>
      </n>
      <n v="-219824.75" in="0">
        <tpls c="4">
          <tpl fld="2" item="6"/>
          <tpl hier="10" item="7"/>
          <tpl hier="11" item="0"/>
          <tpl fld="0" item="0"/>
        </tpls>
      </n>
      <n v="-677.25" in="0">
        <tpls c="5">
          <tpl fld="1" item="11"/>
          <tpl fld="2" item="11"/>
          <tpl hier="10" item="7"/>
          <tpl hier="11" item="0"/>
          <tpl fld="0" item="0"/>
        </tpls>
      </n>
      <n v="-3646" in="0">
        <tpls c="5">
          <tpl fld="1" item="11"/>
          <tpl fld="2" item="3"/>
          <tpl hier="10" item="7"/>
          <tpl hier="11" item="0"/>
          <tpl fld="0" item="1"/>
        </tpls>
      </n>
      <n v="-152345.5" in="0">
        <tpls c="4">
          <tpl fld="2" item="10"/>
          <tpl hier="10" item="7"/>
          <tpl hier="11" item="0"/>
          <tpl fld="0" item="0"/>
        </tpls>
      </n>
      <m in="0">
        <tpls c="5">
          <tpl fld="1" item="11"/>
          <tpl fld="2" item="9"/>
          <tpl hier="10" item="7"/>
          <tpl hier="11" item="0"/>
          <tpl fld="0" item="0"/>
        </tpls>
      </m>
      <n v="-2763496" in="0">
        <tpls c="4">
          <tpl fld="2" item="0"/>
          <tpl hier="10" item="7"/>
          <tpl hier="11" item="0"/>
          <tpl fld="0" item="0"/>
        </tpls>
      </n>
      <n v="-1770" in="0">
        <tpls c="5">
          <tpl fld="1" item="8"/>
          <tpl fld="2" item="1"/>
          <tpl hier="10" item="7"/>
          <tpl hier="11" item="0"/>
          <tpl fld="0" item="1"/>
        </tpls>
      </n>
      <n v="-11083" in="0">
        <tpls c="4">
          <tpl fld="2" item="5"/>
          <tpl hier="10" item="7"/>
          <tpl hier="11" item="0"/>
          <tpl fld="0" item="1"/>
        </tpls>
      </n>
      <n v="-143045" in="0">
        <tpls c="4">
          <tpl fld="2" item="10"/>
          <tpl hier="10" item="7"/>
          <tpl hier="11" item="0"/>
          <tpl fld="0" item="1"/>
        </tpls>
      </n>
      <n v="-1355" in="0">
        <tpls c="5">
          <tpl fld="1" item="11"/>
          <tpl fld="2" item="5"/>
          <tpl hier="10" item="7"/>
          <tpl hier="11" item="0"/>
          <tpl fld="0" item="0"/>
        </tpls>
      </n>
      <n v="-28008.25" in="0">
        <tpls c="4">
          <tpl fld="2" item="3"/>
          <tpl hier="10" item="7"/>
          <tpl hier="11" item="0"/>
          <tpl fld="0" item="0"/>
        </tpls>
      </n>
      <m in="0">
        <tpls c="5">
          <tpl fld="1" item="8"/>
          <tpl fld="2" item="4"/>
          <tpl hier="10" item="7"/>
          <tpl hier="11" item="0"/>
          <tpl fld="0" item="1"/>
        </tpls>
      </m>
      <n v="-10979" in="0">
        <tpls c="5">
          <tpl fld="1" item="11"/>
          <tpl fld="2" item="10"/>
          <tpl hier="10" item="7"/>
          <tpl hier="11" item="0"/>
          <tpl fld="0" item="0"/>
        </tpls>
      </n>
      <n v="-305998" in="0">
        <tpls c="5">
          <tpl fld="1" item="9"/>
          <tpl hier="9" item="4294967295"/>
          <tpl hier="10" item="7"/>
          <tpl hier="11" item="0"/>
          <tpl fld="0" item="1"/>
        </tpls>
      </n>
      <n v="-2809.5" in="0">
        <tpls c="5">
          <tpl fld="1" item="3"/>
          <tpl fld="2" item="3"/>
          <tpl hier="10" item="7"/>
          <tpl hier="11" item="0"/>
          <tpl fld="0" item="0"/>
        </tpls>
      </n>
      <m in="0">
        <tpls c="5">
          <tpl fld="1" item="9"/>
          <tpl fld="2" item="2"/>
          <tpl hier="10" item="7"/>
          <tpl hier="11" item="0"/>
          <tpl fld="0" item="0"/>
        </tpls>
      </m>
      <m in="0">
        <tpls c="5">
          <tpl fld="1" item="11"/>
          <tpl fld="2" item="2"/>
          <tpl hier="10" item="7"/>
          <tpl hier="11" item="0"/>
          <tpl fld="0" item="0"/>
        </tpls>
      </m>
      <n v="-569.75" in="0">
        <tpls c="5">
          <tpl fld="1" item="10"/>
          <tpl fld="2" item="11"/>
          <tpl hier="10" item="7"/>
          <tpl hier="11" item="0"/>
          <tpl fld="0" item="0"/>
        </tpls>
      </n>
      <n v="-2032" in="0">
        <tpls c="5">
          <tpl fld="1" item="1"/>
          <tpl fld="2" item="3"/>
          <tpl hier="10" item="7"/>
          <tpl hier="11" item="0"/>
          <tpl fld="0" item="1"/>
        </tpls>
      </n>
      <n v="-5228" in="0">
        <tpls c="5">
          <tpl fld="1" item="2"/>
          <tpl fld="2" item="12"/>
          <tpl hier="10" item="7"/>
          <tpl hier="11" item="0"/>
          <tpl fld="0" item="1"/>
        </tpls>
      </n>
      <m in="0">
        <tpls c="4">
          <tpl fld="2" item="4"/>
          <tpl hier="10" item="7"/>
          <tpl hier="11" item="0"/>
          <tpl fld="0" item="0"/>
        </tpls>
      </m>
      <m in="0">
        <tpls c="5">
          <tpl fld="1" item="5"/>
          <tpl fld="2" item="8"/>
          <tpl hier="10" item="7"/>
          <tpl hier="11" item="0"/>
          <tpl fld="0" item="0"/>
        </tpls>
      </m>
      <n v="-3548.5" in="0">
        <tpls c="5">
          <tpl fld="1" item="1"/>
          <tpl fld="2" item="12"/>
          <tpl hier="10" item="7"/>
          <tpl hier="11" item="0"/>
          <tpl fld="0" item="0"/>
        </tpls>
      </n>
      <n v="-116386" in="0">
        <tpls c="5">
          <tpl fld="1" item="2"/>
          <tpl hier="9" item="4294967295"/>
          <tpl hier="10" item="7"/>
          <tpl hier="11" item="0"/>
          <tpl fld="0" item="1"/>
        </tpls>
      </n>
      <n v="-8617.5" in="0">
        <tpls c="5">
          <tpl fld="1" item="0"/>
          <tpl fld="2" item="15"/>
          <tpl hier="10" item="7"/>
          <tpl hier="11" item="0"/>
          <tpl fld="0" item="0"/>
        </tpls>
      </n>
      <m in="0">
        <tpls c="5">
          <tpl fld="1" item="10"/>
          <tpl fld="2" item="8"/>
          <tpl hier="10" item="7"/>
          <tpl hier="11" item="0"/>
          <tpl fld="0" item="1"/>
        </tpls>
      </m>
      <n v="-544" in="0">
        <tpls c="5">
          <tpl fld="1" item="4"/>
          <tpl fld="2" item="11"/>
          <tpl hier="10" item="7"/>
          <tpl hier="11" item="0"/>
          <tpl fld="0" item="0"/>
        </tpls>
      </n>
      <n v="-4724.75" in="0">
        <tpls c="5">
          <tpl fld="1" item="11"/>
          <tpl fld="2" item="12"/>
          <tpl hier="10" item="7"/>
          <tpl hier="11" item="0"/>
          <tpl fld="0" item="0"/>
        </tpls>
      </n>
      <n v="-5773" in="0">
        <tpls c="5">
          <tpl fld="1" item="5"/>
          <tpl fld="2" item="12"/>
          <tpl hier="10" item="7"/>
          <tpl hier="11" item="0"/>
          <tpl fld="0" item="0"/>
        </tpls>
      </n>
      <n v="-2550" in="0">
        <tpls c="5">
          <tpl fld="1" item="2"/>
          <tpl fld="2" item="15"/>
          <tpl hier="10" item="7"/>
          <tpl hier="11" item="0"/>
          <tpl fld="0" item="1"/>
        </tpls>
      </n>
      <n v="-22781" in="0">
        <tpls c="5">
          <tpl fld="1" item="6"/>
          <tpl fld="2" item="6"/>
          <tpl hier="10" item="7"/>
          <tpl hier="11" item="0"/>
          <tpl fld="0" item="0"/>
        </tpls>
      </n>
      <n v="-4547.25" in="0">
        <tpls c="5">
          <tpl fld="1" item="8"/>
          <tpl fld="2" item="1"/>
          <tpl hier="10" item="7"/>
          <tpl hier="11" item="0"/>
          <tpl fld="0" item="0"/>
        </tpls>
      </n>
      <m in="0">
        <tpls c="5">
          <tpl fld="1" item="9"/>
          <tpl fld="2" item="9"/>
          <tpl hier="10" item="7"/>
          <tpl hier="11" item="0"/>
          <tpl fld="0" item="0"/>
        </tpls>
      </m>
      <n v="-6879" in="0">
        <tpls c="5">
          <tpl fld="1" item="9"/>
          <tpl fld="2" item="15"/>
          <tpl hier="10" item="7"/>
          <tpl hier="11" item="0"/>
          <tpl fld="0" item="0"/>
        </tpls>
      </n>
      <n v="-307" in="0">
        <tpls c="5">
          <tpl fld="1" item="2"/>
          <tpl fld="2" item="11"/>
          <tpl hier="10" item="7"/>
          <tpl hier="11" item="0"/>
          <tpl fld="0" item="1"/>
        </tpls>
      </n>
      <m in="0">
        <tpls c="5">
          <tpl fld="1" item="4"/>
          <tpl fld="2" item="14"/>
          <tpl hier="10" item="7"/>
          <tpl hier="11" item="0"/>
          <tpl fld="0" item="0"/>
        </tpls>
      </m>
      <n v="-279336.5" in="0">
        <tpls c="5">
          <tpl fld="1" item="2"/>
          <tpl fld="2" item="0"/>
          <tpl hier="10" item="7"/>
          <tpl hier="11" item="0"/>
          <tpl fld="0" item="0"/>
        </tpls>
      </n>
      <n v="-1720" in="0">
        <tpls c="5">
          <tpl fld="1" item="11"/>
          <tpl fld="2" item="1"/>
          <tpl hier="10" item="7"/>
          <tpl hier="11" item="0"/>
          <tpl fld="0" item="1"/>
        </tpls>
      </n>
      <n v="-212361.25" in="0">
        <tpls c="5">
          <tpl fld="1" item="5"/>
          <tpl fld="2" item="0"/>
          <tpl hier="10" item="7"/>
          <tpl hier="11" item="0"/>
          <tpl fld="0" item="0"/>
        </tpls>
      </n>
      <m in="0">
        <tpls c="5">
          <tpl fld="1" item="11"/>
          <tpl fld="2" item="9"/>
          <tpl hier="10" item="7"/>
          <tpl hier="11" item="0"/>
          <tpl fld="0" item="1"/>
        </tpls>
      </m>
      <m in="0">
        <tpls c="5">
          <tpl fld="1" item="6"/>
          <tpl fld="2" item="4"/>
          <tpl hier="10" item="7"/>
          <tpl hier="11" item="0"/>
          <tpl fld="0" item="0"/>
        </tpls>
      </m>
      <m in="0">
        <tpls c="5">
          <tpl fld="1" item="4"/>
          <tpl fld="2" item="4"/>
          <tpl hier="10" item="7"/>
          <tpl hier="11" item="0"/>
          <tpl fld="0" item="1"/>
        </tpls>
      </m>
      <n v="-5722.5" in="0">
        <tpls c="5">
          <tpl fld="1" item="3"/>
          <tpl fld="2" item="12"/>
          <tpl hier="10" item="7"/>
          <tpl hier="11" item="0"/>
          <tpl fld="0" item="0"/>
        </tpls>
      </n>
      <n v="-514.75" in="0">
        <tpls c="5">
          <tpl fld="1" item="2"/>
          <tpl fld="2" item="11"/>
          <tpl hier="10" item="7"/>
          <tpl hier="11" item="0"/>
          <tpl fld="0" item="0"/>
        </tpls>
      </n>
      <m in="0">
        <tpls c="5">
          <tpl fld="1" item="5"/>
          <tpl fld="2" item="8"/>
          <tpl hier="10" item="7"/>
          <tpl hier="11" item="0"/>
          <tpl fld="0" item="1"/>
        </tpls>
      </m>
      <n v="-1216.75" in="0">
        <tpls c="5">
          <tpl fld="1" item="7"/>
          <tpl fld="2" item="5"/>
          <tpl hier="10" item="7"/>
          <tpl hier="11" item="0"/>
          <tpl fld="0" item="0"/>
        </tpls>
      </n>
      <m in="0">
        <tpls c="5">
          <tpl fld="1" item="7"/>
          <tpl fld="2" item="7"/>
          <tpl hier="10" item="7"/>
          <tpl hier="11" item="0"/>
          <tpl fld="0" item="1"/>
        </tpls>
      </m>
      <n v="-14684.75" in="0">
        <tpls c="5">
          <tpl fld="1" item="2"/>
          <tpl fld="2" item="10"/>
          <tpl hier="10" item="7"/>
          <tpl hier="11" item="0"/>
          <tpl fld="0" item="0"/>
        </tpls>
      </n>
      <n v="-646" in="0">
        <tpls c="5">
          <tpl fld="1" item="6"/>
          <tpl fld="2" item="11"/>
          <tpl hier="10" item="7"/>
          <tpl hier="11" item="0"/>
          <tpl fld="0" item="1"/>
        </tpls>
      </n>
      <n v="-6453" in="0">
        <tpls c="5">
          <tpl fld="1" item="2"/>
          <tpl fld="2" item="13"/>
          <tpl hier="10" item="7"/>
          <tpl hier="11" item="0"/>
          <tpl fld="0" item="1"/>
        </tpls>
      </n>
      <m in="0">
        <tpls c="5">
          <tpl fld="1" item="4"/>
          <tpl fld="2" item="4"/>
          <tpl hier="10" item="7"/>
          <tpl hier="11" item="0"/>
          <tpl fld="0" item="0"/>
        </tpls>
      </m>
      <m in="0">
        <tpls c="5">
          <tpl fld="1" item="7"/>
          <tpl fld="2" item="14"/>
          <tpl hier="10" item="7"/>
          <tpl hier="11" item="0"/>
          <tpl fld="0" item="1"/>
        </tpls>
      </m>
      <m in="0">
        <tpls c="4">
          <tpl fld="2" item="8"/>
          <tpl hier="10" item="7"/>
          <tpl hier="11" item="0"/>
          <tpl fld="0" item="1"/>
        </tpls>
      </m>
      <n v="-3442117" in="0">
        <tpls c="4">
          <tpl hier="9" item="4294967295"/>
          <tpl hier="10" item="7"/>
          <tpl hier="11" item="0"/>
          <tpl fld="0" item="0"/>
        </tpls>
      </n>
      <n v="-7255.25" in="0">
        <tpls c="5">
          <tpl fld="1" item="10"/>
          <tpl fld="2" item="15"/>
          <tpl hier="10" item="7"/>
          <tpl hier="11" item="0"/>
          <tpl fld="0" item="0"/>
        </tpls>
      </n>
      <n v="-9847.25" in="0">
        <tpls c="5">
          <tpl fld="1" item="0"/>
          <tpl fld="2" item="10"/>
          <tpl hier="10" item="7"/>
          <tpl hier="11" item="0"/>
          <tpl fld="0" item="0"/>
        </tpls>
      </n>
      <m in="0">
        <tpls c="5">
          <tpl fld="1" item="2"/>
          <tpl fld="2" item="2"/>
          <tpl hier="10" item="7"/>
          <tpl hier="11" item="0"/>
          <tpl fld="0" item="0"/>
        </tpls>
      </m>
      <n v="-5354.75" in="0">
        <tpls c="5">
          <tpl fld="1" item="4"/>
          <tpl fld="2" item="13"/>
          <tpl hier="10" item="7"/>
          <tpl hier="11" item="0"/>
          <tpl fld="0" item="0"/>
        </tpls>
      </n>
      <n v="-14135" in="0">
        <tpls c="5">
          <tpl fld="1" item="1"/>
          <tpl fld="2" item="10"/>
          <tpl hier="10" item="7"/>
          <tpl hier="11" item="0"/>
          <tpl fld="0" item="1"/>
        </tpls>
      </n>
      <n v="-6814.25" in="0">
        <tpls c="4">
          <tpl fld="2" item="11"/>
          <tpl hier="10" item="7"/>
          <tpl hier="11" item="0"/>
          <tpl fld="0" item="0"/>
        </tpls>
      </n>
      <m in="0">
        <tpls c="5">
          <tpl fld="1" item="4"/>
          <tpl fld="2" item="9"/>
          <tpl hier="10" item="7"/>
          <tpl hier="11" item="0"/>
          <tpl fld="0" item="0"/>
        </tpls>
      </m>
      <n v="-27075" in="0">
        <tpls c="4">
          <tpl fld="2" item="3"/>
          <tpl hier="10" item="7"/>
          <tpl hier="11" item="0"/>
          <tpl fld="0" item="1"/>
        </tpls>
      </n>
      <n v="-3542" in="0">
        <tpls c="5">
          <tpl fld="1" item="10"/>
          <tpl fld="2" item="15"/>
          <tpl hier="10" item="7"/>
          <tpl hier="11" item="0"/>
          <tpl fld="0" item="1"/>
        </tpls>
      </n>
      <m in="0">
        <tpls c="5">
          <tpl fld="1" item="1"/>
          <tpl fld="2" item="8"/>
          <tpl hier="10" item="7"/>
          <tpl hier="11" item="0"/>
          <tpl fld="0" item="1"/>
        </tpls>
      </m>
      <m in="0">
        <tpls c="5">
          <tpl fld="1" item="6"/>
          <tpl fld="2" item="3"/>
          <tpl hier="10" item="7"/>
          <tpl hier="11" item="0"/>
          <tpl fld="0" item="1"/>
        </tpls>
      </m>
      <n v="-1141" in="0">
        <tpls c="5">
          <tpl fld="1" item="8"/>
          <tpl fld="2" item="5"/>
          <tpl hier="10" item="7"/>
          <tpl hier="11" item="0"/>
          <tpl fld="0" item="1"/>
        </tpls>
      </n>
      <n v="-18585" in="0">
        <tpls c="5">
          <tpl fld="1" item="5"/>
          <tpl fld="2" item="10"/>
          <tpl hier="10" item="7"/>
          <tpl hier="11" item="0"/>
          <tpl fld="0" item="1"/>
        </tpls>
      </n>
      <n v="-3716" in="0">
        <tpls c="5">
          <tpl fld="1" item="1"/>
          <tpl fld="2" item="13"/>
          <tpl hier="10" item="7"/>
          <tpl hier="11" item="0"/>
          <tpl fld="0" item="1"/>
        </tpls>
      </n>
      <m in="0">
        <tpls c="5">
          <tpl fld="1" item="9"/>
          <tpl fld="2" item="14"/>
          <tpl hier="10" item="7"/>
          <tpl hier="11" item="0"/>
          <tpl fld="0" item="0"/>
        </tpls>
      </m>
      <n v="-493.75" in="0">
        <tpls c="5">
          <tpl fld="1" item="0"/>
          <tpl fld="2" item="11"/>
          <tpl hier="10" item="7"/>
          <tpl hier="11" item="0"/>
          <tpl fld="0" item="0"/>
        </tpls>
      </n>
      <n v="-611" in="0">
        <tpls c="5">
          <tpl fld="1" item="7"/>
          <tpl fld="2" item="11"/>
          <tpl hier="10" item="7"/>
          <tpl hier="11" item="0"/>
          <tpl fld="0" item="1"/>
        </tpls>
      </n>
      <m in="0">
        <tpls c="5">
          <tpl fld="1" item="6"/>
          <tpl fld="2" item="13"/>
          <tpl hier="10" item="7"/>
          <tpl hier="11" item="0"/>
          <tpl fld="0" item="1"/>
        </tpls>
      </m>
      <n v="-8828" in="0">
        <tpls c="5">
          <tpl fld="1" item="6"/>
          <tpl fld="2" item="10"/>
          <tpl hier="10" item="7"/>
          <tpl hier="11" item="0"/>
          <tpl fld="0" item="0"/>
        </tpls>
      </n>
      <n v="-188474.25" in="0">
        <tpls c="5">
          <tpl fld="1" item="4"/>
          <tpl fld="2" item="0"/>
          <tpl hier="10" item="7"/>
          <tpl hier="11" item="0"/>
          <tpl fld="0" item="0"/>
        </tpls>
      </n>
      <n v="-65677" in="0">
        <tpls c="4">
          <tpl fld="2" item="13"/>
          <tpl hier="10" item="7"/>
          <tpl hier="11" item="0"/>
          <tpl fld="0" item="0"/>
        </tpls>
      </n>
      <m in="0">
        <tpls c="5">
          <tpl fld="1" item="3"/>
          <tpl fld="2" item="2"/>
          <tpl hier="10" item="7"/>
          <tpl hier="11" item="0"/>
          <tpl fld="0" item="1"/>
        </tpls>
      </m>
      <n v="-481273" in="0">
        <tpls c="5">
          <tpl fld="1" item="1"/>
          <tpl fld="2" item="0"/>
          <tpl hier="10" item="7"/>
          <tpl hier="11" item="0"/>
          <tpl fld="0" item="1"/>
        </tpls>
      </n>
      <m in="0">
        <tpls c="5">
          <tpl fld="1" item="6"/>
          <tpl fld="2" item="10"/>
          <tpl hier="10" item="7"/>
          <tpl hier="11" item="0"/>
          <tpl fld="0" item="1"/>
        </tpls>
      </m>
      <n v="-5171.5" in="0">
        <tpls c="5">
          <tpl fld="1" item="4"/>
          <tpl fld="2" item="1"/>
          <tpl hier="10" item="7"/>
          <tpl hier="11" item="0"/>
          <tpl fld="0" item="0"/>
        </tpls>
      </n>
      <m in="0">
        <tpls c="5">
          <tpl fld="1" item="3"/>
          <tpl fld="2" item="7"/>
          <tpl hier="10" item="7"/>
          <tpl hier="11" item="0"/>
          <tpl fld="0" item="1"/>
        </tpls>
      </m>
      <m in="0">
        <tpls c="5">
          <tpl fld="1" item="8"/>
          <tpl fld="2" item="8"/>
          <tpl hier="10" item="7"/>
          <tpl hier="11" item="0"/>
          <tpl fld="0" item="0"/>
        </tpls>
      </m>
      <n v="-3915.75" in="0">
        <tpls c="5">
          <tpl fld="1" item="9"/>
          <tpl fld="2" item="13"/>
          <tpl hier="10" item="7"/>
          <tpl hier="11" item="0"/>
          <tpl fld="0" item="0"/>
        </tpls>
      </n>
      <n v="-331594.75" in="0">
        <tpls c="5">
          <tpl fld="1" item="2"/>
          <tpl hier="9" item="4294967295"/>
          <tpl hier="10" item="7"/>
          <tpl hier="11" item="0"/>
          <tpl fld="0" item="0"/>
        </tpls>
      </n>
      <n v="-983" in="0">
        <tpls c="5">
          <tpl fld="1" item="0"/>
          <tpl fld="2" item="13"/>
          <tpl hier="10" item="7"/>
          <tpl hier="11" item="0"/>
          <tpl fld="0" item="1"/>
        </tpls>
      </n>
      <n v="-908" in="0">
        <tpls c="5">
          <tpl fld="1" item="1"/>
          <tpl fld="2" item="5"/>
          <tpl hier="10" item="7"/>
          <tpl hier="11" item="0"/>
          <tpl fld="0" item="1"/>
        </tpls>
      </n>
      <m in="0">
        <tpls c="5">
          <tpl fld="1" item="4"/>
          <tpl fld="2" item="2"/>
          <tpl hier="10" item="7"/>
          <tpl hier="11" item="0"/>
          <tpl fld="0" item="0"/>
        </tpls>
      </m>
      <n v="-8320" in="0">
        <tpls c="5">
          <tpl fld="1" item="9"/>
          <tpl fld="2" item="13"/>
          <tpl hier="10" item="7"/>
          <tpl hier="11" item="0"/>
          <tpl fld="0" item="1"/>
        </tpls>
      </n>
      <n v="-308710" in="0">
        <tpls c="5">
          <tpl fld="1" item="0"/>
          <tpl hier="9" item="4294967295"/>
          <tpl hier="10" item="7"/>
          <tpl hier="11" item="0"/>
          <tpl fld="0" item="1"/>
        </tpls>
      </n>
      <n v="-20742.25" in="0">
        <tpls c="5">
          <tpl fld="1" item="4"/>
          <tpl fld="2" item="6"/>
          <tpl hier="10" item="7"/>
          <tpl hier="11" item="0"/>
          <tpl fld="0" item="0"/>
        </tpls>
      </n>
      <m in="0">
        <tpls c="5">
          <tpl fld="1" item="4"/>
          <tpl fld="2" item="2"/>
          <tpl hier="10" item="7"/>
          <tpl hier="11" item="0"/>
          <tpl fld="0" item="1"/>
        </tpls>
      </m>
      <n v="-3926" in="0">
        <tpls c="5">
          <tpl fld="1" item="4"/>
          <tpl fld="2" item="12"/>
          <tpl hier="10" item="7"/>
          <tpl hier="11" item="0"/>
          <tpl fld="0" item="1"/>
        </tpls>
      </n>
      <m in="0">
        <tpls c="5">
          <tpl fld="1" item="6"/>
          <tpl fld="2" item="14"/>
          <tpl hier="10" item="7"/>
          <tpl hier="11" item="0"/>
          <tpl fld="0" item="0"/>
        </tpls>
      </m>
      <m in="0">
        <tpls c="5">
          <tpl fld="1" item="7"/>
          <tpl fld="2" item="8"/>
          <tpl hier="10" item="7"/>
          <tpl hier="11" item="0"/>
          <tpl fld="0" item="1"/>
        </tpls>
      </m>
      <m in="0">
        <tpls c="5">
          <tpl fld="1" item="6"/>
          <tpl fld="2" item="14"/>
          <tpl hier="10" item="7"/>
          <tpl hier="11" item="0"/>
          <tpl fld="0" item="1"/>
        </tpls>
      </m>
      <m in="0">
        <tpls c="5">
          <tpl fld="1" item="11"/>
          <tpl fld="2" item="7"/>
          <tpl hier="10" item="7"/>
          <tpl hier="11" item="0"/>
          <tpl fld="0" item="1"/>
        </tpls>
      </m>
      <m in="0">
        <tpls c="5">
          <tpl fld="1" item="6"/>
          <tpl fld="2" item="8"/>
          <tpl hier="10" item="7"/>
          <tpl hier="11" item="0"/>
          <tpl fld="0" item="0"/>
        </tpls>
      </m>
      <n v="-5388" in="0">
        <tpls c="5">
          <tpl fld="1" item="10"/>
          <tpl fld="2" item="13"/>
          <tpl hier="10" item="7"/>
          <tpl hier="11" item="0"/>
          <tpl fld="0" item="0"/>
        </tpls>
      </n>
      <n v="-3117" in="0">
        <tpls c="5">
          <tpl fld="1" item="0"/>
          <tpl fld="2" item="15"/>
          <tpl hier="10" item="7"/>
          <tpl hier="11" item="0"/>
          <tpl fld="0" item="1"/>
        </tpls>
      </n>
      <n v="-55678" in="0">
        <tpls c="5">
          <tpl fld="1" item="6"/>
          <tpl fld="2" item="0"/>
          <tpl hier="10" item="7"/>
          <tpl hier="11" item="0"/>
          <tpl fld="0" item="1"/>
        </tpls>
      </n>
      <n v="-1843.5" in="0">
        <tpls c="5">
          <tpl fld="1" item="5"/>
          <tpl fld="2" item="3"/>
          <tpl hier="10" item="7"/>
          <tpl hier="11" item="0"/>
          <tpl fld="0" item="0"/>
        </tpls>
      </n>
      <m in="0">
        <tpls c="4">
          <tpl fld="2" item="14"/>
          <tpl hier="10" item="7"/>
          <tpl hier="11" item="0"/>
          <tpl fld="0" item="1"/>
        </tpls>
      </m>
      <n v="-2590" in="0">
        <tpls c="5">
          <tpl fld="1" item="8"/>
          <tpl fld="2" item="3"/>
          <tpl hier="10" item="7"/>
          <tpl hier="11" item="0"/>
          <tpl fld="0" item="1"/>
        </tpls>
      </n>
      <m in="0">
        <tpls c="5">
          <tpl fld="1" item="9"/>
          <tpl fld="2" item="8"/>
          <tpl hier="10" item="7"/>
          <tpl hier="11" item="0"/>
          <tpl fld="0" item="1"/>
        </tpls>
      </m>
      <n v="-2147.5" in="0">
        <tpls c="5">
          <tpl fld="1" item="6"/>
          <tpl fld="2" item="3"/>
          <tpl hier="10" item="7"/>
          <tpl hier="11" item="0"/>
          <tpl fld="0" item="0"/>
        </tpls>
      </n>
      <m in="0">
        <tpls c="4">
          <tpl fld="2" item="9"/>
          <tpl hier="10" item="7"/>
          <tpl hier="11" item="0"/>
          <tpl fld="0" item="1"/>
        </tpls>
      </m>
      <n v="-248218.25" in="0">
        <tpls c="5">
          <tpl fld="1" item="3"/>
          <tpl hier="9" item="4294967295"/>
          <tpl hier="10" item="7"/>
          <tpl hier="11" item="0"/>
          <tpl fld="0" item="0"/>
        </tpls>
      </n>
      <m in="0">
        <tpls c="5">
          <tpl fld="1" item="8"/>
          <tpl fld="2" item="2"/>
          <tpl hier="10" item="7"/>
          <tpl hier="11" item="0"/>
          <tpl fld="0" item="1"/>
        </tpls>
      </m>
      <n v="-3888" in="0">
        <tpls c="5">
          <tpl fld="1" item="10"/>
          <tpl fld="2" item="12"/>
          <tpl hier="10" item="7"/>
          <tpl hier="11" item="0"/>
          <tpl fld="0" item="1"/>
        </tpls>
      </n>
      <n v="-3988" in="0">
        <tpls c="5">
          <tpl fld="1" item="0"/>
          <tpl fld="2" item="3"/>
          <tpl hier="10" item="7"/>
          <tpl hier="11" item="0"/>
          <tpl fld="0" item="1"/>
        </tpls>
      </n>
      <n v="-547" in="0">
        <tpls c="5">
          <tpl fld="1" item="11"/>
          <tpl fld="2" item="11"/>
          <tpl hier="10" item="7"/>
          <tpl hier="11" item="0"/>
          <tpl fld="0" item="1"/>
        </tpls>
      </n>
      <n v="-17338" in="0">
        <tpls c="5">
          <tpl fld="1" item="0"/>
          <tpl fld="2" item="6"/>
          <tpl hier="10" item="7"/>
          <tpl hier="11" item="0"/>
          <tpl fld="0" item="0"/>
        </tpls>
      </n>
      <n v="-12007" in="0">
        <tpls c="5">
          <tpl fld="1" item="6"/>
          <tpl fld="2" item="6"/>
          <tpl hier="10" item="7"/>
          <tpl hier="11" item="0"/>
          <tpl fld="0" item="1"/>
        </tpls>
      </n>
      <m in="0">
        <tpls c="5">
          <tpl fld="1" item="11"/>
          <tpl fld="2" item="4"/>
          <tpl hier="10" item="7"/>
          <tpl hier="11" item="0"/>
          <tpl fld="0" item="1"/>
        </tpls>
      </m>
      <m in="0">
        <tpls c="5">
          <tpl fld="1" item="7"/>
          <tpl fld="2" item="4"/>
          <tpl hier="10" item="7"/>
          <tpl hier="11" item="0"/>
          <tpl fld="0" item="1"/>
        </tpls>
      </m>
      <n v="-3826" in="0">
        <tpls c="5">
          <tpl fld="1" item="4"/>
          <tpl fld="2" item="15"/>
          <tpl hier="10" item="7"/>
          <tpl hier="11" item="0"/>
          <tpl fld="0" item="1"/>
        </tpls>
      </n>
      <m in="0">
        <tpls c="5">
          <tpl fld="1" item="11"/>
          <tpl fld="2" item="8"/>
          <tpl hier="10" item="7"/>
          <tpl hier="11" item="0"/>
          <tpl fld="0" item="0"/>
        </tpls>
      </m>
      <n v="-240" in="0">
        <tpls c="5">
          <tpl fld="1" item="9"/>
          <tpl fld="2" item="11"/>
          <tpl hier="10" item="7"/>
          <tpl hier="11" item="0"/>
          <tpl fld="0" item="1"/>
        </tpls>
      </n>
      <n v="-317781.25" in="0">
        <tpls c="5">
          <tpl fld="1" item="0"/>
          <tpl hier="9" item="4294967295"/>
          <tpl hier="10" item="7"/>
          <tpl hier="11" item="0"/>
          <tpl fld="0" item="0"/>
        </tpls>
      </n>
      <m in="0">
        <tpls c="5">
          <tpl fld="1" item="9"/>
          <tpl fld="2" item="4"/>
          <tpl hier="10" item="7"/>
          <tpl hier="11" item="0"/>
          <tpl fld="0" item="0"/>
        </tpls>
      </m>
      <n v="-5402.25" in="0">
        <tpls c="5">
          <tpl fld="1" item="0"/>
          <tpl fld="2" item="13"/>
          <tpl hier="10" item="7"/>
          <tpl hier="11" item="0"/>
          <tpl fld="0" item="0"/>
        </tpls>
      </n>
      <n v="-2179.25" in="0">
        <tpls c="5">
          <tpl fld="1" item="7"/>
          <tpl fld="2" item="3"/>
          <tpl hier="10" item="7"/>
          <tpl hier="11" item="0"/>
          <tpl fld="0" item="0"/>
        </tpls>
      </n>
      <n v="-6681.75" in="0">
        <tpls c="5">
          <tpl fld="1" item="11"/>
          <tpl fld="2" item="13"/>
          <tpl hier="10" item="7"/>
          <tpl hier="11" item="0"/>
          <tpl fld="0" item="0"/>
        </tpls>
      </n>
      <m in="0">
        <tpls c="5">
          <tpl fld="1" item="0"/>
          <tpl fld="2" item="14"/>
          <tpl hier="10" item="7"/>
          <tpl hier="11" item="0"/>
          <tpl fld="0" item="1"/>
        </tpls>
      </m>
      <n v="-2984" in="0">
        <tpls c="5">
          <tpl fld="1" item="9"/>
          <tpl fld="2" item="3"/>
          <tpl hier="10" item="7"/>
          <tpl hier="11" item="0"/>
          <tpl fld="0" item="1"/>
        </tpls>
      </n>
      <n v="-103" in="0">
        <tpls c="5">
          <tpl fld="1" item="1"/>
          <tpl fld="2" item="11"/>
          <tpl hier="10" item="7"/>
          <tpl hier="11" item="0"/>
          <tpl fld="0" item="1"/>
        </tpls>
      </n>
      <n v="-4837" in="0">
        <tpls c="5">
          <tpl fld="1" item="11"/>
          <tpl fld="2" item="13"/>
          <tpl hier="10" item="7"/>
          <tpl hier="11" item="0"/>
          <tpl fld="0" item="1"/>
        </tpls>
      </n>
      <m in="0">
        <tpls c="5">
          <tpl fld="1" item="0"/>
          <tpl fld="2" item="14"/>
          <tpl hier="10" item="7"/>
          <tpl hier="11" item="0"/>
          <tpl fld="0" item="0"/>
        </tpls>
      </m>
      <n v="-2547" in="0">
        <tpls c="5">
          <tpl fld="1" item="2"/>
          <tpl fld="2" item="3"/>
          <tpl hier="10" item="7"/>
          <tpl hier="11" item="0"/>
          <tpl fld="0" item="1"/>
        </tpls>
      </n>
      <n v="-44494" in="0">
        <tpls c="5">
          <tpl fld="1" item="3"/>
          <tpl hier="9" item="4294967295"/>
          <tpl hier="10" item="7"/>
          <tpl hier="11" item="0"/>
          <tpl fld="0" item="1"/>
        </tpls>
      </n>
      <m in="0">
        <tpls c="5">
          <tpl fld="1" item="5"/>
          <tpl fld="2" item="4"/>
          <tpl hier="10" item="7"/>
          <tpl hier="11" item="0"/>
          <tpl fld="0" item="1"/>
        </tpls>
      </m>
      <m in="0">
        <tpls c="5">
          <tpl fld="1" item="9"/>
          <tpl fld="2" item="2"/>
          <tpl hier="10" item="7"/>
          <tpl hier="11" item="0"/>
          <tpl fld="0" item="1"/>
        </tpls>
      </m>
      <m in="0">
        <tpls c="5">
          <tpl fld="1" item="10"/>
          <tpl fld="2" item="8"/>
          <tpl hier="10" item="7"/>
          <tpl hier="11" item="0"/>
          <tpl fld="0" item="0"/>
        </tpls>
      </m>
      <n v="-12608.5" in="0">
        <tpls c="5">
          <tpl fld="1" item="8"/>
          <tpl fld="2" item="10"/>
          <tpl hier="10" item="7"/>
          <tpl hier="11" item="0"/>
          <tpl fld="0" item="0"/>
        </tpls>
      </n>
      <n v="-6078.75" in="0">
        <tpls c="5">
          <tpl fld="1" item="2"/>
          <tpl fld="2" item="15"/>
          <tpl hier="10" item="7"/>
          <tpl hier="11" item="0"/>
          <tpl fld="0" item="0"/>
        </tpls>
      </n>
      <m in="0">
        <tpls c="5">
          <tpl fld="1" item="9"/>
          <tpl fld="2" item="7"/>
          <tpl hier="10" item="7"/>
          <tpl hier="11" item="0"/>
          <tpl fld="0" item="1"/>
        </tpls>
      </m>
      <n v="-2013.5" in="0">
        <tpls c="5">
          <tpl fld="1" item="4"/>
          <tpl fld="2" item="3"/>
          <tpl hier="10" item="7"/>
          <tpl hier="11" item="0"/>
          <tpl fld="0" item="0"/>
        </tpls>
      </n>
      <m in="0">
        <tpls c="5">
          <tpl fld="1" item="10"/>
          <tpl fld="2" item="4"/>
          <tpl hier="10" item="7"/>
          <tpl hier="11" item="0"/>
          <tpl fld="0" item="1"/>
        </tpls>
      </m>
      <m in="0">
        <tpls c="5">
          <tpl fld="1" item="1"/>
          <tpl fld="2" item="8"/>
          <tpl hier="10" item="7"/>
          <tpl hier="11" item="0"/>
          <tpl fld="0" item="0"/>
        </tpls>
      </m>
      <m in="0">
        <tpls c="5">
          <tpl fld="1" item="9"/>
          <tpl fld="2" item="9"/>
          <tpl hier="10" item="7"/>
          <tpl hier="11" item="0"/>
          <tpl fld="0" item="1"/>
        </tpls>
      </m>
      <m in="0">
        <tpls c="5">
          <tpl fld="1" item="2"/>
          <tpl fld="2" item="14"/>
          <tpl hier="10" item="7"/>
          <tpl hier="11" item="0"/>
          <tpl fld="0" item="1"/>
        </tpls>
      </m>
      <n v="-14109" in="0">
        <tpls c="5">
          <tpl fld="1" item="9"/>
          <tpl fld="2" item="10"/>
          <tpl hier="10" item="7"/>
          <tpl hier="11" item="0"/>
          <tpl fld="0" item="0"/>
        </tpls>
      </n>
      <n v="-3962.5" in="0">
        <tpls c="5">
          <tpl fld="1" item="5"/>
          <tpl fld="2" item="1"/>
          <tpl hier="10" item="7"/>
          <tpl hier="11" item="0"/>
          <tpl fld="0" item="0"/>
        </tpls>
      </n>
      <n v="-4259.5" in="0">
        <tpls c="5">
          <tpl fld="1" item="10"/>
          <tpl fld="2" item="12"/>
          <tpl hier="10" item="7"/>
          <tpl hier="11" item="0"/>
          <tpl fld="0" item="0"/>
        </tpls>
      </n>
      <n v="-333" in="0">
        <tpls c="5">
          <tpl fld="1" item="4"/>
          <tpl fld="2" item="11"/>
          <tpl hier="10" item="7"/>
          <tpl hier="11" item="0"/>
          <tpl fld="0" item="1"/>
        </tpls>
      </n>
      <n v="-252107.5" in="0">
        <tpls c="5">
          <tpl fld="1" item="8"/>
          <tpl hier="9" item="4294967295"/>
          <tpl hier="10" item="7"/>
          <tpl hier="11" item="0"/>
          <tpl fld="0" item="0"/>
        </tpls>
      </n>
      <m in="0">
        <tpls c="5">
          <tpl fld="1" item="1"/>
          <tpl fld="2" item="14"/>
          <tpl hier="10" item="7"/>
          <tpl hier="11" item="0"/>
          <tpl fld="0" item="0"/>
        </tpls>
      </m>
      <m in="0">
        <tpls c="5">
          <tpl fld="1" item="1"/>
          <tpl fld="2" item="2"/>
          <tpl hier="10" item="7"/>
          <tpl hier="11" item="0"/>
          <tpl fld="0" item="0"/>
        </tpls>
      </m>
      <n v="-1979.5" in="0">
        <tpls c="5">
          <tpl fld="1" item="2"/>
          <tpl fld="2" item="3"/>
          <tpl hier="10" item="7"/>
          <tpl hier="11" item="0"/>
          <tpl fld="0" item="0"/>
        </tpls>
      </n>
      <n v="-1152.75" in="0">
        <tpls c="5">
          <tpl fld="1" item="6"/>
          <tpl fld="2" item="5"/>
          <tpl hier="10" item="7"/>
          <tpl hier="11" item="0"/>
          <tpl fld="0" item="0"/>
        </tpls>
      </n>
      <m in="0">
        <tpls c="5">
          <tpl fld="1" item="2"/>
          <tpl fld="2" item="9"/>
          <tpl hier="10" item="7"/>
          <tpl hier="11" item="0"/>
          <tpl fld="0" item="1"/>
        </tpls>
      </m>
      <n v="-174903" in="0">
        <tpls c="5">
          <tpl fld="1" item="8"/>
          <tpl fld="2" item="0"/>
          <tpl hier="10" item="7"/>
          <tpl hier="11" item="0"/>
          <tpl fld="0" item="1"/>
        </tpls>
      </n>
      <m in="0">
        <tpls c="5">
          <tpl fld="1" item="9"/>
          <tpl fld="2" item="7"/>
          <tpl hier="10" item="7"/>
          <tpl hier="11" item="0"/>
          <tpl fld="0" item="0"/>
        </tpls>
      </m>
      <m in="0">
        <tpls c="5">
          <tpl fld="1" item="3"/>
          <tpl fld="2" item="9"/>
          <tpl hier="10" item="7"/>
          <tpl hier="11" item="0"/>
          <tpl fld="0" item="0"/>
        </tpls>
      </m>
      <n v="-219095" in="0">
        <tpls c="5">
          <tpl fld="1" item="1"/>
          <tpl fld="2" item="0"/>
          <tpl hier="10" item="7"/>
          <tpl hier="11" item="0"/>
          <tpl fld="0" item="0"/>
        </tpls>
      </n>
      <m in="0">
        <tpls c="5">
          <tpl fld="1" item="2"/>
          <tpl fld="2" item="4"/>
          <tpl hier="10" item="7"/>
          <tpl hier="11" item="0"/>
          <tpl fld="0" item="1"/>
        </tpls>
      </m>
      <m in="0">
        <tpls c="5">
          <tpl fld="1" item="10"/>
          <tpl fld="2" item="9"/>
          <tpl hier="10" item="7"/>
          <tpl hier="11" item="0"/>
          <tpl fld="0" item="1"/>
        </tpls>
      </m>
      <m in="0">
        <tpls c="5">
          <tpl fld="1" item="5"/>
          <tpl fld="2" item="9"/>
          <tpl hier="10" item="7"/>
          <tpl hier="11" item="0"/>
          <tpl fld="0" item="1"/>
        </tpls>
      </m>
      <n v="-4404.5" in="0">
        <tpls c="5">
          <tpl fld="1" item="8"/>
          <tpl fld="2" item="12"/>
          <tpl hier="10" item="7"/>
          <tpl hier="11" item="0"/>
          <tpl fld="0" item="0"/>
        </tpls>
      </n>
      <n v="-1355" in="0">
        <tpls c="5">
          <tpl fld="1" item="8"/>
          <tpl fld="2" item="5"/>
          <tpl hier="10" item="7"/>
          <tpl hier="11" item="0"/>
          <tpl fld="0" item="0"/>
        </tpls>
      </n>
      <n v="-696" in="0">
        <tpls c="5">
          <tpl fld="1" item="9"/>
          <tpl fld="2" item="5"/>
          <tpl hier="10" item="7"/>
          <tpl hier="11" item="0"/>
          <tpl fld="0" item="1"/>
        </tpls>
      </n>
      <n v="-727" in="0">
        <tpls c="5">
          <tpl fld="1" item="10"/>
          <tpl fld="2" item="5"/>
          <tpl hier="10" item="7"/>
          <tpl hier="11" item="0"/>
          <tpl fld="0" item="1"/>
        </tpls>
      </n>
      <n v="-268799.75" in="0">
        <tpls c="5">
          <tpl fld="1" item="5"/>
          <tpl hier="9" item="4294967295"/>
          <tpl hier="10" item="7"/>
          <tpl hier="11" item="0"/>
          <tpl fld="0" item="0"/>
        </tpls>
      </n>
      <n v="-2554" in="0">
        <tpls c="5">
          <tpl fld="1" item="1"/>
          <tpl fld="2" item="15"/>
          <tpl hier="10" item="7"/>
          <tpl hier="11" item="0"/>
          <tpl fld="0" item="1"/>
        </tpls>
      </n>
      <n v="-2774.25" in="0">
        <tpls c="5">
          <tpl fld="1" item="0"/>
          <tpl fld="2" item="3"/>
          <tpl hier="10" item="7"/>
          <tpl hier="11" item="0"/>
          <tpl fld="0" item="0"/>
        </tpls>
      </n>
      <m in="0">
        <tpls c="5">
          <tpl fld="1" item="3"/>
          <tpl fld="2" item="4"/>
          <tpl hier="10" item="7"/>
          <tpl hier="11" item="0"/>
          <tpl fld="0" item="0"/>
        </tpls>
      </m>
      <m in="0">
        <tpls c="5">
          <tpl fld="1" item="2"/>
          <tpl fld="2" item="9"/>
          <tpl hier="10" item="7"/>
          <tpl hier="11" item="0"/>
          <tpl fld="0" item="0"/>
        </tpls>
      </m>
      <n v="-15980" in="0">
        <tpls c="5">
          <tpl fld="1" item="7"/>
          <tpl fld="2" item="6"/>
          <tpl hier="10" item="7"/>
          <tpl hier="11" item="0"/>
          <tpl fld="0" item="1"/>
        </tpls>
      </n>
      <m in="0">
        <tpls c="5">
          <tpl fld="1" item="6"/>
          <tpl fld="2" item="2"/>
          <tpl hier="10" item="7"/>
          <tpl hier="11" item="0"/>
          <tpl fld="0" item="1"/>
        </tpls>
      </m>
      <m in="0">
        <tpls c="5">
          <tpl fld="1" item="1"/>
          <tpl fld="2" item="4"/>
          <tpl hier="10" item="7"/>
          <tpl hier="11" item="0"/>
          <tpl fld="0" item="0"/>
        </tpls>
      </m>
      <m in="0">
        <tpls c="5">
          <tpl fld="1" item="8"/>
          <tpl fld="2" item="9"/>
          <tpl hier="10" item="7"/>
          <tpl hier="11" item="0"/>
          <tpl fld="0" item="0"/>
        </tpls>
      </m>
      <n v="-1434" in="0">
        <tpls c="5">
          <tpl fld="1" item="5"/>
          <tpl fld="2" item="5"/>
          <tpl hier="10" item="7"/>
          <tpl hier="11" item="0"/>
          <tpl fld="0" item="1"/>
        </tpls>
      </n>
      <n v="-9524" in="0">
        <tpls c="5">
          <tpl fld="1" item="8"/>
          <tpl fld="2" item="12"/>
          <tpl hier="10" item="7"/>
          <tpl hier="11" item="0"/>
          <tpl fld="0" item="1"/>
        </tpls>
      </n>
      <n v="-4519.25" in="0">
        <tpls c="5">
          <tpl fld="1" item="10"/>
          <tpl fld="2" item="1"/>
          <tpl hier="10" item="7"/>
          <tpl hier="11" item="0"/>
          <tpl fld="0" item="0"/>
        </tpls>
      </n>
      <n v="-2621" in="0">
        <tpls c="5">
          <tpl fld="1" item="9"/>
          <tpl fld="2" item="10"/>
          <tpl hier="10" item="7"/>
          <tpl hier="11" item="0"/>
          <tpl fld="0" item="1"/>
        </tpls>
      </n>
      <m in="0">
        <tpls c="5">
          <tpl fld="1" item="10"/>
          <tpl fld="2" item="2"/>
          <tpl hier="10" item="7"/>
          <tpl hier="11" item="0"/>
          <tpl fld="0" item="1"/>
        </tpls>
      </m>
      <n v="-336986" in="0">
        <tpls c="5">
          <tpl fld="1" item="5"/>
          <tpl hier="9" item="4294967295"/>
          <tpl hier="10" item="7"/>
          <tpl hier="11" item="0"/>
          <tpl fld="0" item="1"/>
        </tpls>
      </n>
      <n v="-8839.75" in="0">
        <tpls c="5">
          <tpl fld="1" item="5"/>
          <tpl fld="2" item="15"/>
          <tpl hier="10" item="7"/>
          <tpl hier="11" item="0"/>
          <tpl fld="0" item="0"/>
        </tpls>
      </n>
      <m in="0">
        <tpls c="5">
          <tpl fld="1" item="0"/>
          <tpl fld="2" item="4"/>
          <tpl hier="10" item="7"/>
          <tpl hier="11" item="0"/>
          <tpl fld="0" item="1"/>
        </tpls>
      </m>
      <n v="-4051.5" in="0">
        <tpls c="5">
          <tpl fld="1" item="3"/>
          <tpl fld="2" item="1"/>
          <tpl hier="10" item="7"/>
          <tpl hier="11" item="0"/>
          <tpl fld="0" item="0"/>
        </tpls>
      </n>
      <n v="-274039" in="0">
        <tpls c="5">
          <tpl fld="1" item="5"/>
          <tpl fld="2" item="0"/>
          <tpl hier="10" item="7"/>
          <tpl hier="11" item="0"/>
          <tpl fld="0" item="1"/>
        </tpls>
      </n>
      <n v="-1919.5" in="0">
        <tpls c="5">
          <tpl fld="1" item="11"/>
          <tpl fld="2" item="3"/>
          <tpl hier="10" item="7"/>
          <tpl hier="11" item="0"/>
          <tpl fld="0" item="0"/>
        </tpls>
      </n>
      <m in="0">
        <tpls c="5">
          <tpl fld="1" item="1"/>
          <tpl fld="2" item="4"/>
          <tpl hier="10" item="7"/>
          <tpl hier="11" item="0"/>
          <tpl fld="0" item="1"/>
        </tpls>
      </m>
      <m in="0">
        <tpls c="5">
          <tpl fld="1" item="8"/>
          <tpl fld="2" item="9"/>
          <tpl hier="10" item="7"/>
          <tpl hier="11" item="0"/>
          <tpl fld="0" item="1"/>
        </tpls>
      </m>
      <m in="0">
        <tpls c="5">
          <tpl fld="1" item="5"/>
          <tpl fld="2" item="7"/>
          <tpl hier="10" item="7"/>
          <tpl hier="11" item="0"/>
          <tpl fld="0" item="1"/>
        </tpls>
      </m>
      <n v="-5158.75" in="0">
        <tpls c="5">
          <tpl fld="1" item="7"/>
          <tpl fld="2" item="12"/>
          <tpl hier="10" item="7"/>
          <tpl hier="11" item="0"/>
          <tpl fld="0" item="0"/>
        </tpls>
      </n>
      <m in="0">
        <tpls c="5">
          <tpl fld="1" item="10"/>
          <tpl fld="2" item="4"/>
          <tpl hier="10" item="7"/>
          <tpl hier="11" item="0"/>
          <tpl fld="0" item="0"/>
        </tpls>
      </m>
      <n v="-275264" in="0">
        <tpls c="5">
          <tpl fld="1" item="9"/>
          <tpl fld="2" item="0"/>
          <tpl hier="10" item="7"/>
          <tpl hier="11" item="0"/>
          <tpl fld="0" item="1"/>
        </tpls>
      </n>
      <n v="-1066.25" in="0">
        <tpls c="5">
          <tpl fld="1" item="5"/>
          <tpl fld="2" item="5"/>
          <tpl hier="10" item="7"/>
          <tpl hier="11" item="0"/>
          <tpl fld="0" item="0"/>
        </tpls>
      </n>
      <n v="-246824" in="0">
        <tpls c="5">
          <tpl fld="1" item="4"/>
          <tpl hier="9" item="4294967295"/>
          <tpl hier="10" item="7"/>
          <tpl hier="11" item="0"/>
          <tpl fld="0" item="0"/>
        </tpls>
      </n>
      <n v="-5825" in="0">
        <tpls c="5">
          <tpl fld="1" item="5"/>
          <tpl fld="2" item="15"/>
          <tpl hier="10" item="7"/>
          <tpl hier="11" item="0"/>
          <tpl fld="0" item="1"/>
        </tpls>
      </n>
      <m in="0">
        <tpls c="5">
          <tpl fld="1" item="0"/>
          <tpl fld="2" item="4"/>
          <tpl hier="10" item="7"/>
          <tpl hier="11" item="0"/>
          <tpl fld="0" item="0"/>
        </tpls>
      </m>
      <n v="-4388.25" in="0">
        <tpls c="5">
          <tpl fld="1" item="6"/>
          <tpl fld="2" item="1"/>
          <tpl hier="10" item="7"/>
          <tpl hier="11" item="0"/>
          <tpl fld="0" item="0"/>
        </tpls>
      </n>
      <m in="0">
        <tpls c="5">
          <tpl fld="1" item="9"/>
          <tpl fld="2" item="8"/>
          <tpl hier="10" item="7"/>
          <tpl hier="11" item="0"/>
          <tpl fld="0" item="0"/>
        </tpls>
      </m>
      <n v="-195567.25" in="0">
        <tpls c="5">
          <tpl fld="1" item="8"/>
          <tpl fld="2" item="0"/>
          <tpl hier="10" item="7"/>
          <tpl hier="11" item="0"/>
          <tpl fld="0" item="0"/>
        </tpls>
      </n>
      <n v="-1730" in="0">
        <tpls c="5">
          <tpl fld="1" item="1"/>
          <tpl fld="2" item="1"/>
          <tpl hier="10" item="7"/>
          <tpl hier="11" item="0"/>
          <tpl fld="0" item="1"/>
        </tpls>
      </n>
      <n v="-1098" in="0">
        <tpls c="5">
          <tpl fld="1" item="10"/>
          <tpl fld="2" item="3"/>
          <tpl hier="10" item="7"/>
          <tpl hier="11" item="0"/>
          <tpl fld="0" item="1"/>
        </tpls>
      </n>
      <n v="-9904" in="0">
        <tpls c="5">
          <tpl fld="1" item="11"/>
          <tpl fld="2" item="6"/>
          <tpl hier="10" item="7"/>
          <tpl hier="11" item="0"/>
          <tpl fld="0" item="1"/>
        </tpls>
      </n>
      <m in="0">
        <tpls c="5">
          <tpl fld="1" item="5"/>
          <tpl fld="2" item="4"/>
          <tpl hier="10" item="7"/>
          <tpl hier="11" item="0"/>
          <tpl fld="0" item="0"/>
        </tpls>
      </m>
      <m in="0">
        <tpls c="5">
          <tpl fld="1" item="7"/>
          <tpl fld="2" item="9"/>
          <tpl hier="10" item="7"/>
          <tpl hier="11" item="0"/>
          <tpl fld="0" item="0"/>
        </tpls>
      </m>
      <n v="-26744" in="0">
        <tpls c="5">
          <tpl fld="1" item="5"/>
          <tpl fld="2" item="6"/>
          <tpl hier="10" item="7"/>
          <tpl hier="11" item="0"/>
          <tpl fld="0" item="1"/>
        </tpls>
      </n>
      <n v="-5199" in="0">
        <tpls c="5">
          <tpl fld="1" item="7"/>
          <tpl fld="2" item="12"/>
          <tpl hier="10" item="7"/>
          <tpl hier="11" item="0"/>
          <tpl fld="0" item="1"/>
        </tpls>
      </n>
      <n v="-1057.5" in="0">
        <tpls c="5">
          <tpl fld="1" item="10"/>
          <tpl fld="2" item="5"/>
          <tpl hier="10" item="7"/>
          <tpl hier="11" item="0"/>
          <tpl fld="0" item="0"/>
        </tpls>
      </n>
      <m in="0">
        <tpls c="5">
          <tpl fld="1" item="3"/>
          <tpl fld="2" item="14"/>
          <tpl hier="10" item="7"/>
          <tpl hier="11" item="0"/>
          <tpl fld="0" item="0"/>
        </tpls>
      </m>
      <n v="-11682.25" in="0">
        <tpls c="5">
          <tpl fld="1" item="5"/>
          <tpl fld="2" item="10"/>
          <tpl hier="10" item="7"/>
          <tpl hier="11" item="0"/>
          <tpl fld="0" item="0"/>
        </tpls>
      </n>
      <n v="-202938" in="0">
        <tpls c="5">
          <tpl fld="1" item="4"/>
          <tpl hier="9" item="4294967295"/>
          <tpl hier="10" item="7"/>
          <tpl hier="11" item="0"/>
          <tpl fld="0" item="1"/>
        </tpls>
      </n>
      <n v="-4441" in="0">
        <tpls c="5">
          <tpl fld="1" item="3"/>
          <tpl fld="2" item="15"/>
          <tpl hier="10" item="7"/>
          <tpl hier="11" item="0"/>
          <tpl fld="0" item="1"/>
        </tpls>
      </n>
      <n v="-770" in="0">
        <tpls c="5">
          <tpl fld="1" item="0"/>
          <tpl fld="2" item="5"/>
          <tpl hier="10" item="7"/>
          <tpl hier="11" item="0"/>
          <tpl fld="0" item="1"/>
        </tpls>
      </n>
      <m in="0">
        <tpls c="5">
          <tpl fld="1" item="1"/>
          <tpl fld="2" item="7"/>
          <tpl hier="10" item="7"/>
          <tpl hier="11" item="0"/>
          <tpl fld="0" item="0"/>
        </tpls>
      </m>
      <n v="-17159.5" in="0">
        <tpls c="5">
          <tpl fld="1" item="7"/>
          <tpl fld="2" item="6"/>
          <tpl hier="10" item="7"/>
          <tpl hier="11" item="0"/>
          <tpl fld="0" item="0"/>
        </tpls>
      </n>
      <m in="0">
        <tpls c="5">
          <tpl fld="1" item="1"/>
          <tpl fld="2" item="14"/>
          <tpl hier="10" item="7"/>
          <tpl hier="11" item="0"/>
          <tpl fld="0" item="1"/>
        </tpls>
      </m>
      <n v="-16698" in="0">
        <tpls c="5">
          <tpl fld="1" item="8"/>
          <tpl fld="2" item="6"/>
          <tpl hier="10" item="7"/>
          <tpl hier="11" item="0"/>
          <tpl fld="0" item="0"/>
        </tpls>
      </n>
      <m in="0">
        <tpls c="5">
          <tpl fld="1" item="10"/>
          <tpl fld="2" item="7"/>
          <tpl hier="10" item="7"/>
          <tpl hier="11" item="0"/>
          <tpl fld="0" item="0"/>
        </tpls>
      </m>
      <n v="-1336" in="0">
        <tpls c="5">
          <tpl fld="1" item="3"/>
          <tpl fld="2" item="5"/>
          <tpl hier="10" item="7"/>
          <tpl hier="11" item="0"/>
          <tpl fld="0" item="0"/>
        </tpls>
      </n>
      <m in="0">
        <tpls c="5">
          <tpl fld="1" item="7"/>
          <tpl fld="2" item="9"/>
          <tpl hier="10" item="7"/>
          <tpl hier="11" item="0"/>
          <tpl fld="0" item="1"/>
        </tpls>
      </m>
      <n v="-1770" in="0">
        <tpls c="5">
          <tpl fld="1" item="5"/>
          <tpl fld="2" item="1"/>
          <tpl hier="10" item="7"/>
          <tpl hier="11" item="0"/>
          <tpl fld="0" item="1"/>
        </tpls>
      </n>
      <n v="-4962.75" in="0">
        <tpls c="5">
          <tpl fld="1" item="6"/>
          <tpl fld="2" item="12"/>
          <tpl hier="10" item="7"/>
          <tpl hier="11" item="0"/>
          <tpl fld="0" item="0"/>
        </tpls>
      </n>
      <m in="0">
        <tpls c="5">
          <tpl fld="1" item="10"/>
          <tpl fld="2" item="2"/>
          <tpl hier="10" item="7"/>
          <tpl hier="11" item="0"/>
          <tpl fld="0" item="0"/>
        </tpls>
      </m>
      <m in="0">
        <tpls c="5">
          <tpl fld="1" item="3"/>
          <tpl fld="2" item="14"/>
          <tpl hier="10" item="7"/>
          <tpl hier="11" item="0"/>
          <tpl fld="0" item="1"/>
        </tpls>
      </m>
      <m in="0">
        <tpls c="5">
          <tpl fld="1" item="5"/>
          <tpl fld="2" item="9"/>
          <tpl hier="10" item="7"/>
          <tpl hier="11" item="0"/>
          <tpl fld="0" item="0"/>
        </tpls>
      </m>
      <n v="-264806.75" in="0">
        <tpls c="5">
          <tpl fld="1" item="9"/>
          <tpl hier="9" item="4294967295"/>
          <tpl hier="10" item="7"/>
          <tpl hier="11" item="0"/>
          <tpl fld="0" item="0"/>
        </tpls>
      </n>
      <n v="-7028.5" in="0">
        <tpls c="5">
          <tpl fld="1" item="4"/>
          <tpl fld="2" item="15"/>
          <tpl hier="10" item="7"/>
          <tpl hier="11" item="0"/>
          <tpl fld="0" item="0"/>
        </tpls>
      </n>
      <n v="-1139.75" in="0">
        <tpls c="5">
          <tpl fld="1" item="0"/>
          <tpl fld="2" item="5"/>
          <tpl hier="10" item="7"/>
          <tpl hier="11" item="0"/>
          <tpl fld="0" item="0"/>
        </tpls>
      </n>
      <n v="-2437.25" in="0">
        <tpls c="5">
          <tpl fld="1" item="9"/>
          <tpl fld="2" item="3"/>
          <tpl hier="10" item="7"/>
          <tpl hier="11" item="0"/>
          <tpl fld="0" item="0"/>
        </tpls>
      </n>
      <n v="-458.25" in="0">
        <tpls c="5">
          <tpl fld="1" item="1"/>
          <tpl fld="2" item="11"/>
          <tpl hier="10" item="7"/>
          <tpl hier="11" item="0"/>
          <tpl fld="0" item="0"/>
        </tpls>
      </n>
      <n v="-292313" in="0">
        <tpls c="5">
          <tpl fld="1" item="6"/>
          <tpl fld="2" item="0"/>
          <tpl hier="10" item="7"/>
          <tpl hier="11" item="0"/>
          <tpl fld="0" item="0"/>
        </tpls>
      </n>
      <n v="-823" in="0">
        <tpls c="5">
          <tpl fld="1" item="5"/>
          <tpl fld="2" item="11"/>
          <tpl hier="10" item="7"/>
          <tpl hier="11" item="0"/>
          <tpl fld="0" item="1"/>
        </tpls>
      </n>
      <n v="-590" in="0">
        <tpls c="5">
          <tpl fld="1" item="3"/>
          <tpl fld="2" item="5"/>
          <tpl hier="10" item="7"/>
          <tpl hier="11" item="0"/>
          <tpl fld="0" item="1"/>
        </tpls>
      </n>
      <m in="0">
        <tpls c="5">
          <tpl fld="1" item="6"/>
          <tpl fld="2" item="9"/>
          <tpl hier="10" item="7"/>
          <tpl hier="11" item="0"/>
          <tpl fld="0" item="0"/>
        </tpls>
      </m>
      <m in="0">
        <tpls c="5">
          <tpl fld="1" item="5"/>
          <tpl fld="2" item="2"/>
          <tpl hier="10" item="7"/>
          <tpl hier="11" item="0"/>
          <tpl fld="0" item="1"/>
        </tpls>
      </m>
      <n v="-2631" in="0">
        <tpls c="5">
          <tpl fld="1" item="6"/>
          <tpl fld="2" item="12"/>
          <tpl hier="10" item="7"/>
          <tpl hier="11" item="0"/>
          <tpl fld="0" item="1"/>
        </tpls>
      </n>
      <n v="-277520.25" in="0">
        <tpls c="5">
          <tpl fld="1" item="10"/>
          <tpl fld="2" item="0"/>
          <tpl hier="10" item="7"/>
          <tpl hier="11" item="0"/>
          <tpl fld="0" item="0"/>
        </tpls>
      </n>
      <m in="0">
        <tpls c="5">
          <tpl fld="1" item="2"/>
          <tpl fld="2" item="14"/>
          <tpl hier="10" item="7"/>
          <tpl hier="11" item="0"/>
          <tpl fld="0" item="0"/>
        </tpls>
      </m>
      <m in="0">
        <tpls c="5">
          <tpl fld="1" item="5"/>
          <tpl fld="2" item="7"/>
          <tpl hier="10" item="7"/>
          <tpl hier="11" item="0"/>
          <tpl fld="0" item="0"/>
        </tpls>
      </m>
      <n v="-252670.5" in="0">
        <tpls c="5">
          <tpl fld="1" item="11"/>
          <tpl hier="9" item="4294967295"/>
          <tpl hier="10" item="7"/>
          <tpl hier="11" item="0"/>
          <tpl fld="0" item="0"/>
        </tpls>
      </n>
      <n v="-6248.5" in="0">
        <tpls c="5">
          <tpl fld="1" item="3"/>
          <tpl fld="2" item="15"/>
          <tpl hier="10" item="7"/>
          <tpl hier="11" item="0"/>
          <tpl fld="0" item="0"/>
        </tpls>
      </n>
      <n v="-25696" in="0">
        <tpls c="5">
          <tpl fld="1" item="0"/>
          <tpl fld="2" item="6"/>
          <tpl hier="10" item="7"/>
          <tpl hier="11" item="0"/>
          <tpl fld="0" item="1"/>
        </tpls>
      </n>
      <n v="-1770" in="0">
        <tpls c="5">
          <tpl fld="1" item="7"/>
          <tpl fld="2" item="1"/>
          <tpl hier="10" item="7"/>
          <tpl hier="11" item="0"/>
          <tpl fld="0" item="1"/>
        </tpls>
      </n>
      <n v="-77721" in="0">
        <tpls c="5">
          <tpl fld="1" item="2"/>
          <tpl fld="2" item="0"/>
          <tpl hier="10" item="7"/>
          <tpl hier="11" item="0"/>
          <tpl fld="0" item="1"/>
        </tpls>
      </n>
      <m in="0">
        <tpls c="5">
          <tpl fld="1" item="1"/>
          <tpl fld="2" item="9"/>
          <tpl hier="10" item="7"/>
          <tpl hier="11" item="0"/>
          <tpl fld="0" item="1"/>
        </tpls>
      </m>
      <n v="-23897.75" in="0">
        <tpls c="5">
          <tpl fld="1" item="11"/>
          <tpl fld="2" item="6"/>
          <tpl hier="10" item="7"/>
          <tpl hier="11" item="0"/>
          <tpl fld="0" item="0"/>
        </tpls>
      </n>
      <n v="-56887" in="0">
        <tpls c="4">
          <tpl fld="2" item="12"/>
          <tpl hier="10" item="7"/>
          <tpl hier="11" item="0"/>
          <tpl fld="0" item="0"/>
        </tpls>
      </n>
      <n v="-25281" in="0">
        <tpls c="5">
          <tpl fld="1" item="4"/>
          <tpl fld="2" item="6"/>
          <tpl hier="10" item="7"/>
          <tpl hier="11" item="0"/>
          <tpl fld="0" item="1"/>
        </tpls>
      </n>
      <n v="-1088" in="0">
        <tpls c="5">
          <tpl fld="1" item="8"/>
          <tpl fld="2" item="11"/>
          <tpl hier="10" item="7"/>
          <tpl hier="11" item="0"/>
          <tpl fld="0" item="1"/>
        </tpls>
      </n>
      <n v="-15591.75" in="0">
        <tpls c="5">
          <tpl fld="1" item="1"/>
          <tpl fld="2" item="6"/>
          <tpl hier="10" item="7"/>
          <tpl hier="11" item="0"/>
          <tpl fld="0" item="0"/>
        </tpls>
      </n>
      <n v="-4249" in="0">
        <tpls c="5">
          <tpl fld="1" item="7"/>
          <tpl fld="2" item="13"/>
          <tpl hier="10" item="7"/>
          <tpl hier="11" item="0"/>
          <tpl fld="0" item="1"/>
        </tpls>
      </n>
      <n v="-18150" in="0">
        <tpls c="5">
          <tpl fld="1" item="7"/>
          <tpl fld="2" item="10"/>
          <tpl hier="10" item="7"/>
          <tpl hier="11" item="0"/>
          <tpl fld="0" item="1"/>
        </tpls>
      </n>
      <n v="-4100.75" in="0">
        <tpls c="5">
          <tpl fld="1" item="9"/>
          <tpl fld="2" item="1"/>
          <tpl hier="10" item="7"/>
          <tpl hier="11" item="0"/>
          <tpl fld="0" item="0"/>
        </tpls>
      </n>
      <m in="0">
        <tpls c="5">
          <tpl fld="1" item="0"/>
          <tpl fld="2" item="8"/>
          <tpl hier="10" item="7"/>
          <tpl hier="11" item="0"/>
          <tpl fld="0" item="1"/>
        </tpls>
      </m>
      <n v="-206662" in="0">
        <tpls c="5">
          <tpl fld="1" item="9"/>
          <tpl fld="2" item="0"/>
          <tpl hier="10" item="7"/>
          <tpl hier="11" item="0"/>
          <tpl fld="0" item="0"/>
        </tpls>
      </n>
      <n v="-2710779" in="0">
        <tpls c="5">
          <tpl fld="1" item="1"/>
          <tpl fld="2" item="7"/>
          <tpl hier="10" item="8"/>
          <tpl hier="11" item="0"/>
          <tpl fld="0" item="1"/>
        </tpls>
      </n>
      <m in="0">
        <tpls c="5">
          <tpl fld="1" item="3"/>
          <tpl fld="2" item="2"/>
          <tpl hier="10" item="8"/>
          <tpl hier="11" item="0"/>
          <tpl fld="0" item="0"/>
        </tpls>
      </m>
      <n v="-54942" in="0">
        <tpls c="5">
          <tpl fld="1" item="2"/>
          <tpl fld="2" item="6"/>
          <tpl hier="10" item="8"/>
          <tpl hier="11" item="0"/>
          <tpl fld="0" item="1"/>
        </tpls>
      </n>
      <n v="-1753" in="0">
        <tpls c="5">
          <tpl fld="1" item="3"/>
          <tpl fld="2" item="11"/>
          <tpl hier="10" item="8"/>
          <tpl hier="11" item="0"/>
          <tpl fld="0" item="1"/>
        </tpls>
      </n>
      <n v="-13708.75" in="0">
        <tpls c="5">
          <tpl fld="1" item="3"/>
          <tpl fld="2" item="10"/>
          <tpl hier="10" item="8"/>
          <tpl hier="11" item="0"/>
          <tpl fld="0" item="0"/>
        </tpls>
      </n>
      <n v="-2434.75" in="0">
        <tpls c="5">
          <tpl fld="1" item="10"/>
          <tpl fld="2" item="3"/>
          <tpl hier="10" item="8"/>
          <tpl hier="11" item="0"/>
          <tpl fld="0" item="0"/>
        </tpls>
      </n>
      <n v="-84058.083333333328" in="0">
        <tpls c="5">
          <tpl fld="1" item="11"/>
          <tpl fld="2" item="7"/>
          <tpl hier="10" item="8"/>
          <tpl hier="11" item="0"/>
          <tpl fld="0" item="0"/>
        </tpls>
      </n>
      <n v="-40954" in="0">
        <tpls c="5">
          <tpl fld="1" item="3"/>
          <tpl fld="2" item="6"/>
          <tpl hier="10" item="8"/>
          <tpl hier="11" item="0"/>
          <tpl fld="0" item="1"/>
        </tpls>
      </n>
      <n v="5842719" in="0">
        <tpls c="5">
          <tpl fld="1" item="4"/>
          <tpl fld="2" item="9"/>
          <tpl hier="10" item="8"/>
          <tpl hier="11" item="0"/>
          <tpl fld="0" item="1"/>
        </tpls>
      </n>
      <n v="-1575" in="0">
        <tpls c="5">
          <tpl fld="1" item="10"/>
          <tpl fld="2" item="11"/>
          <tpl hier="10" item="8"/>
          <tpl hier="11" item="0"/>
          <tpl fld="0" item="1"/>
        </tpls>
      </n>
      <n v="-5684.25" in="0">
        <tpls c="5">
          <tpl fld="1" item="7"/>
          <tpl fld="2" item="13"/>
          <tpl hier="10" item="8"/>
          <tpl hier="11" item="0"/>
          <tpl fld="0" item="0"/>
        </tpls>
      </n>
      <n v="-5458" in="0">
        <tpls c="5">
          <tpl fld="1" item="11"/>
          <tpl fld="2" item="5"/>
          <tpl hier="10" item="8"/>
          <tpl hier="11" item="0"/>
          <tpl fld="0" item="1"/>
        </tpls>
      </n>
      <n v="-22100" in="0">
        <tpls c="5">
          <tpl fld="1" item="5"/>
          <tpl fld="2" item="14"/>
          <tpl hier="10" item="8"/>
          <tpl hier="11" item="0"/>
          <tpl fld="0" item="0"/>
        </tpls>
      </n>
      <n v="-152029" in="0">
        <tpls c="4">
          <tpl fld="2" item="13"/>
          <tpl hier="10" item="8"/>
          <tpl hier="11" item="0"/>
          <tpl fld="0" item="1"/>
        </tpls>
      </n>
      <n v="9345386.666666666" in="0">
        <tpls c="5">
          <tpl fld="1" item="7"/>
          <tpl hier="9" item="4294967295"/>
          <tpl hier="10" item="8"/>
          <tpl hier="11" item="0"/>
          <tpl fld="0" item="0"/>
        </tpls>
      </n>
      <n v="-7604" in="0">
        <tpls c="5">
          <tpl fld="1" item="11"/>
          <tpl fld="2" item="15"/>
          <tpl hier="10" item="8"/>
          <tpl hier="11" item="0"/>
          <tpl fld="0" item="1"/>
        </tpls>
      </n>
      <n v="-996.5" in="0">
        <tpls c="5">
          <tpl fld="1" item="0"/>
          <tpl fld="2" item="8"/>
          <tpl hier="10" item="8"/>
          <tpl hier="11" item="0"/>
          <tpl fld="0" item="0"/>
        </tpls>
      </n>
      <n v="-2180" in="0">
        <tpls c="5">
          <tpl fld="1" item="6"/>
          <tpl fld="2" item="1"/>
          <tpl hier="10" item="8"/>
          <tpl hier="11" item="0"/>
          <tpl fld="0" item="1"/>
        </tpls>
      </n>
      <n v="-125065.08333333333" in="0">
        <tpls c="5">
          <tpl fld="1" item="3"/>
          <tpl fld="2" item="7"/>
          <tpl hier="10" item="8"/>
          <tpl hier="11" item="0"/>
          <tpl fld="0" item="0"/>
        </tpls>
      </n>
      <n v="17358279" in="0">
        <tpls c="5">
          <tpl fld="1" item="6"/>
          <tpl fld="2" item="9"/>
          <tpl hier="10" item="8"/>
          <tpl hier="11" item="0"/>
          <tpl fld="0" item="1"/>
        </tpls>
      </n>
      <n v="-7306" in="0">
        <tpls c="5">
          <tpl fld="1" item="3"/>
          <tpl fld="2" item="3"/>
          <tpl hier="10" item="8"/>
          <tpl hier="11" item="0"/>
          <tpl fld="0" item="1"/>
        </tpls>
      </n>
      <n v="-647.75" in="0">
        <tpls c="5">
          <tpl fld="1" item="9"/>
          <tpl fld="2" item="11"/>
          <tpl hier="10" item="8"/>
          <tpl hier="11" item="0"/>
          <tpl fld="0" item="0"/>
        </tpls>
      </n>
      <n v="-43597" in="0">
        <tpls c="5">
          <tpl fld="1" item="10"/>
          <tpl fld="2" item="6"/>
          <tpl hier="10" item="8"/>
          <tpl hier="11" item="0"/>
          <tpl fld="0" item="1"/>
        </tpls>
      </n>
      <n v="-352463" in="0">
        <tpls c="5">
          <tpl fld="1" item="3"/>
          <tpl fld="2" item="0"/>
          <tpl hier="10" item="8"/>
          <tpl hier="11" item="0"/>
          <tpl fld="0" item="1"/>
        </tpls>
      </n>
      <n v="-14701" in="0">
        <tpls c="5">
          <tpl fld="1" item="2"/>
          <tpl fld="2" item="6"/>
          <tpl hier="10" item="8"/>
          <tpl hier="11" item="0"/>
          <tpl fld="0" item="0"/>
        </tpls>
      </n>
      <n v="-4425" in="0">
        <tpls c="5">
          <tpl fld="1" item="4"/>
          <tpl fld="2" item="5"/>
          <tpl hier="10" item="8"/>
          <tpl hier="11" item="0"/>
          <tpl fld="0" item="1"/>
        </tpls>
      </n>
      <n v="-476.75" in="0">
        <tpls c="5">
          <tpl fld="1" item="8"/>
          <tpl fld="2" item="11"/>
          <tpl hier="10" item="8"/>
          <tpl hier="11" item="0"/>
          <tpl fld="0" item="0"/>
        </tpls>
      </n>
      <n v="-7294.25" in="0">
        <tpls c="5">
          <tpl fld="1" item="3"/>
          <tpl fld="2" item="13"/>
          <tpl hier="10" item="8"/>
          <tpl hier="11" item="0"/>
          <tpl fld="0" item="0"/>
        </tpls>
      </n>
      <m in="0">
        <tpls c="5">
          <tpl fld="1" item="11"/>
          <tpl fld="2" item="2"/>
          <tpl hier="10" item="8"/>
          <tpl hier="11" item="0"/>
          <tpl fld="0" item="1"/>
        </tpls>
      </m>
      <n v="-435411" in="0">
        <tpls c="5">
          <tpl fld="1" item="5"/>
          <tpl fld="2" item="14"/>
          <tpl hier="10" item="8"/>
          <tpl hier="11" item="0"/>
          <tpl fld="0" item="1"/>
        </tpls>
      </n>
      <n v="-171788" in="0">
        <tpls c="4">
          <tpl fld="2" item="12"/>
          <tpl hier="10" item="8"/>
          <tpl hier="11" item="0"/>
          <tpl fld="0" item="1"/>
        </tpls>
      </n>
      <n v="9548984" in="0">
        <tpls c="5">
          <tpl fld="1" item="7"/>
          <tpl hier="9" item="4294967295"/>
          <tpl hier="10" item="8"/>
          <tpl hier="11" item="0"/>
          <tpl fld="0" item="1"/>
        </tpls>
      </n>
      <n v="-73516.5" in="0">
        <tpls c="4">
          <tpl fld="2" item="15"/>
          <tpl hier="10" item="8"/>
          <tpl hier="11" item="0"/>
          <tpl fld="0" item="0"/>
        </tpls>
      </n>
      <n v="16447053" in="0">
        <tpls c="5">
          <tpl fld="1" item="0"/>
          <tpl fld="2" item="9"/>
          <tpl hier="10" item="8"/>
          <tpl hier="11" item="0"/>
          <tpl fld="0" item="1"/>
        </tpls>
      </n>
      <n v="-25282" in="0">
        <tpls c="5">
          <tpl fld="1" item="6"/>
          <tpl fld="2" item="4"/>
          <tpl hier="10" item="8"/>
          <tpl hier="11" item="0"/>
          <tpl fld="0" item="1"/>
        </tpls>
      </n>
      <n v="-2180" in="0">
        <tpls c="5">
          <tpl fld="1" item="2"/>
          <tpl fld="2" item="1"/>
          <tpl hier="10" item="8"/>
          <tpl hier="11" item="0"/>
          <tpl fld="0" item="1"/>
        </tpls>
      </n>
      <m in="0">
        <tpls c="5">
          <tpl fld="1" item="2"/>
          <tpl fld="2" item="2"/>
          <tpl hier="10" item="8"/>
          <tpl hier="11" item="0"/>
          <tpl fld="0" item="1"/>
        </tpls>
      </m>
      <n v="-457968" in="0">
        <tpls c="5">
          <tpl fld="1" item="3"/>
          <tpl fld="2" item="8"/>
          <tpl hier="10" item="8"/>
          <tpl hier="11" item="0"/>
          <tpl fld="0" item="1"/>
        </tpls>
      </n>
      <n v="11215260" in="0">
        <tpls c="5">
          <tpl fld="1" item="3"/>
          <tpl fld="2" item="9"/>
          <tpl hier="10" item="8"/>
          <tpl hier="11" item="0"/>
          <tpl fld="0" item="1"/>
        </tpls>
      </n>
      <n v="-499.25" in="0">
        <tpls c="5">
          <tpl fld="1" item="5"/>
          <tpl fld="2" item="11"/>
          <tpl hier="10" item="8"/>
          <tpl hier="11" item="0"/>
          <tpl fld="0" item="0"/>
        </tpls>
      </n>
      <n v="-21538.75" in="0">
        <tpls c="5">
          <tpl fld="1" item="9"/>
          <tpl fld="2" item="6"/>
          <tpl hier="10" item="8"/>
          <tpl hier="11" item="0"/>
          <tpl fld="0" item="0"/>
        </tpls>
      </n>
      <n v="-141101.58333333334" in="0">
        <tpls c="5">
          <tpl fld="1" item="4"/>
          <tpl fld="2" item="7"/>
          <tpl hier="10" item="8"/>
          <tpl hier="11" item="0"/>
          <tpl fld="0" item="0"/>
        </tpls>
      </n>
      <n v="-578887" in="0">
        <tpls c="5">
          <tpl fld="1" item="4"/>
          <tpl fld="2" item="0"/>
          <tpl hier="10" item="8"/>
          <tpl hier="11" item="0"/>
          <tpl fld="0" item="1"/>
        </tpls>
      </n>
      <n v="-425.25" in="0">
        <tpls c="5">
          <tpl fld="1" item="7"/>
          <tpl fld="2" item="11"/>
          <tpl hier="10" item="8"/>
          <tpl hier="11" item="0"/>
          <tpl fld="0" item="0"/>
        </tpls>
      </n>
      <n v="-15286" in="0">
        <tpls c="5">
          <tpl fld="1" item="3"/>
          <tpl fld="2" item="13"/>
          <tpl hier="10" item="8"/>
          <tpl hier="11" item="0"/>
          <tpl fld="0" item="1"/>
        </tpls>
      </n>
      <n v="-374044" in="0">
        <tpls c="5">
          <tpl fld="1" item="11"/>
          <tpl fld="2" item="0"/>
          <tpl hier="10" item="8"/>
          <tpl hier="11" item="0"/>
          <tpl fld="0" item="1"/>
        </tpls>
      </n>
      <n v="-31272.5" in="0">
        <tpls c="5">
          <tpl fld="1" item="11"/>
          <tpl fld="2" item="14"/>
          <tpl hier="10" item="8"/>
          <tpl hier="11" item="0"/>
          <tpl fld="0" item="0"/>
        </tpls>
      </n>
      <n v="-7997921" in="0">
        <tpls c="4">
          <tpl fld="2" item="0"/>
          <tpl hier="10" item="8"/>
          <tpl hier="11" item="0"/>
          <tpl fld="0" item="1"/>
        </tpls>
      </n>
      <n v="9176414.5" in="0">
        <tpls c="5">
          <tpl fld="1" item="6"/>
          <tpl hier="9" item="4294967295"/>
          <tpl hier="10" item="8"/>
          <tpl hier="11" item="0"/>
          <tpl fld="0" item="0"/>
        </tpls>
      </n>
      <n v="-107607" in="0">
        <tpls c="4">
          <tpl fld="2" item="15"/>
          <tpl hier="10" item="8"/>
          <tpl hier="11" item="0"/>
          <tpl fld="0" item="1"/>
        </tpls>
      </n>
      <n v="7995921" in="0">
        <tpls c="5">
          <tpl fld="1" item="0"/>
          <tpl fld="2" item="9"/>
          <tpl hier="10" item="8"/>
          <tpl hier="11" item="0"/>
          <tpl fld="0" item="0"/>
        </tpls>
      </n>
      <n v="-285944" in="0">
        <tpls c="4">
          <tpl fld="2" item="4"/>
          <tpl hier="10" item="8"/>
          <tpl hier="11" item="0"/>
          <tpl fld="0" item="1"/>
        </tpls>
      </n>
      <n v="-6399.5" in="0">
        <tpls c="5">
          <tpl fld="1" item="8"/>
          <tpl fld="2" item="15"/>
          <tpl hier="10" item="8"/>
          <tpl hier="11" item="0"/>
          <tpl fld="0" item="0"/>
        </tpls>
      </n>
      <n v="-3523.75" in="0">
        <tpls c="5">
          <tpl fld="1" item="3"/>
          <tpl fld="2" item="8"/>
          <tpl hier="10" item="8"/>
          <tpl hier="11" item="0"/>
          <tpl fld="0" item="0"/>
        </tpls>
      </n>
      <n v="-546.75" in="0">
        <tpls c="5">
          <tpl fld="1" item="3"/>
          <tpl fld="2" item="11"/>
          <tpl hier="10" item="8"/>
          <tpl hier="11" item="0"/>
          <tpl fld="0" item="0"/>
        </tpls>
      </n>
      <n v="-561851" in="0">
        <tpls c="5">
          <tpl fld="1" item="11"/>
          <tpl fld="2" item="14"/>
          <tpl hier="10" item="8"/>
          <tpl hier="11" item="0"/>
          <tpl fld="0" item="1"/>
        </tpls>
      </n>
      <n v="-7865" in="0">
        <tpls c="5">
          <tpl fld="1" item="8"/>
          <tpl fld="2" item="15"/>
          <tpl hier="10" item="8"/>
          <tpl hier="11" item="0"/>
          <tpl fld="0" item="1"/>
        </tpls>
      </n>
      <n v="-2160" in="0">
        <tpls c="5">
          <tpl fld="1" item="3"/>
          <tpl fld="2" item="1"/>
          <tpl hier="10" item="8"/>
          <tpl hier="11" item="0"/>
          <tpl fld="0" item="1"/>
        </tpls>
      </n>
      <n v="-2160" in="0">
        <tpls c="5">
          <tpl fld="1" item="9"/>
          <tpl fld="2" item="1"/>
          <tpl hier="10" item="8"/>
          <tpl hier="11" item="0"/>
          <tpl fld="0" item="1"/>
        </tpls>
      </n>
      <n v="-17504" in="0">
        <tpls c="5">
          <tpl fld="1" item="9"/>
          <tpl fld="2" item="12"/>
          <tpl hier="10" item="8"/>
          <tpl hier="11" item="0"/>
          <tpl fld="0" item="1"/>
        </tpls>
      </n>
      <n v="-36502.5" in="0">
        <tpls c="5">
          <tpl fld="1" item="10"/>
          <tpl fld="2" item="14"/>
          <tpl hier="10" item="8"/>
          <tpl hier="11" item="0"/>
          <tpl fld="0" item="0"/>
        </tpls>
      </n>
      <n v="-4229.75" in="0">
        <tpls c="5">
          <tpl fld="1" item="0"/>
          <tpl fld="2" item="12"/>
          <tpl hier="10" item="8"/>
          <tpl hier="11" item="0"/>
          <tpl fld="0" item="0"/>
        </tpls>
      </n>
      <n v="-3172" in="0">
        <tpls c="5">
          <tpl fld="1" item="7"/>
          <tpl fld="2" item="5"/>
          <tpl hier="10" item="8"/>
          <tpl hier="11" item="0"/>
          <tpl fld="0" item="1"/>
        </tpls>
      </n>
      <n v="-3378.25" in="0">
        <tpls c="5">
          <tpl fld="1" item="11"/>
          <tpl fld="2" item="1"/>
          <tpl hier="10" item="8"/>
          <tpl hier="11" item="0"/>
          <tpl fld="0" item="0"/>
        </tpls>
      </n>
      <n v="-4366.75" in="0">
        <tpls c="5">
          <tpl fld="1" item="2"/>
          <tpl fld="2" item="12"/>
          <tpl hier="10" item="8"/>
          <tpl hier="11" item="0"/>
          <tpl fld="0" item="0"/>
        </tpls>
      </n>
      <n v="-35856.5" in="0">
        <tpls c="5">
          <tpl fld="1" item="8"/>
          <tpl fld="2" item="14"/>
          <tpl hier="10" item="8"/>
          <tpl hier="11" item="0"/>
          <tpl fld="0" item="0"/>
        </tpls>
      </n>
      <n v="-8500" in="0">
        <tpls c="5">
          <tpl fld="1" item="7"/>
          <tpl fld="2" item="15"/>
          <tpl hier="10" item="8"/>
          <tpl hier="11" item="0"/>
          <tpl fld="0" item="1"/>
        </tpls>
      </n>
      <n v="-751.75" in="0">
        <tpls c="5">
          <tpl fld="1" item="2"/>
          <tpl fld="2" item="8"/>
          <tpl hier="10" item="8"/>
          <tpl hier="11" item="0"/>
          <tpl fld="0" item="0"/>
        </tpls>
      </n>
      <n v="-242633.5" in="0">
        <tpls c="5">
          <tpl fld="1" item="3"/>
          <tpl fld="2" item="0"/>
          <tpl hier="10" item="8"/>
          <tpl hier="11" item="0"/>
          <tpl fld="0" item="0"/>
        </tpls>
      </n>
      <n v="-498296" in="0">
        <tpls c="5">
          <tpl fld="1" item="8"/>
          <tpl fld="2" item="8"/>
          <tpl hier="10" item="8"/>
          <tpl hier="11" item="0"/>
          <tpl fld="0" item="1"/>
        </tpls>
      </n>
      <n v="-16752" in="0">
        <tpls c="5">
          <tpl fld="1" item="5"/>
          <tpl fld="2" item="12"/>
          <tpl hier="10" item="8"/>
          <tpl hier="11" item="0"/>
          <tpl fld="0" item="1"/>
        </tpls>
      </n>
      <n v="-705345" in="0">
        <tpls c="5">
          <tpl fld="1" item="8"/>
          <tpl fld="2" item="14"/>
          <tpl hier="10" item="8"/>
          <tpl hier="11" item="0"/>
          <tpl fld="0" item="1"/>
        </tpls>
      </n>
      <n v="-5129" in="0">
        <tpls c="5">
          <tpl fld="1" item="6"/>
          <tpl fld="2" item="15"/>
          <tpl hier="10" item="8"/>
          <tpl hier="11" item="0"/>
          <tpl fld="0" item="0"/>
        </tpls>
      </n>
      <n v="-14248" in="0">
        <tpls c="5">
          <tpl fld="1" item="10"/>
          <tpl fld="2" item="6"/>
          <tpl hier="10" item="8"/>
          <tpl hier="11" item="0"/>
          <tpl fld="0" item="0"/>
        </tpls>
      </n>
      <n v="-1933" in="0">
        <tpls c="5">
          <tpl fld="1" item="11"/>
          <tpl fld="2" item="4"/>
          <tpl hier="10" item="8"/>
          <tpl hier="11" item="0"/>
          <tpl fld="0" item="0"/>
        </tpls>
      </n>
      <n v="-1058509" in="0">
        <tpls c="5">
          <tpl fld="1" item="0"/>
          <tpl fld="2" item="0"/>
          <tpl hier="10" item="8"/>
          <tpl hier="11" item="0"/>
          <tpl fld="0" item="1"/>
        </tpls>
      </n>
      <m in="0">
        <tpls c="5">
          <tpl fld="1" item="1"/>
          <tpl fld="2" item="2"/>
          <tpl hier="10" item="8"/>
          <tpl hier="11" item="0"/>
          <tpl fld="0" item="1"/>
        </tpls>
      </m>
      <n v="-153613" in="0">
        <tpls c="5">
          <tpl fld="1" item="11"/>
          <tpl fld="2" item="10"/>
          <tpl hier="10" item="8"/>
          <tpl hier="11" item="0"/>
          <tpl fld="0" item="1"/>
        </tpls>
      </n>
      <n v="2597359" in="0">
        <tpls c="5">
          <tpl fld="1" item="11"/>
          <tpl hier="9" item="4294967295"/>
          <tpl hier="10" item="8"/>
          <tpl hier="11" item="0"/>
          <tpl fld="0" item="1"/>
        </tpls>
      </n>
      <n v="-2126.5" in="0">
        <tpls c="5">
          <tpl fld="1" item="8"/>
          <tpl fld="2" item="3"/>
          <tpl hier="10" item="8"/>
          <tpl hier="11" item="0"/>
          <tpl fld="0" item="0"/>
        </tpls>
      </n>
      <n v="-1910083" in="0">
        <tpls c="5">
          <tpl fld="1" item="10"/>
          <tpl fld="2" item="7"/>
          <tpl hier="10" item="8"/>
          <tpl hier="11" item="0"/>
          <tpl fld="0" item="1"/>
        </tpls>
      </n>
      <n v="-10073.5" in="0">
        <tpls c="5">
          <tpl fld="1" item="10"/>
          <tpl fld="2" item="10"/>
          <tpl hier="10" item="8"/>
          <tpl hier="11" item="0"/>
          <tpl fld="0" item="0"/>
        </tpls>
      </n>
      <n v="-223136.25" in="0">
        <tpls c="5">
          <tpl fld="1" item="11"/>
          <tpl fld="2" item="0"/>
          <tpl hier="10" item="8"/>
          <tpl hier="11" item="0"/>
          <tpl fld="0" item="0"/>
        </tpls>
      </n>
      <n v="-21642" in="0">
        <tpls c="5">
          <tpl fld="1" item="3"/>
          <tpl fld="2" item="4"/>
          <tpl hier="10" item="8"/>
          <tpl hier="11" item="0"/>
          <tpl fld="0" item="1"/>
        </tpls>
      </n>
      <n v="-9205" in="0">
        <tpls c="5">
          <tpl fld="1" item="10"/>
          <tpl fld="2" item="13"/>
          <tpl hier="10" item="8"/>
          <tpl hier="11" item="0"/>
          <tpl fld="0" item="1"/>
        </tpls>
      </n>
      <n v="-6846" in="0">
        <tpls c="5">
          <tpl fld="1" item="5"/>
          <tpl fld="2" item="3"/>
          <tpl hier="10" item="8"/>
          <tpl hier="11" item="0"/>
          <tpl fld="0" item="1"/>
        </tpls>
      </n>
      <n v="-5968.25" in="0">
        <tpls c="5">
          <tpl fld="1" item="8"/>
          <tpl fld="2" item="13"/>
          <tpl hier="10" item="8"/>
          <tpl hier="11" item="0"/>
          <tpl fld="0" item="0"/>
        </tpls>
      </n>
      <m in="0">
        <tpls c="5">
          <tpl fld="1" item="0"/>
          <tpl fld="2" item="2"/>
          <tpl hier="10" item="8"/>
          <tpl hier="11" item="0"/>
          <tpl fld="0" item="1"/>
        </tpls>
      </m>
      <m in="0">
        <tpls c="5">
          <tpl fld="1" item="6"/>
          <tpl fld="2" item="2"/>
          <tpl hier="10" item="8"/>
          <tpl hier="11" item="0"/>
          <tpl fld="0" item="0"/>
        </tpls>
      </m>
      <n v="-81859" in="0">
        <tpls c="5">
          <tpl fld="1" item="8"/>
          <tpl fld="2" item="10"/>
          <tpl hier="10" item="8"/>
          <tpl hier="11" item="0"/>
          <tpl fld="0" item="1"/>
        </tpls>
      </n>
      <m in="0">
        <tpls c="5">
          <tpl fld="1" item="0"/>
          <tpl fld="2" item="2"/>
          <tpl hier="10" item="8"/>
          <tpl hier="11" item="0"/>
          <tpl fld="0" item="0"/>
        </tpls>
      </m>
      <n v="-3497.5" in="0">
        <tpls c="5">
          <tpl fld="1" item="6"/>
          <tpl fld="2" item="13"/>
          <tpl hier="10" item="8"/>
          <tpl hier="11" item="0"/>
          <tpl fld="0" item="0"/>
        </tpls>
      </n>
      <n v="9118441" in="0">
        <tpls c="5">
          <tpl fld="1" item="10"/>
          <tpl fld="2" item="9"/>
          <tpl hier="10" item="8"/>
          <tpl hier="11" item="0"/>
          <tpl fld="0" item="0"/>
        </tpls>
      </n>
      <n v="-2180" in="0">
        <tpls c="5">
          <tpl fld="1" item="10"/>
          <tpl fld="2" item="1"/>
          <tpl hier="10" item="8"/>
          <tpl hier="11" item="0"/>
          <tpl fld="0" item="1"/>
        </tpls>
      </n>
      <n v="-1953148" in="0">
        <tpls c="5">
          <tpl fld="1" item="8"/>
          <tpl fld="2" item="7"/>
          <tpl hier="10" item="8"/>
          <tpl hier="11" item="0"/>
          <tpl fld="0" item="1"/>
        </tpls>
      </n>
      <n v="-14415.75" in="0">
        <tpls c="5">
          <tpl fld="1" item="5"/>
          <tpl fld="2" item="6"/>
          <tpl hier="10" item="8"/>
          <tpl hier="11" item="0"/>
          <tpl fld="0" item="0"/>
        </tpls>
      </n>
      <n v="-41" in="0">
        <tpls c="5">
          <tpl fld="1" item="4"/>
          <tpl fld="2" item="8"/>
          <tpl hier="10" item="8"/>
          <tpl hier="11" item="0"/>
          <tpl fld="0" item="0"/>
        </tpls>
      </n>
      <n v="-1165.5" in="0">
        <tpls c="5">
          <tpl fld="1" item="9"/>
          <tpl fld="2" item="5"/>
          <tpl hier="10" item="8"/>
          <tpl hier="11" item="0"/>
          <tpl fld="0" item="0"/>
        </tpls>
      </n>
      <n v="7321689" in="0">
        <tpls c="5">
          <tpl fld="1" item="10"/>
          <tpl hier="9" item="4294967295"/>
          <tpl hier="10" item="8"/>
          <tpl hier="11" item="0"/>
          <tpl fld="0" item="1"/>
        </tpls>
      </n>
      <n v="-4569.5" in="0">
        <tpls c="5">
          <tpl fld="1" item="9"/>
          <tpl fld="2" item="12"/>
          <tpl hier="10" item="8"/>
          <tpl hier="11" item="0"/>
          <tpl fld="0" item="0"/>
        </tpls>
      </n>
      <m in="0">
        <tpls c="5">
          <tpl fld="1" item="5"/>
          <tpl fld="2" item="2"/>
          <tpl hier="10" item="8"/>
          <tpl hier="11" item="0"/>
          <tpl fld="0" item="0"/>
        </tpls>
      </m>
      <n v="-1184.5" in="0">
        <tpls c="5">
          <tpl fld="1" item="7"/>
          <tpl fld="2" item="4"/>
          <tpl hier="10" item="8"/>
          <tpl hier="11" item="0"/>
          <tpl fld="0" item="0"/>
        </tpls>
      </n>
      <n v="-12429" in="0">
        <tpls c="5">
          <tpl fld="1" item="3"/>
          <tpl fld="2" item="6"/>
          <tpl hier="10" item="8"/>
          <tpl hier="11" item="0"/>
          <tpl fld="0" item="0"/>
        </tpls>
      </n>
      <n v="-10978" in="0">
        <tpls c="5">
          <tpl fld="1" item="4"/>
          <tpl fld="2" item="13"/>
          <tpl hier="10" item="8"/>
          <tpl hier="11" item="0"/>
          <tpl fld="0" item="1"/>
        </tpls>
      </n>
      <n v="-11051" in="0">
        <tpls c="5">
          <tpl fld="1" item="9"/>
          <tpl fld="2" item="15"/>
          <tpl hier="10" item="8"/>
          <tpl hier="11" item="0"/>
          <tpl fld="0" item="1"/>
        </tpls>
      </n>
      <n v="-2724" in="0">
        <tpls c="5">
          <tpl fld="1" item="1"/>
          <tpl fld="2" item="3"/>
          <tpl hier="10" item="8"/>
          <tpl hier="11" item="0"/>
          <tpl fld="0" item="0"/>
        </tpls>
      </n>
      <n v="-31728.75" in="0">
        <tpls c="5">
          <tpl fld="1" item="7"/>
          <tpl fld="2" item="8"/>
          <tpl hier="10" item="8"/>
          <tpl hier="11" item="0"/>
          <tpl fld="0" item="0"/>
        </tpls>
      </n>
      <n v="-14831.75" in="0">
        <tpls c="4">
          <tpl fld="2" item="5"/>
          <tpl hier="10" item="8"/>
          <tpl hier="11" item="0"/>
          <tpl fld="0" item="0"/>
        </tpls>
      </n>
      <n v="-9943" in="0">
        <tpls c="5">
          <tpl fld="1" item="1"/>
          <tpl fld="2" item="10"/>
          <tpl hier="10" item="8"/>
          <tpl hier="11" item="0"/>
          <tpl fld="0" item="0"/>
        </tpls>
      </n>
      <n v="-871015" in="0">
        <tpls c="5">
          <tpl fld="1" item="10"/>
          <tpl fld="2" item="0"/>
          <tpl hier="10" item="8"/>
          <tpl hier="11" item="0"/>
          <tpl fld="0" item="1"/>
        </tpls>
      </n>
      <n v="-10896" in="0">
        <tpls c="5">
          <tpl fld="1" item="3"/>
          <tpl fld="2" item="12"/>
          <tpl hier="10" item="8"/>
          <tpl hier="11" item="0"/>
          <tpl fld="0" item="1"/>
        </tpls>
      </n>
      <n v="105300402" in="0">
        <tpls c="4">
          <tpl fld="2" item="9"/>
          <tpl hier="10" item="8"/>
          <tpl hier="11" item="0"/>
          <tpl fld="0" item="0"/>
        </tpls>
      </n>
      <n v="-4075.25" in="0">
        <tpls c="5">
          <tpl fld="1" item="2"/>
          <tpl fld="2" item="1"/>
          <tpl hier="10" item="8"/>
          <tpl hier="11" item="0"/>
          <tpl fld="0" item="0"/>
        </tpls>
      </n>
      <n v="-471142" in="0">
        <tpls c="4">
          <tpl fld="2" item="14"/>
          <tpl hier="10" item="8"/>
          <tpl hier="11" item="0"/>
          <tpl fld="0" item="0"/>
        </tpls>
      </n>
      <n v="-169828" in="0">
        <tpls c="5">
          <tpl fld="1" item="2"/>
          <tpl fld="2" item="10"/>
          <tpl hier="10" item="8"/>
          <tpl hier="11" item="0"/>
          <tpl fld="0" item="1"/>
        </tpls>
      </n>
      <n v="-461449" in="0">
        <tpls c="5">
          <tpl fld="1" item="6"/>
          <tpl fld="2" item="8"/>
          <tpl hier="10" item="8"/>
          <tpl hier="11" item="0"/>
          <tpl fld="0" item="1"/>
        </tpls>
      </n>
      <n v="-54008.75" in="0">
        <tpls c="4">
          <tpl fld="2" item="1"/>
          <tpl hier="10" item="8"/>
          <tpl hier="11" item="0"/>
          <tpl fld="0" item="0"/>
        </tpls>
      </n>
      <n v="-62902" in="0">
        <tpls c="5">
          <tpl fld="1" item="8"/>
          <tpl fld="2" item="6"/>
          <tpl hier="10" item="8"/>
          <tpl hier="11" item="0"/>
          <tpl fld="0" item="1"/>
        </tpls>
      </n>
      <n v="-89075.5" in="0">
        <tpls c="4">
          <tpl fld="2" item="8"/>
          <tpl hier="10" item="8"/>
          <tpl hier="11" item="0"/>
          <tpl fld="0" item="0"/>
        </tpls>
      </n>
      <n v="4980377" in="0">
        <tpls c="5">
          <tpl fld="1" item="1"/>
          <tpl hier="9" item="4294967295"/>
          <tpl hier="10" item="8"/>
          <tpl hier="11" item="0"/>
          <tpl fld="0" item="1"/>
        </tpls>
      </n>
      <n v="-1468.75" in="0">
        <tpls c="5">
          <tpl fld="1" item="8"/>
          <tpl fld="2" item="4"/>
          <tpl hier="10" item="8"/>
          <tpl hier="11" item="0"/>
          <tpl fld="0" item="0"/>
        </tpls>
      </n>
      <n v="-367663" in="0">
        <tpls c="5">
          <tpl fld="1" item="4"/>
          <tpl fld="2" item="8"/>
          <tpl hier="10" item="8"/>
          <tpl hier="11" item="0"/>
          <tpl fld="0" item="1"/>
        </tpls>
      </n>
      <n v="-14109" in="0">
        <tpls c="5">
          <tpl fld="1" item="7"/>
          <tpl fld="2" item="10"/>
          <tpl hier="10" item="8"/>
          <tpl hier="11" item="0"/>
          <tpl fld="0" item="0"/>
        </tpls>
      </n>
      <n v="-7028.5" in="0">
        <tpls c="5">
          <tpl fld="1" item="1"/>
          <tpl fld="2" item="15"/>
          <tpl hier="10" item="8"/>
          <tpl hier="11" item="0"/>
          <tpl fld="0" item="0"/>
        </tpls>
      </n>
      <n v="-1693.75" in="0">
        <tpls c="5">
          <tpl fld="1" item="2"/>
          <tpl fld="2" item="5"/>
          <tpl hier="10" item="8"/>
          <tpl hier="11" item="0"/>
          <tpl fld="0" item="0"/>
        </tpls>
      </n>
      <n v="8650892" in="0">
        <tpls c="5">
          <tpl fld="1" item="10"/>
          <tpl hier="9" item="4294967295"/>
          <tpl hier="10" item="8"/>
          <tpl hier="11" item="0"/>
          <tpl fld="0" item="0"/>
        </tpls>
      </n>
      <n v="-1531" in="0">
        <tpls c="5">
          <tpl fld="1" item="2"/>
          <tpl fld="2" item="5"/>
          <tpl hier="10" item="8"/>
          <tpl hier="11" item="0"/>
          <tpl fld="0" item="1"/>
        </tpls>
      </n>
      <n v="-15027" in="0">
        <tpls c="5">
          <tpl fld="1" item="8"/>
          <tpl fld="2" item="13"/>
          <tpl hier="10" item="8"/>
          <tpl hier="11" item="0"/>
          <tpl fld="0" item="1"/>
        </tpls>
      </n>
      <n v="-8589" in="0">
        <tpls c="5">
          <tpl fld="1" item="6"/>
          <tpl fld="2" item="15"/>
          <tpl hier="10" item="8"/>
          <tpl hier="11" item="0"/>
          <tpl fld="0" item="1"/>
        </tpls>
      </n>
      <n v="-2913" in="0">
        <tpls c="5">
          <tpl fld="1" item="7"/>
          <tpl fld="2" item="3"/>
          <tpl hier="10" item="8"/>
          <tpl hier="11" item="0"/>
          <tpl fld="0" item="1"/>
        </tpls>
      </n>
      <n v="-408704" in="0">
        <tpls c="5">
          <tpl fld="1" item="9"/>
          <tpl fld="2" item="14"/>
          <tpl hier="10" item="8"/>
          <tpl hier="11" item="0"/>
          <tpl fld="0" item="1"/>
        </tpls>
      </n>
      <m in="0">
        <tpls c="5">
          <tpl fld="1" item="7"/>
          <tpl fld="2" item="2"/>
          <tpl hier="10" item="8"/>
          <tpl hier="11" item="0"/>
          <tpl fld="0" item="0"/>
        </tpls>
      </m>
      <m in="0">
        <tpls c="4">
          <tpl fld="2" item="2"/>
          <tpl hier="10" item="8"/>
          <tpl hier="11" item="0"/>
          <tpl fld="0" item="1"/>
        </tpls>
      </m>
      <n v="-5762" in="0">
        <tpls c="5">
          <tpl fld="1" item="7"/>
          <tpl fld="2" item="15"/>
          <tpl hier="10" item="8"/>
          <tpl hier="11" item="0"/>
          <tpl fld="0" item="0"/>
        </tpls>
      </n>
      <n v="-184702.25" in="0">
        <tpls c="5">
          <tpl fld="1" item="0"/>
          <tpl fld="2" item="0"/>
          <tpl hier="10" item="8"/>
          <tpl hier="11" item="0"/>
          <tpl fld="0" item="0"/>
        </tpls>
      </n>
      <n v="-2118947" in="0">
        <tpls c="5">
          <tpl fld="1" item="4"/>
          <tpl fld="2" item="7"/>
          <tpl hier="10" item="8"/>
          <tpl hier="11" item="0"/>
          <tpl fld="0" item="1"/>
        </tpls>
      </n>
      <n v="-2140" in="0">
        <tpls c="5">
          <tpl fld="1" item="0"/>
          <tpl fld="2" item="1"/>
          <tpl hier="10" item="8"/>
          <tpl hier="11" item="0"/>
          <tpl fld="0" item="1"/>
        </tpls>
      </n>
      <n v="-70912" in="0">
        <tpls c="5">
          <tpl fld="1" item="9"/>
          <tpl fld="2" item="6"/>
          <tpl hier="10" item="8"/>
          <tpl hier="11" item="0"/>
          <tpl fld="0" item="1"/>
        </tpls>
      </n>
      <n v="-117977" in="0">
        <tpls c="5">
          <tpl fld="1" item="10"/>
          <tpl fld="2" item="10"/>
          <tpl hier="10" item="8"/>
          <tpl hier="11" item="0"/>
          <tpl fld="0" item="1"/>
        </tpls>
      </n>
      <n v="-4612.25" in="0">
        <tpls c="5">
          <tpl fld="1" item="0"/>
          <tpl fld="2" item="1"/>
          <tpl hier="10" item="8"/>
          <tpl hier="11" item="0"/>
          <tpl fld="0" item="0"/>
        </tpls>
      </n>
      <n v="-3794.75" in="0">
        <tpls c="5">
          <tpl fld="1" item="1"/>
          <tpl fld="2" item="1"/>
          <tpl hier="10" item="8"/>
          <tpl hier="11" item="0"/>
          <tpl fld="0" item="0"/>
        </tpls>
      </n>
      <n v="-9320" in="0">
        <tpls c="5">
          <tpl fld="1" item="1"/>
          <tpl fld="2" item="12"/>
          <tpl hier="10" item="8"/>
          <tpl hier="11" item="0"/>
          <tpl fld="0" item="1"/>
        </tpls>
      </n>
      <n v="-240467.25" in="0">
        <tpls c="5">
          <tpl fld="1" item="7"/>
          <tpl fld="2" item="0"/>
          <tpl hier="10" item="8"/>
          <tpl hier="11" item="0"/>
          <tpl fld="0" item="0"/>
        </tpls>
      </n>
      <n v="-21527" in="0">
        <tpls c="5">
          <tpl fld="1" item="9"/>
          <tpl fld="2" item="4"/>
          <tpl hier="10" item="8"/>
          <tpl hier="11" item="0"/>
          <tpl fld="0" item="1"/>
        </tpls>
      </n>
      <n v="-100726" in="0">
        <tpls c="5">
          <tpl fld="1" item="3"/>
          <tpl fld="2" item="10"/>
          <tpl hier="10" item="8"/>
          <tpl hier="11" item="0"/>
          <tpl fld="0" item="1"/>
        </tpls>
      </n>
      <n v="-2581.75" in="0">
        <tpls c="5">
          <tpl fld="1" item="2"/>
          <tpl fld="2" item="4"/>
          <tpl hier="10" item="8"/>
          <tpl hier="11" item="0"/>
          <tpl fld="0" item="0"/>
        </tpls>
      </n>
      <n v="8267740" in="0">
        <tpls c="5">
          <tpl fld="1" item="1"/>
          <tpl hier="9" item="4294967295"/>
          <tpl hier="10" item="8"/>
          <tpl hier="11" item="0"/>
          <tpl fld="0" item="0"/>
        </tpls>
      </n>
      <n v="-539515" in="0">
        <tpls c="5">
          <tpl fld="1" item="11"/>
          <tpl fld="2" item="8"/>
          <tpl hier="10" item="8"/>
          <tpl hier="11" item="0"/>
          <tpl fld="0" item="1"/>
        </tpls>
      </n>
      <n v="-88676" in="0">
        <tpls c="5">
          <tpl fld="1" item="1"/>
          <tpl fld="2" item="6"/>
          <tpl hier="10" item="8"/>
          <tpl hier="11" item="0"/>
          <tpl fld="0" item="1"/>
        </tpls>
      </n>
      <n v="-2775891" in="0">
        <tpls c="5">
          <tpl fld="1" item="0"/>
          <tpl fld="2" item="7"/>
          <tpl hier="10" item="8"/>
          <tpl hier="11" item="0"/>
          <tpl fld="0" item="1"/>
        </tpls>
      </n>
      <n v="-1093.5" in="0">
        <tpls c="5">
          <tpl fld="1" item="1"/>
          <tpl fld="2" item="5"/>
          <tpl hier="10" item="8"/>
          <tpl hier="11" item="0"/>
          <tpl fld="0" item="0"/>
        </tpls>
      </n>
      <n v="-97133.833333333328" in="0">
        <tpls c="5">
          <tpl fld="1" item="0"/>
          <tpl fld="2" item="7"/>
          <tpl hier="10" item="8"/>
          <tpl hier="11" item="0"/>
          <tpl fld="0" item="0"/>
        </tpls>
      </n>
      <m in="0">
        <tpls c="5">
          <tpl fld="1" item="7"/>
          <tpl fld="2" item="2"/>
          <tpl hier="10" item="8"/>
          <tpl hier="11" item="0"/>
          <tpl fld="0" item="1"/>
        </tpls>
      </m>
      <n v="16519043" in="0">
        <tpls c="5">
          <tpl fld="1" item="8"/>
          <tpl hier="9" item="4294967295"/>
          <tpl hier="10" item="8"/>
          <tpl hier="11" item="0"/>
          <tpl fld="0" item="1"/>
        </tpls>
      </n>
      <n v="8716551" in="0">
        <tpls c="5">
          <tpl fld="1" item="1"/>
          <tpl fld="2" item="9"/>
          <tpl hier="10" item="8"/>
          <tpl hier="11" item="0"/>
          <tpl fld="0" item="0"/>
        </tpls>
      </n>
      <n v="-3023690" in="0">
        <tpls c="5">
          <tpl fld="1" item="2"/>
          <tpl fld="2" item="7"/>
          <tpl hier="10" item="8"/>
          <tpl hier="11" item="0"/>
          <tpl fld="0" item="1"/>
        </tpls>
      </n>
      <m in="0">
        <tpls c="5">
          <tpl fld="1" item="8"/>
          <tpl fld="2" item="2"/>
          <tpl hier="10" item="8"/>
          <tpl hier="11" item="0"/>
          <tpl fld="0" item="0"/>
        </tpls>
      </m>
      <n v="-2911" in="0">
        <tpls c="5">
          <tpl fld="1" item="6"/>
          <tpl fld="2" item="5"/>
          <tpl hier="10" item="8"/>
          <tpl hier="11" item="0"/>
          <tpl fld="0" item="1"/>
        </tpls>
      </n>
      <n v="-196676.25" in="0">
        <tpls c="5">
          <tpl fld="1" item="8"/>
          <tpl fld="2" item="7"/>
          <tpl hier="10" item="8"/>
          <tpl hier="11" item="0"/>
          <tpl fld="0" item="0"/>
        </tpls>
      </n>
      <n v="-4718.25" in="0">
        <tpls c="5">
          <tpl fld="1" item="4"/>
          <tpl fld="2" item="12"/>
          <tpl hier="10" item="8"/>
          <tpl hier="11" item="0"/>
          <tpl fld="0" item="0"/>
        </tpls>
      </n>
      <n v="-106007.58333333333" in="0">
        <tpls c="5">
          <tpl fld="1" item="7"/>
          <tpl fld="2" item="7"/>
          <tpl hier="10" item="8"/>
          <tpl hier="11" item="0"/>
          <tpl fld="0" item="0"/>
        </tpls>
      </n>
      <n v="-2160" in="0">
        <tpls c="5">
          <tpl fld="1" item="4"/>
          <tpl fld="2" item="1"/>
          <tpl hier="10" item="8"/>
          <tpl hier="11" item="0"/>
          <tpl fld="0" item="1"/>
        </tpls>
      </n>
      <n v="-488" in="0">
        <tpls c="5">
          <tpl fld="1" item="6"/>
          <tpl fld="2" item="11"/>
          <tpl hier="10" item="8"/>
          <tpl hier="11" item="0"/>
          <tpl fld="0" item="0"/>
        </tpls>
      </n>
      <n v="-3649.5" in="0">
        <tpls c="5">
          <tpl fld="1" item="2"/>
          <tpl fld="2" item="13"/>
          <tpl hier="10" item="8"/>
          <tpl hier="11" item="0"/>
          <tpl fld="0" item="0"/>
        </tpls>
      </n>
      <n v="-1057.5" in="0">
        <tpls c="5">
          <tpl fld="1" item="4"/>
          <tpl fld="2" item="5"/>
          <tpl hier="10" item="8"/>
          <tpl hier="11" item="0"/>
          <tpl fld="0" item="0"/>
        </tpls>
      </n>
      <n v="-843341" in="0">
        <tpls c="5">
          <tpl fld="1" item="10"/>
          <tpl fld="2" item="14"/>
          <tpl hier="10" item="8"/>
          <tpl hier="11" item="0"/>
          <tpl fld="0" item="1"/>
        </tpls>
      </n>
      <n v="-754944" in="0">
        <tpls c="4">
          <tpl fld="2" item="6"/>
          <tpl hier="10" item="8"/>
          <tpl hier="11" item="0"/>
          <tpl fld="0" item="1"/>
        </tpls>
      </n>
      <n v="11132914" in="0">
        <tpls c="5">
          <tpl fld="1" item="6"/>
          <tpl hier="9" item="4294967295"/>
          <tpl hier="10" item="8"/>
          <tpl hier="11" item="0"/>
          <tpl fld="0" item="1"/>
        </tpls>
      </n>
      <n v="-5521.25" in="0">
        <tpls c="5">
          <tpl fld="1" item="11"/>
          <tpl fld="2" item="15"/>
          <tpl hier="10" item="8"/>
          <tpl hier="11" item="0"/>
          <tpl fld="0" item="0"/>
        </tpls>
      </n>
      <n v="-138781" in="0">
        <tpls c="5">
          <tpl fld="1" item="0"/>
          <tpl fld="2" item="10"/>
          <tpl hier="10" item="8"/>
          <tpl hier="11" item="0"/>
          <tpl fld="0" item="1"/>
        </tpls>
      </n>
      <n v="-5030.25" in="0">
        <tpls c="5">
          <tpl fld="1" item="7"/>
          <tpl fld="2" item="1"/>
          <tpl hier="10" item="8"/>
          <tpl hier="11" item="0"/>
          <tpl fld="0" item="0"/>
        </tpls>
      </n>
      <n v="-10958" in="0">
        <tpls c="5">
          <tpl fld="1" item="4"/>
          <tpl fld="2" item="3"/>
          <tpl hier="10" item="8"/>
          <tpl hier="11" item="0"/>
          <tpl fld="0" item="1"/>
        </tpls>
      </n>
      <n v="-88593.75" in="0">
        <tpls c="5">
          <tpl fld="1" item="6"/>
          <tpl fld="2" item="7"/>
          <tpl hier="10" item="8"/>
          <tpl hier="11" item="0"/>
          <tpl fld="0" item="0"/>
        </tpls>
      </n>
      <n v="-6618" in="0">
        <tpls c="5">
          <tpl fld="1" item="1"/>
          <tpl fld="2" item="13"/>
          <tpl hier="10" item="8"/>
          <tpl hier="11" item="0"/>
          <tpl fld="0" item="0"/>
        </tpls>
      </n>
      <n v="-485667" in="0">
        <tpls c="5">
          <tpl fld="1" item="4"/>
          <tpl fld="2" item="14"/>
          <tpl hier="10" item="8"/>
          <tpl hier="11" item="0"/>
          <tpl fld="0" item="1"/>
        </tpls>
      </n>
      <n v="103729797" in="0">
        <tpls c="4">
          <tpl hier="9" item="4294967295"/>
          <tpl hier="10" item="8"/>
          <tpl hier="11" item="0"/>
          <tpl fld="0" item="1"/>
        </tpls>
      </n>
      <n v="-1904" in="0">
        <tpls c="5">
          <tpl fld="1" item="0"/>
          <tpl fld="2" item="11"/>
          <tpl hier="10" item="8"/>
          <tpl hier="11" item="0"/>
          <tpl fld="0" item="1"/>
        </tpls>
      </n>
      <n v="-101243.16666666667" in="0">
        <tpls c="5">
          <tpl fld="1" item="2"/>
          <tpl fld="2" item="7"/>
          <tpl hier="10" item="8"/>
          <tpl hier="11" item="0"/>
          <tpl fld="0" item="0"/>
        </tpls>
      </n>
      <n v="-178175" in="0">
        <tpls c="5">
          <tpl fld="1" item="4"/>
          <tpl fld="2" item="10"/>
          <tpl hier="10" item="8"/>
          <tpl hier="11" item="0"/>
          <tpl fld="0" item="1"/>
        </tpls>
      </n>
      <n v="-17194" in="0">
        <tpls c="5">
          <tpl fld="1" item="11"/>
          <tpl fld="2" item="12"/>
          <tpl hier="10" item="8"/>
          <tpl hier="11" item="0"/>
          <tpl fld="0" item="1"/>
        </tpls>
      </n>
      <n v="-4301413" in="0">
        <tpls c="5">
          <tpl fld="1" item="6"/>
          <tpl fld="2" item="7"/>
          <tpl hier="10" item="8"/>
          <tpl hier="11" item="0"/>
          <tpl fld="0" item="1"/>
        </tpls>
      </n>
      <n v="-19607" in="0">
        <tpls c="4">
          <tpl fld="2" item="11"/>
          <tpl hier="10" item="8"/>
          <tpl hier="11" item="0"/>
          <tpl fld="0" item="1"/>
        </tpls>
      </n>
      <n v="-13893.25" in="0">
        <tpls c="5">
          <tpl fld="1" item="4"/>
          <tpl fld="2" item="10"/>
          <tpl hier="10" item="8"/>
          <tpl hier="11" item="0"/>
          <tpl fld="0" item="0"/>
        </tpls>
      </n>
      <m in="0">
        <tpls c="4">
          <tpl fld="2" item="2"/>
          <tpl hier="10" item="8"/>
          <tpl hier="11" item="0"/>
          <tpl fld="0" item="0"/>
        </tpls>
      </m>
      <n v="-59957.25" in="0">
        <tpls c="5">
          <tpl fld="1" item="7"/>
          <tpl fld="2" item="14"/>
          <tpl hier="10" item="8"/>
          <tpl hier="11" item="0"/>
          <tpl fld="0" item="0"/>
        </tpls>
      </n>
      <n v="-1554236" in="0">
        <tpls c="4">
          <tpl fld="2" item="7"/>
          <tpl hier="10" item="8"/>
          <tpl hier="11" item="0"/>
          <tpl fld="0" item="0"/>
        </tpls>
      </n>
      <n v="-6559.5" in="0">
        <tpls c="5">
          <tpl fld="1" item="5"/>
          <tpl fld="2" item="13"/>
          <tpl hier="10" item="8"/>
          <tpl hier="11" item="0"/>
          <tpl fld="0" item="0"/>
        </tpls>
      </n>
      <n v="-25840" in="0">
        <tpls c="4">
          <tpl fld="2" item="1"/>
          <tpl hier="10" item="8"/>
          <tpl hier="11" item="0"/>
          <tpl fld="0" item="1"/>
        </tpls>
      </n>
      <n v="-11162" in="0">
        <tpls c="5">
          <tpl fld="1" item="0"/>
          <tpl fld="2" item="12"/>
          <tpl hier="10" item="8"/>
          <tpl hier="11" item="0"/>
          <tpl fld="0" item="1"/>
        </tpls>
      </n>
      <n v="-309493" in="0">
        <tpls c="5">
          <tpl fld="1" item="2"/>
          <tpl fld="2" item="8"/>
          <tpl hier="10" item="8"/>
          <tpl hier="11" item="0"/>
          <tpl fld="0" item="1"/>
        </tpls>
      </n>
      <n v="-646529" in="0">
        <tpls c="5">
          <tpl fld="1" item="7"/>
          <tpl fld="2" item="0"/>
          <tpl hier="10" item="8"/>
          <tpl hier="11" item="0"/>
          <tpl fld="0" item="1"/>
        </tpls>
      </n>
      <n v="-33461754" in="0">
        <tpls c="4">
          <tpl fld="2" item="7"/>
          <tpl hier="10" item="8"/>
          <tpl hier="11" item="0"/>
          <tpl fld="0" item="1"/>
        </tpls>
      </n>
      <n v="-17747" in="0">
        <tpls c="5">
          <tpl fld="1" item="5"/>
          <tpl fld="2" item="13"/>
          <tpl hier="10" item="8"/>
          <tpl hier="11" item="0"/>
          <tpl fld="0" item="1"/>
        </tpls>
      </n>
      <n v="-202967.5" in="0">
        <tpls c="4">
          <tpl fld="2" item="6"/>
          <tpl hier="10" item="8"/>
          <tpl hier="11" item="0"/>
          <tpl fld="0" item="0"/>
        </tpls>
      </n>
      <n v="-584.75" in="0">
        <tpls c="5">
          <tpl fld="1" item="11"/>
          <tpl fld="2" item="11"/>
          <tpl hier="10" item="8"/>
          <tpl hier="11" item="0"/>
          <tpl fld="0" item="0"/>
        </tpls>
      </n>
      <n v="-5061" in="0">
        <tpls c="5">
          <tpl fld="1" item="11"/>
          <tpl fld="2" item="3"/>
          <tpl hier="10" item="8"/>
          <tpl hier="11" item="0"/>
          <tpl fld="0" item="1"/>
        </tpls>
      </n>
      <n v="-143808.25" in="0">
        <tpls c="4">
          <tpl fld="2" item="10"/>
          <tpl hier="10" item="8"/>
          <tpl hier="11" item="0"/>
          <tpl fld="0" item="0"/>
        </tpls>
      </n>
      <n v="9208197" in="0">
        <tpls c="5">
          <tpl fld="1" item="11"/>
          <tpl fld="2" item="9"/>
          <tpl hier="10" item="8"/>
          <tpl hier="11" item="0"/>
          <tpl fld="0" item="0"/>
        </tpls>
      </n>
      <n v="-2672653.25" in="0">
        <tpls c="4">
          <tpl fld="2" item="0"/>
          <tpl hier="10" item="8"/>
          <tpl hier="11" item="0"/>
          <tpl fld="0" item="0"/>
        </tpls>
      </n>
      <n v="-2120" in="0">
        <tpls c="5">
          <tpl fld="1" item="8"/>
          <tpl fld="2" item="1"/>
          <tpl hier="10" item="8"/>
          <tpl hier="11" item="0"/>
          <tpl fld="0" item="1"/>
        </tpls>
      </n>
      <n v="-42730" in="0">
        <tpls c="4">
          <tpl fld="2" item="5"/>
          <tpl hier="10" item="8"/>
          <tpl hier="11" item="0"/>
          <tpl fld="0" item="1"/>
        </tpls>
      </n>
      <n v="-1570264" in="0">
        <tpls c="4">
          <tpl fld="2" item="10"/>
          <tpl hier="10" item="8"/>
          <tpl hier="11" item="0"/>
          <tpl fld="0" item="1"/>
        </tpls>
      </n>
      <n v="-1048.25" in="0">
        <tpls c="5">
          <tpl fld="1" item="11"/>
          <tpl fld="2" item="5"/>
          <tpl hier="10" item="8"/>
          <tpl hier="11" item="0"/>
          <tpl fld="0" item="0"/>
        </tpls>
      </n>
      <n v="-27669.25" in="0">
        <tpls c="4">
          <tpl fld="2" item="3"/>
          <tpl hier="10" item="8"/>
          <tpl hier="11" item="0"/>
          <tpl fld="0" item="0"/>
        </tpls>
      </n>
      <n v="-19823" in="0">
        <tpls c="5">
          <tpl fld="1" item="8"/>
          <tpl fld="2" item="4"/>
          <tpl hier="10" item="8"/>
          <tpl hier="11" item="0"/>
          <tpl fld="0" item="1"/>
        </tpls>
      </n>
      <n v="-11558" in="0">
        <tpls c="5">
          <tpl fld="1" item="11"/>
          <tpl fld="2" item="10"/>
          <tpl hier="10" item="8"/>
          <tpl hier="11" item="0"/>
          <tpl fld="0" item="0"/>
        </tpls>
      </n>
      <n v="13109360" in="0">
        <tpls c="5">
          <tpl fld="1" item="9"/>
          <tpl hier="9" item="4294967295"/>
          <tpl hier="10" item="8"/>
          <tpl hier="11" item="0"/>
          <tpl fld="0" item="1"/>
        </tpls>
      </n>
      <n v="-1911.75" in="0">
        <tpls c="5">
          <tpl fld="1" item="3"/>
          <tpl fld="2" item="3"/>
          <tpl hier="10" item="8"/>
          <tpl hier="11" item="0"/>
          <tpl fld="0" item="0"/>
        </tpls>
      </n>
      <m in="0">
        <tpls c="5">
          <tpl fld="1" item="9"/>
          <tpl fld="2" item="2"/>
          <tpl hier="10" item="8"/>
          <tpl hier="11" item="0"/>
          <tpl fld="0" item="0"/>
        </tpls>
      </m>
      <m in="0">
        <tpls c="5">
          <tpl fld="1" item="11"/>
          <tpl fld="2" item="2"/>
          <tpl hier="10" item="8"/>
          <tpl hier="11" item="0"/>
          <tpl fld="0" item="0"/>
        </tpls>
      </m>
      <n v="-668.75" in="0">
        <tpls c="5">
          <tpl fld="1" item="10"/>
          <tpl fld="2" item="11"/>
          <tpl hier="10" item="8"/>
          <tpl hier="11" item="0"/>
          <tpl fld="0" item="0"/>
        </tpls>
      </n>
      <n v="-5970" in="0">
        <tpls c="5">
          <tpl fld="1" item="1"/>
          <tpl fld="2" item="3"/>
          <tpl hier="10" item="8"/>
          <tpl hier="11" item="0"/>
          <tpl fld="0" item="1"/>
        </tpls>
      </n>
      <n v="-18572" in="0">
        <tpls c="5">
          <tpl fld="1" item="2"/>
          <tpl fld="2" item="12"/>
          <tpl hier="10" item="8"/>
          <tpl hier="11" item="0"/>
          <tpl fld="0" item="1"/>
        </tpls>
      </n>
      <n v="-24385.75" in="0">
        <tpls c="4">
          <tpl fld="2" item="4"/>
          <tpl hier="10" item="8"/>
          <tpl hier="11" item="0"/>
          <tpl fld="0" item="0"/>
        </tpls>
      </n>
      <n v="-27275.5" in="0">
        <tpls c="5">
          <tpl fld="1" item="5"/>
          <tpl fld="2" item="8"/>
          <tpl hier="10" item="8"/>
          <tpl hier="11" item="0"/>
          <tpl fld="0" item="0"/>
        </tpls>
      </n>
      <n v="-4007.75" in="0">
        <tpls c="5">
          <tpl fld="1" item="1"/>
          <tpl fld="2" item="12"/>
          <tpl hier="10" item="8"/>
          <tpl hier="11" item="0"/>
          <tpl fld="0" item="0"/>
        </tpls>
      </n>
      <n v="9083222" in="0">
        <tpls c="5">
          <tpl fld="1" item="2"/>
          <tpl hier="9" item="4294967295"/>
          <tpl hier="10" item="8"/>
          <tpl hier="11" item="0"/>
          <tpl fld="0" item="1"/>
        </tpls>
      </n>
      <n v="-7878.75" in="0">
        <tpls c="5">
          <tpl fld="1" item="0"/>
          <tpl fld="2" item="15"/>
          <tpl hier="10" item="8"/>
          <tpl hier="11" item="0"/>
          <tpl fld="0" item="0"/>
        </tpls>
      </n>
      <n v="-422305" in="0">
        <tpls c="5">
          <tpl fld="1" item="10"/>
          <tpl fld="2" item="8"/>
          <tpl hier="10" item="8"/>
          <tpl hier="11" item="0"/>
          <tpl fld="0" item="1"/>
        </tpls>
      </n>
      <n v="-499.5" in="0">
        <tpls c="5">
          <tpl fld="1" item="4"/>
          <tpl fld="2" item="11"/>
          <tpl hier="10" item="8"/>
          <tpl hier="11" item="0"/>
          <tpl fld="0" item="0"/>
        </tpls>
      </n>
      <n v="-4969.25" in="0">
        <tpls c="5">
          <tpl fld="1" item="11"/>
          <tpl fld="2" item="12"/>
          <tpl hier="10" item="8"/>
          <tpl hier="11" item="0"/>
          <tpl fld="0" item="0"/>
        </tpls>
      </n>
      <n v="-5917.5" in="0">
        <tpls c="5">
          <tpl fld="1" item="5"/>
          <tpl fld="2" item="12"/>
          <tpl hier="10" item="8"/>
          <tpl hier="11" item="0"/>
          <tpl fld="0" item="0"/>
        </tpls>
      </n>
      <n v="-11299" in="0">
        <tpls c="5">
          <tpl fld="1" item="2"/>
          <tpl fld="2" item="15"/>
          <tpl hier="10" item="8"/>
          <tpl hier="11" item="0"/>
          <tpl fld="0" item="1"/>
        </tpls>
      </n>
      <n v="-17338" in="0">
        <tpls c="5">
          <tpl fld="1" item="6"/>
          <tpl fld="2" item="6"/>
          <tpl hier="10" item="8"/>
          <tpl hier="11" item="0"/>
          <tpl fld="0" item="0"/>
        </tpls>
      </n>
      <n v="-4155" in="0">
        <tpls c="5">
          <tpl fld="1" item="8"/>
          <tpl fld="2" item="1"/>
          <tpl hier="10" item="8"/>
          <tpl hier="11" item="0"/>
          <tpl fld="0" item="0"/>
        </tpls>
      </n>
      <n v="9730180" in="0">
        <tpls c="5">
          <tpl fld="1" item="9"/>
          <tpl fld="2" item="9"/>
          <tpl hier="10" item="8"/>
          <tpl hier="11" item="0"/>
          <tpl fld="0" item="0"/>
        </tpls>
      </n>
      <n v="-4989.75" in="0">
        <tpls c="5">
          <tpl fld="1" item="9"/>
          <tpl fld="2" item="15"/>
          <tpl hier="10" item="8"/>
          <tpl hier="11" item="0"/>
          <tpl fld="0" item="0"/>
        </tpls>
      </n>
      <n v="-1789" in="0">
        <tpls c="5">
          <tpl fld="1" item="2"/>
          <tpl fld="2" item="11"/>
          <tpl hier="10" item="8"/>
          <tpl hier="11" item="0"/>
          <tpl fld="0" item="1"/>
        </tpls>
      </n>
      <n v="-50691.25" in="0">
        <tpls c="5">
          <tpl fld="1" item="4"/>
          <tpl fld="2" item="14"/>
          <tpl hier="10" item="8"/>
          <tpl hier="11" item="0"/>
          <tpl fld="0" item="0"/>
        </tpls>
      </n>
      <n v="-243372.5" in="0">
        <tpls c="5">
          <tpl fld="1" item="2"/>
          <tpl fld="2" item="0"/>
          <tpl hier="10" item="8"/>
          <tpl hier="11" item="0"/>
          <tpl fld="0" item="0"/>
        </tpls>
      </n>
      <n v="-2120" in="0">
        <tpls c="5">
          <tpl fld="1" item="11"/>
          <tpl fld="2" item="1"/>
          <tpl hier="10" item="8"/>
          <tpl hier="11" item="0"/>
          <tpl fld="0" item="1"/>
        </tpls>
      </n>
      <n v="-214453.75" in="0">
        <tpls c="5">
          <tpl fld="1" item="5"/>
          <tpl fld="2" item="0"/>
          <tpl hier="10" item="8"/>
          <tpl hier="11" item="0"/>
          <tpl fld="0" item="0"/>
        </tpls>
      </n>
      <n v="8040079" in="0">
        <tpls c="5">
          <tpl fld="1" item="11"/>
          <tpl fld="2" item="9"/>
          <tpl hier="10" item="8"/>
          <tpl hier="11" item="0"/>
          <tpl fld="0" item="1"/>
        </tpls>
      </n>
      <n v="-1215" in="0">
        <tpls c="5">
          <tpl fld="1" item="6"/>
          <tpl fld="2" item="4"/>
          <tpl hier="10" item="8"/>
          <tpl hier="11" item="0"/>
          <tpl fld="0" item="0"/>
        </tpls>
      </n>
      <n v="-27118" in="0">
        <tpls c="5">
          <tpl fld="1" item="4"/>
          <tpl fld="2" item="4"/>
          <tpl hier="10" item="8"/>
          <tpl hier="11" item="0"/>
          <tpl fld="0" item="1"/>
        </tpls>
      </n>
      <n v="-4083.25" in="0">
        <tpls c="5">
          <tpl fld="1" item="3"/>
          <tpl fld="2" item="12"/>
          <tpl hier="10" item="8"/>
          <tpl hier="11" item="0"/>
          <tpl fld="0" item="0"/>
        </tpls>
      </n>
      <n v="-528.5" in="0">
        <tpls c="5">
          <tpl fld="1" item="2"/>
          <tpl fld="2" item="11"/>
          <tpl hier="10" item="8"/>
          <tpl hier="11" item="0"/>
          <tpl fld="0" item="0"/>
        </tpls>
      </n>
      <n v="-353412" in="0">
        <tpls c="5">
          <tpl fld="1" item="5"/>
          <tpl fld="2" item="8"/>
          <tpl hier="10" item="8"/>
          <tpl hier="11" item="0"/>
          <tpl fld="0" item="1"/>
        </tpls>
      </n>
      <n v="-1034" in="0">
        <tpls c="5">
          <tpl fld="1" item="7"/>
          <tpl fld="2" item="5"/>
          <tpl hier="10" item="8"/>
          <tpl hier="11" item="0"/>
          <tpl fld="0" item="0"/>
        </tpls>
      </n>
      <n v="-2815990" in="0">
        <tpls c="5">
          <tpl fld="1" item="7"/>
          <tpl fld="2" item="7"/>
          <tpl hier="10" item="8"/>
          <tpl hier="11" item="0"/>
          <tpl fld="0" item="1"/>
        </tpls>
      </n>
      <n v="-11324.5" in="0">
        <tpls c="5">
          <tpl fld="1" item="2"/>
          <tpl fld="2" item="10"/>
          <tpl hier="10" item="8"/>
          <tpl hier="11" item="0"/>
          <tpl fld="0" item="0"/>
        </tpls>
      </n>
      <n v="-1172" in="0">
        <tpls c="5">
          <tpl fld="1" item="6"/>
          <tpl fld="2" item="11"/>
          <tpl hier="10" item="8"/>
          <tpl hier="11" item="0"/>
          <tpl fld="0" item="1"/>
        </tpls>
      </n>
      <n v="-17397" in="0">
        <tpls c="5">
          <tpl fld="1" item="2"/>
          <tpl fld="2" item="13"/>
          <tpl hier="10" item="8"/>
          <tpl hier="11" item="0"/>
          <tpl fld="0" item="1"/>
        </tpls>
      </n>
      <n v="-1215" in="0">
        <tpls c="5">
          <tpl fld="1" item="4"/>
          <tpl fld="2" item="4"/>
          <tpl hier="10" item="8"/>
          <tpl hier="11" item="0"/>
          <tpl fld="0" item="0"/>
        </tpls>
      </n>
      <n v="-647881" in="0">
        <tpls c="5">
          <tpl fld="1" item="7"/>
          <tpl fld="2" item="14"/>
          <tpl hier="10" item="8"/>
          <tpl hier="11" item="0"/>
          <tpl fld="0" item="1"/>
        </tpls>
      </n>
      <n v="-5345940" in="0">
        <tpls c="4">
          <tpl fld="2" item="8"/>
          <tpl hier="10" item="8"/>
          <tpl hier="11" item="0"/>
          <tpl fld="0" item="1"/>
        </tpls>
      </n>
      <n v="99842775.25" in="0">
        <tpls c="4">
          <tpl hier="9" item="4294967295"/>
          <tpl hier="10" item="8"/>
          <tpl hier="11" item="0"/>
          <tpl fld="0" item="0"/>
        </tpls>
      </n>
      <n v="-4957" in="0">
        <tpls c="5">
          <tpl fld="1" item="10"/>
          <tpl fld="2" item="15"/>
          <tpl hier="10" item="8"/>
          <tpl hier="11" item="0"/>
          <tpl fld="0" item="0"/>
        </tpls>
      </n>
      <n v="-10639.5" in="0">
        <tpls c="5">
          <tpl fld="1" item="0"/>
          <tpl fld="2" item="10"/>
          <tpl hier="10" item="8"/>
          <tpl hier="11" item="0"/>
          <tpl fld="0" item="0"/>
        </tpls>
      </n>
      <m in="0">
        <tpls c="5">
          <tpl fld="1" item="2"/>
          <tpl fld="2" item="2"/>
          <tpl hier="10" item="8"/>
          <tpl hier="11" item="0"/>
          <tpl fld="0" item="0"/>
        </tpls>
      </m>
      <n v="-5354.75" in="0">
        <tpls c="5">
          <tpl fld="1" item="4"/>
          <tpl fld="2" item="13"/>
          <tpl hier="10" item="8"/>
          <tpl hier="11" item="0"/>
          <tpl fld="0" item="0"/>
        </tpls>
      </n>
      <n v="-156083" in="0">
        <tpls c="5">
          <tpl fld="1" item="1"/>
          <tpl fld="2" item="10"/>
          <tpl hier="10" item="8"/>
          <tpl hier="11" item="0"/>
          <tpl fld="0" item="1"/>
        </tpls>
      </n>
      <n v="-6569.75" in="0">
        <tpls c="4">
          <tpl fld="2" item="11"/>
          <tpl hier="10" item="8"/>
          <tpl hier="11" item="0"/>
          <tpl fld="0" item="0"/>
        </tpls>
      </n>
      <n v="8889625" in="0">
        <tpls c="5">
          <tpl fld="1" item="4"/>
          <tpl fld="2" item="9"/>
          <tpl hier="10" item="8"/>
          <tpl hier="11" item="0"/>
          <tpl fld="0" item="0"/>
        </tpls>
      </n>
      <n v="-77172" in="0">
        <tpls c="4">
          <tpl fld="2" item="3"/>
          <tpl hier="10" item="8"/>
          <tpl hier="11" item="0"/>
          <tpl fld="0" item="1"/>
        </tpls>
      </n>
      <n v="-10411" in="0">
        <tpls c="5">
          <tpl fld="1" item="10"/>
          <tpl fld="2" item="15"/>
          <tpl hier="10" item="8"/>
          <tpl hier="11" item="0"/>
          <tpl fld="0" item="1"/>
        </tpls>
      </n>
      <n v="-528042" in="0">
        <tpls c="5">
          <tpl fld="1" item="1"/>
          <tpl fld="2" item="8"/>
          <tpl hier="10" item="8"/>
          <tpl hier="11" item="0"/>
          <tpl fld="0" item="1"/>
        </tpls>
      </n>
      <n v="-6698" in="0">
        <tpls c="5">
          <tpl fld="1" item="6"/>
          <tpl fld="2" item="3"/>
          <tpl hier="10" item="8"/>
          <tpl hier="11" item="0"/>
          <tpl fld="0" item="1"/>
        </tpls>
      </n>
      <n v="-4748" in="0">
        <tpls c="5">
          <tpl fld="1" item="8"/>
          <tpl fld="2" item="5"/>
          <tpl hier="10" item="8"/>
          <tpl hier="11" item="0"/>
          <tpl fld="0" item="1"/>
        </tpls>
      </n>
      <n v="-179594" in="0">
        <tpls c="5">
          <tpl fld="1" item="5"/>
          <tpl fld="2" item="10"/>
          <tpl hier="10" item="8"/>
          <tpl hier="11" item="0"/>
          <tpl fld="0" item="1"/>
        </tpls>
      </n>
      <n v="-11713" in="0">
        <tpls c="5">
          <tpl fld="1" item="1"/>
          <tpl fld="2" item="13"/>
          <tpl hier="10" item="8"/>
          <tpl hier="11" item="0"/>
          <tpl fld="0" item="1"/>
        </tpls>
      </n>
      <n v="-30042" in="0">
        <tpls c="5">
          <tpl fld="1" item="9"/>
          <tpl fld="2" item="14"/>
          <tpl hier="10" item="8"/>
          <tpl hier="11" item="0"/>
          <tpl fld="0" item="0"/>
        </tpls>
      </n>
      <n v="-665.5" in="0">
        <tpls c="5">
          <tpl fld="1" item="0"/>
          <tpl fld="2" item="11"/>
          <tpl hier="10" item="8"/>
          <tpl hier="11" item="0"/>
          <tpl fld="0" item="0"/>
        </tpls>
      </n>
      <n v="-1550" in="0">
        <tpls c="5">
          <tpl fld="1" item="7"/>
          <tpl fld="2" item="11"/>
          <tpl hier="10" item="8"/>
          <tpl hier="11" item="0"/>
          <tpl fld="0" item="1"/>
        </tpls>
      </n>
      <n v="-10380" in="0">
        <tpls c="5">
          <tpl fld="1" item="6"/>
          <tpl fld="2" item="13"/>
          <tpl hier="10" item="8"/>
          <tpl hier="11" item="0"/>
          <tpl fld="0" item="1"/>
        </tpls>
      </n>
      <n v="-7775.25" in="0">
        <tpls c="5">
          <tpl fld="1" item="6"/>
          <tpl fld="2" item="10"/>
          <tpl hier="10" item="8"/>
          <tpl hier="11" item="0"/>
          <tpl fld="0" item="0"/>
        </tpls>
      </n>
      <n v="-213641.75" in="0">
        <tpls c="5">
          <tpl fld="1" item="4"/>
          <tpl fld="2" item="0"/>
          <tpl hier="10" item="8"/>
          <tpl hier="11" item="0"/>
          <tpl fld="0" item="0"/>
        </tpls>
      </n>
      <n v="-66100.25" in="0">
        <tpls c="4">
          <tpl fld="2" item="13"/>
          <tpl hier="10" item="8"/>
          <tpl hier="11" item="0"/>
          <tpl fld="0" item="0"/>
        </tpls>
      </n>
      <m in="0">
        <tpls c="5">
          <tpl fld="1" item="3"/>
          <tpl fld="2" item="2"/>
          <tpl hier="10" item="8"/>
          <tpl hier="11" item="0"/>
          <tpl fld="0" item="1"/>
        </tpls>
      </m>
      <n v="-752210" in="0">
        <tpls c="5">
          <tpl fld="1" item="1"/>
          <tpl fld="2" item="0"/>
          <tpl hier="10" item="8"/>
          <tpl hier="11" item="0"/>
          <tpl fld="0" item="1"/>
        </tpls>
      </n>
      <n v="-110365" in="0">
        <tpls c="5">
          <tpl fld="1" item="6"/>
          <tpl fld="2" item="10"/>
          <tpl hier="10" item="8"/>
          <tpl hier="11" item="0"/>
          <tpl fld="0" item="1"/>
        </tpls>
      </n>
      <n v="-5364.75" in="0">
        <tpls c="5">
          <tpl fld="1" item="4"/>
          <tpl fld="2" item="1"/>
          <tpl hier="10" item="8"/>
          <tpl hier="11" item="0"/>
          <tpl fld="0" item="0"/>
        </tpls>
      </n>
      <n v="-2138939" in="0">
        <tpls c="5">
          <tpl fld="1" item="3"/>
          <tpl fld="2" item="7"/>
          <tpl hier="10" item="8"/>
          <tpl hier="11" item="0"/>
          <tpl fld="0" item="1"/>
        </tpls>
      </n>
      <n v="-32.75" in="0">
        <tpls c="5">
          <tpl fld="1" item="8"/>
          <tpl fld="2" item="8"/>
          <tpl hier="10" item="8"/>
          <tpl hier="11" item="0"/>
          <tpl fld="0" item="0"/>
        </tpls>
      </n>
      <n v="-4346.25" in="0">
        <tpls c="5">
          <tpl fld="1" item="9"/>
          <tpl fld="2" item="13"/>
          <tpl hier="10" item="8"/>
          <tpl hier="11" item="0"/>
          <tpl fld="0" item="0"/>
        </tpls>
      </n>
      <n v="7492896.583333333" in="0">
        <tpls c="5">
          <tpl fld="1" item="2"/>
          <tpl hier="9" item="4294967295"/>
          <tpl hier="10" item="8"/>
          <tpl hier="11" item="0"/>
          <tpl fld="0" item="0"/>
        </tpls>
      </n>
      <n v="-10459" in="0">
        <tpls c="5">
          <tpl fld="1" item="0"/>
          <tpl fld="2" item="13"/>
          <tpl hier="10" item="8"/>
          <tpl hier="11" item="0"/>
          <tpl fld="0" item="1"/>
        </tpls>
      </n>
      <n v="-4905" in="0">
        <tpls c="5">
          <tpl fld="1" item="1"/>
          <tpl fld="2" item="5"/>
          <tpl hier="10" item="8"/>
          <tpl hier="11" item="0"/>
          <tpl fld="0" item="1"/>
        </tpls>
      </n>
      <m in="0">
        <tpls c="5">
          <tpl fld="1" item="4"/>
          <tpl fld="2" item="2"/>
          <tpl hier="10" item="8"/>
          <tpl hier="11" item="0"/>
          <tpl fld="0" item="0"/>
        </tpls>
      </m>
      <n v="-9753" in="0">
        <tpls c="5">
          <tpl fld="1" item="9"/>
          <tpl fld="2" item="13"/>
          <tpl hier="10" item="8"/>
          <tpl hier="11" item="0"/>
          <tpl fld="0" item="1"/>
        </tpls>
      </n>
      <n v="11394618" in="0">
        <tpls c="5">
          <tpl fld="1" item="0"/>
          <tpl hier="9" item="4294967295"/>
          <tpl hier="10" item="8"/>
          <tpl hier="11" item="0"/>
          <tpl fld="0" item="1"/>
        </tpls>
      </n>
      <n v="-19207.5" in="0">
        <tpls c="5">
          <tpl fld="1" item="4"/>
          <tpl fld="2" item="6"/>
          <tpl hier="10" item="8"/>
          <tpl hier="11" item="0"/>
          <tpl fld="0" item="0"/>
        </tpls>
      </n>
      <m in="0">
        <tpls c="5">
          <tpl fld="1" item="4"/>
          <tpl fld="2" item="2"/>
          <tpl hier="10" item="8"/>
          <tpl hier="11" item="0"/>
          <tpl fld="0" item="1"/>
        </tpls>
      </m>
      <n v="-12992" in="0">
        <tpls c="5">
          <tpl fld="1" item="4"/>
          <tpl fld="2" item="12"/>
          <tpl hier="10" item="8"/>
          <tpl hier="11" item="0"/>
          <tpl fld="0" item="1"/>
        </tpls>
      </n>
      <n v="-34865.25" in="0">
        <tpls c="5">
          <tpl fld="1" item="6"/>
          <tpl fld="2" item="14"/>
          <tpl hier="10" item="8"/>
          <tpl hier="11" item="0"/>
          <tpl fld="0" item="0"/>
        </tpls>
      </n>
      <n v="-354202" in="0">
        <tpls c="5">
          <tpl fld="1" item="7"/>
          <tpl fld="2" item="8"/>
          <tpl hier="10" item="8"/>
          <tpl hier="11" item="0"/>
          <tpl fld="0" item="1"/>
        </tpls>
      </n>
      <n v="-298718" in="0">
        <tpls c="5">
          <tpl fld="1" item="6"/>
          <tpl fld="2" item="14"/>
          <tpl hier="10" item="8"/>
          <tpl hier="11" item="0"/>
          <tpl fld="0" item="1"/>
        </tpls>
      </n>
      <n v="-3702594" in="0">
        <tpls c="5">
          <tpl fld="1" item="11"/>
          <tpl fld="2" item="7"/>
          <tpl hier="10" item="8"/>
          <tpl hier="11" item="0"/>
          <tpl fld="0" item="1"/>
        </tpls>
      </n>
      <n v="-1659.75" in="0">
        <tpls c="5">
          <tpl fld="1" item="6"/>
          <tpl fld="2" item="8"/>
          <tpl hier="10" item="8"/>
          <tpl hier="11" item="0"/>
          <tpl fld="0" item="0"/>
        </tpls>
      </n>
      <n v="-6654.25" in="0">
        <tpls c="5">
          <tpl fld="1" item="10"/>
          <tpl fld="2" item="13"/>
          <tpl hier="10" item="8"/>
          <tpl hier="11" item="0"/>
          <tpl fld="0" item="0"/>
        </tpls>
      </n>
      <n v="-5627" in="0">
        <tpls c="5">
          <tpl fld="1" item="0"/>
          <tpl fld="2" item="15"/>
          <tpl hier="10" item="8"/>
          <tpl hier="11" item="0"/>
          <tpl fld="0" item="1"/>
        </tpls>
      </n>
      <n v="-909823" in="0">
        <tpls c="5">
          <tpl fld="1" item="6"/>
          <tpl fld="2" item="0"/>
          <tpl hier="10" item="8"/>
          <tpl hier="11" item="0"/>
          <tpl fld="0" item="1"/>
        </tpls>
      </n>
      <n v="-2228.5" in="0">
        <tpls c="5">
          <tpl fld="1" item="5"/>
          <tpl fld="2" item="3"/>
          <tpl hier="10" item="8"/>
          <tpl hier="11" item="0"/>
          <tpl fld="0" item="0"/>
        </tpls>
      </n>
      <n v="-6129087" in="0">
        <tpls c="4">
          <tpl fld="2" item="14"/>
          <tpl hier="10" item="8"/>
          <tpl hier="11" item="0"/>
          <tpl fld="0" item="1"/>
        </tpls>
      </n>
      <n v="-6572" in="0">
        <tpls c="5">
          <tpl fld="1" item="8"/>
          <tpl fld="2" item="3"/>
          <tpl hier="10" item="8"/>
          <tpl hier="11" item="0"/>
          <tpl fld="0" item="1"/>
        </tpls>
      </n>
      <n v="-616504" in="0">
        <tpls c="5">
          <tpl fld="1" item="9"/>
          <tpl fld="2" item="8"/>
          <tpl hier="10" item="8"/>
          <tpl hier="11" item="0"/>
          <tpl fld="0" item="1"/>
        </tpls>
      </n>
      <n v="-1928" in="0">
        <tpls c="5">
          <tpl fld="1" item="6"/>
          <tpl fld="2" item="3"/>
          <tpl hier="10" item="8"/>
          <tpl hier="11" item="0"/>
          <tpl fld="0" item="0"/>
        </tpls>
      </n>
      <n v="159872424" in="0">
        <tpls c="4">
          <tpl fld="2" item="9"/>
          <tpl hier="10" item="8"/>
          <tpl hier="11" item="0"/>
          <tpl fld="0" item="1"/>
        </tpls>
      </n>
      <n v="6700318.416666667" in="0">
        <tpls c="5">
          <tpl fld="1" item="3"/>
          <tpl hier="9" item="4294967295"/>
          <tpl hier="10" item="8"/>
          <tpl hier="11" item="0"/>
          <tpl fld="0" item="0"/>
        </tpls>
      </n>
      <m in="0">
        <tpls c="5">
          <tpl fld="1" item="8"/>
          <tpl fld="2" item="2"/>
          <tpl hier="10" item="8"/>
          <tpl hier="11" item="0"/>
          <tpl fld="0" item="1"/>
        </tpls>
      </m>
      <n v="-11389" in="0">
        <tpls c="5">
          <tpl fld="1" item="10"/>
          <tpl fld="2" item="12"/>
          <tpl hier="10" item="8"/>
          <tpl hier="11" item="0"/>
          <tpl fld="0" item="1"/>
        </tpls>
      </n>
      <n v="-5920" in="0">
        <tpls c="5">
          <tpl fld="1" item="0"/>
          <tpl fld="2" item="3"/>
          <tpl hier="10" item="8"/>
          <tpl hier="11" item="0"/>
          <tpl fld="0" item="1"/>
        </tpls>
      </n>
      <n v="-1933" in="0">
        <tpls c="5">
          <tpl fld="1" item="11"/>
          <tpl fld="2" item="11"/>
          <tpl hier="10" item="8"/>
          <tpl hier="11" item="0"/>
          <tpl fld="0" item="1"/>
        </tpls>
      </n>
      <n v="-18051.5" in="0">
        <tpls c="5">
          <tpl fld="1" item="0"/>
          <tpl fld="2" item="6"/>
          <tpl hier="10" item="8"/>
          <tpl hier="11" item="0"/>
          <tpl fld="0" item="0"/>
        </tpls>
      </n>
      <n v="-66492" in="0">
        <tpls c="5">
          <tpl fld="1" item="6"/>
          <tpl fld="2" item="6"/>
          <tpl hier="10" item="8"/>
          <tpl hier="11" item="0"/>
          <tpl fld="0" item="1"/>
        </tpls>
      </n>
      <n v="-22750" in="0">
        <tpls c="5">
          <tpl fld="1" item="11"/>
          <tpl fld="2" item="4"/>
          <tpl hier="10" item="8"/>
          <tpl hier="11" item="0"/>
          <tpl fld="0" item="1"/>
        </tpls>
      </n>
      <n v="-22566" in="0">
        <tpls c="5">
          <tpl fld="1" item="7"/>
          <tpl fld="2" item="4"/>
          <tpl hier="10" item="8"/>
          <tpl hier="11" item="0"/>
          <tpl fld="0" item="1"/>
        </tpls>
      </n>
      <n v="-5476" in="0">
        <tpls c="5">
          <tpl fld="1" item="4"/>
          <tpl fld="2" item="15"/>
          <tpl hier="10" item="8"/>
          <tpl hier="11" item="0"/>
          <tpl fld="0" item="1"/>
        </tpls>
      </n>
      <n v="-1831.5" in="0">
        <tpls c="5">
          <tpl fld="1" item="11"/>
          <tpl fld="2" item="8"/>
          <tpl hier="10" item="8"/>
          <tpl hier="11" item="0"/>
          <tpl fld="0" item="0"/>
        </tpls>
      </n>
      <n v="-1581" in="0">
        <tpls c="5">
          <tpl fld="1" item="9"/>
          <tpl fld="2" item="11"/>
          <tpl hier="10" item="8"/>
          <tpl hier="11" item="0"/>
          <tpl fld="0" item="1"/>
        </tpls>
      </n>
      <n v="7615924.166666667" in="0">
        <tpls c="5">
          <tpl fld="1" item="0"/>
          <tpl hier="9" item="4294967295"/>
          <tpl hier="10" item="8"/>
          <tpl hier="11" item="0"/>
          <tpl fld="0" item="0"/>
        </tpls>
      </n>
      <n v="-1442" in="0">
        <tpls c="5">
          <tpl fld="1" item="9"/>
          <tpl fld="2" item="4"/>
          <tpl hier="10" item="8"/>
          <tpl hier="11" item="0"/>
          <tpl fld="0" item="0"/>
        </tpls>
      </n>
      <n v="-7166.25" in="0">
        <tpls c="5">
          <tpl fld="1" item="0"/>
          <tpl fld="2" item="13"/>
          <tpl hier="10" item="8"/>
          <tpl hier="11" item="0"/>
          <tpl fld="0" item="0"/>
        </tpls>
      </n>
      <n v="-2922.75" in="0">
        <tpls c="5">
          <tpl fld="1" item="7"/>
          <tpl fld="2" item="3"/>
          <tpl hier="10" item="8"/>
          <tpl hier="11" item="0"/>
          <tpl fld="0" item="0"/>
        </tpls>
      </n>
      <n v="-3307.5" in="0">
        <tpls c="5">
          <tpl fld="1" item="11"/>
          <tpl fld="2" item="13"/>
          <tpl hier="10" item="8"/>
          <tpl hier="11" item="0"/>
          <tpl fld="0" item="0"/>
        </tpls>
      </n>
      <n v="-509171" in="0">
        <tpls c="5">
          <tpl fld="1" item="0"/>
          <tpl fld="2" item="14"/>
          <tpl hier="10" item="8"/>
          <tpl hier="11" item="0"/>
          <tpl fld="0" item="1"/>
        </tpls>
      </n>
      <n v="-7893" in="0">
        <tpls c="5">
          <tpl fld="1" item="9"/>
          <tpl fld="2" item="3"/>
          <tpl hier="10" item="8"/>
          <tpl hier="11" item="0"/>
          <tpl fld="0" item="1"/>
        </tpls>
      </n>
      <n v="-1337" in="0">
        <tpls c="5">
          <tpl fld="1" item="1"/>
          <tpl fld="2" item="11"/>
          <tpl hier="10" item="8"/>
          <tpl hier="11" item="0"/>
          <tpl fld="0" item="1"/>
        </tpls>
      </n>
      <n v="-9958" in="0">
        <tpls c="5">
          <tpl fld="1" item="11"/>
          <tpl fld="2" item="13"/>
          <tpl hier="10" item="8"/>
          <tpl hier="11" item="0"/>
          <tpl fld="0" item="1"/>
        </tpls>
      </n>
      <n v="-37210.5" in="0">
        <tpls c="5">
          <tpl fld="1" item="0"/>
          <tpl fld="2" item="14"/>
          <tpl hier="10" item="8"/>
          <tpl hier="11" item="0"/>
          <tpl fld="0" item="0"/>
        </tpls>
      </n>
      <n v="-6438" in="0">
        <tpls c="5">
          <tpl fld="1" item="2"/>
          <tpl fld="2" item="3"/>
          <tpl hier="10" item="8"/>
          <tpl hier="11" item="0"/>
          <tpl fld="0" item="1"/>
        </tpls>
      </n>
      <n v="7592425" in="0">
        <tpls c="5">
          <tpl fld="1" item="3"/>
          <tpl hier="9" item="4294967295"/>
          <tpl hier="10" item="8"/>
          <tpl hier="11" item="0"/>
          <tpl fld="0" item="1"/>
        </tpls>
      </n>
      <n v="-28532" in="0">
        <tpls c="5">
          <tpl fld="1" item="5"/>
          <tpl fld="2" item="4"/>
          <tpl hier="10" item="8"/>
          <tpl hier="11" item="0"/>
          <tpl fld="0" item="1"/>
        </tpls>
      </n>
      <m in="0">
        <tpls c="5">
          <tpl fld="1" item="9"/>
          <tpl fld="2" item="2"/>
          <tpl hier="10" item="8"/>
          <tpl hier="11" item="0"/>
          <tpl fld="0" item="1"/>
        </tpls>
      </m>
      <n v="-16026" in="0">
        <tpls c="5">
          <tpl fld="1" item="10"/>
          <tpl fld="2" item="8"/>
          <tpl hier="10" item="8"/>
          <tpl hier="11" item="0"/>
          <tpl fld="0" item="0"/>
        </tpls>
      </n>
      <n v="-18850.25" in="0">
        <tpls c="5">
          <tpl fld="1" item="8"/>
          <tpl fld="2" item="10"/>
          <tpl hier="10" item="8"/>
          <tpl hier="11" item="0"/>
          <tpl fld="0" item="0"/>
        </tpls>
      </n>
      <n v="-7445" in="0">
        <tpls c="5">
          <tpl fld="1" item="2"/>
          <tpl fld="2" item="15"/>
          <tpl hier="10" item="8"/>
          <tpl hier="11" item="0"/>
          <tpl fld="0" item="0"/>
        </tpls>
      </n>
      <n v="-1999968" in="0">
        <tpls c="5">
          <tpl fld="1" item="9"/>
          <tpl fld="2" item="7"/>
          <tpl hier="10" item="8"/>
          <tpl hier="11" item="0"/>
          <tpl fld="0" item="1"/>
        </tpls>
      </n>
      <n v="-2424.5" in="0">
        <tpls c="5">
          <tpl fld="1" item="4"/>
          <tpl fld="2" item="3"/>
          <tpl hier="10" item="8"/>
          <tpl hier="11" item="0"/>
          <tpl fld="0" item="0"/>
        </tpls>
      </n>
      <n v="-26385" in="0">
        <tpls c="5">
          <tpl fld="1" item="10"/>
          <tpl fld="2" item="4"/>
          <tpl hier="10" item="8"/>
          <tpl hier="11" item="0"/>
          <tpl fld="0" item="1"/>
        </tpls>
      </n>
      <n v="-43" in="0">
        <tpls c="5">
          <tpl fld="1" item="1"/>
          <tpl fld="2" item="8"/>
          <tpl hier="10" item="8"/>
          <tpl hier="11" item="0"/>
          <tpl fld="0" item="0"/>
        </tpls>
      </n>
      <n v="16729633" in="0">
        <tpls c="5">
          <tpl fld="1" item="9"/>
          <tpl fld="2" item="9"/>
          <tpl hier="10" item="8"/>
          <tpl hier="11" item="0"/>
          <tpl fld="0" item="1"/>
        </tpls>
      </n>
      <n v="-209945" in="0">
        <tpls c="5">
          <tpl fld="1" item="2"/>
          <tpl fld="2" item="14"/>
          <tpl hier="10" item="8"/>
          <tpl hier="11" item="0"/>
          <tpl fld="0" item="1"/>
        </tpls>
      </n>
      <n v="-12958.75" in="0">
        <tpls c="5">
          <tpl fld="1" item="9"/>
          <tpl fld="2" item="10"/>
          <tpl hier="10" item="8"/>
          <tpl hier="11" item="0"/>
          <tpl fld="0" item="0"/>
        </tpls>
      </n>
      <n v="-4871.5" in="0">
        <tpls c="5">
          <tpl fld="1" item="5"/>
          <tpl fld="2" item="1"/>
          <tpl hier="10" item="8"/>
          <tpl hier="11" item="0"/>
          <tpl fld="0" item="0"/>
        </tpls>
      </n>
      <n v="-4449.5" in="0">
        <tpls c="5">
          <tpl fld="1" item="10"/>
          <tpl fld="2" item="12"/>
          <tpl hier="10" item="8"/>
          <tpl hier="11" item="0"/>
          <tpl fld="0" item="0"/>
        </tpls>
      </n>
      <n v="-1480" in="0">
        <tpls c="5">
          <tpl fld="1" item="4"/>
          <tpl fld="2" item="11"/>
          <tpl hier="10" item="8"/>
          <tpl hier="11" item="0"/>
          <tpl fld="0" item="1"/>
        </tpls>
      </n>
      <n v="8466359.5" in="0">
        <tpls c="5">
          <tpl fld="1" item="8"/>
          <tpl hier="9" item="4294967295"/>
          <tpl hier="10" item="8"/>
          <tpl hier="11" item="0"/>
          <tpl fld="0" item="0"/>
        </tpls>
      </n>
      <n v="-80743.25" in="0">
        <tpls c="5">
          <tpl fld="1" item="1"/>
          <tpl fld="2" item="14"/>
          <tpl hier="10" item="8"/>
          <tpl hier="11" item="0"/>
          <tpl fld="0" item="0"/>
        </tpls>
      </n>
      <m in="0">
        <tpls c="5">
          <tpl fld="1" item="1"/>
          <tpl fld="2" item="2"/>
          <tpl hier="10" item="8"/>
          <tpl hier="11" item="0"/>
          <tpl fld="0" item="0"/>
        </tpls>
      </m>
      <n v="-1863.75" in="0">
        <tpls c="5">
          <tpl fld="1" item="2"/>
          <tpl fld="2" item="3"/>
          <tpl hier="10" item="8"/>
          <tpl hier="11" item="0"/>
          <tpl fld="0" item="0"/>
        </tpls>
      </n>
      <n v="-1517" in="0">
        <tpls c="5">
          <tpl fld="1" item="6"/>
          <tpl fld="2" item="5"/>
          <tpl hier="10" item="8"/>
          <tpl hier="11" item="0"/>
          <tpl fld="0" item="0"/>
        </tpls>
      </n>
      <n v="13708858" in="0">
        <tpls c="5">
          <tpl fld="1" item="2"/>
          <tpl fld="2" item="9"/>
          <tpl hier="10" item="8"/>
          <tpl hier="11" item="0"/>
          <tpl fld="0" item="1"/>
        </tpls>
      </n>
      <n v="-506177" in="0">
        <tpls c="5">
          <tpl fld="1" item="8"/>
          <tpl fld="2" item="0"/>
          <tpl hier="10" item="8"/>
          <tpl hier="11" item="0"/>
          <tpl fld="0" item="1"/>
        </tpls>
      </n>
      <n v="-220996.5" in="0">
        <tpls c="5">
          <tpl fld="1" item="9"/>
          <tpl fld="2" item="7"/>
          <tpl hier="10" item="8"/>
          <tpl hier="11" item="0"/>
          <tpl fld="0" item="0"/>
        </tpls>
      </n>
      <n v="7155365" in="0">
        <tpls c="5">
          <tpl fld="1" item="3"/>
          <tpl fld="2" item="9"/>
          <tpl hier="10" item="8"/>
          <tpl hier="11" item="0"/>
          <tpl fld="0" item="0"/>
        </tpls>
      </n>
      <n v="-219469.75" in="0">
        <tpls c="5">
          <tpl fld="1" item="1"/>
          <tpl fld="2" item="0"/>
          <tpl hier="10" item="8"/>
          <tpl hier="11" item="0"/>
          <tpl fld="0" item="0"/>
        </tpls>
      </n>
      <n v="-16709" in="0">
        <tpls c="5">
          <tpl fld="1" item="2"/>
          <tpl fld="2" item="4"/>
          <tpl hier="10" item="8"/>
          <tpl hier="11" item="0"/>
          <tpl fld="0" item="1"/>
        </tpls>
      </n>
      <n v="11598976" in="0">
        <tpls c="5">
          <tpl fld="1" item="10"/>
          <tpl fld="2" item="9"/>
          <tpl hier="10" item="8"/>
          <tpl hier="11" item="0"/>
          <tpl fld="0" item="1"/>
        </tpls>
      </n>
      <n v="14418702" in="0">
        <tpls c="5">
          <tpl fld="1" item="5"/>
          <tpl fld="2" item="9"/>
          <tpl hier="10" item="8"/>
          <tpl hier="11" item="0"/>
          <tpl fld="0" item="1"/>
        </tpls>
      </n>
      <n v="-5220" in="0">
        <tpls c="5">
          <tpl fld="1" item="8"/>
          <tpl fld="2" item="12"/>
          <tpl hier="10" item="8"/>
          <tpl hier="11" item="0"/>
          <tpl fld="0" item="0"/>
        </tpls>
      </n>
      <n v="-1306.5" in="0">
        <tpls c="5">
          <tpl fld="1" item="8"/>
          <tpl fld="2" item="5"/>
          <tpl hier="10" item="8"/>
          <tpl hier="11" item="0"/>
          <tpl fld="0" item="0"/>
        </tpls>
      </n>
      <n v="-2665" in="0">
        <tpls c="5">
          <tpl fld="1" item="9"/>
          <tpl fld="2" item="5"/>
          <tpl hier="10" item="8"/>
          <tpl hier="11" item="0"/>
          <tpl fld="0" item="1"/>
        </tpls>
      </n>
      <n v="-3227" in="0">
        <tpls c="5">
          <tpl fld="1" item="10"/>
          <tpl fld="2" item="5"/>
          <tpl hier="10" item="8"/>
          <tpl hier="11" item="0"/>
          <tpl fld="0" item="1"/>
        </tpls>
      </n>
      <n v="7676406.833333333" in="0">
        <tpls c="5">
          <tpl fld="1" item="5"/>
          <tpl hier="9" item="4294967295"/>
          <tpl hier="10" item="8"/>
          <tpl hier="11" item="0"/>
          <tpl fld="0" item="0"/>
        </tpls>
      </n>
      <n v="-9788" in="0">
        <tpls c="5">
          <tpl fld="1" item="1"/>
          <tpl fld="2" item="15"/>
          <tpl hier="10" item="8"/>
          <tpl hier="11" item="0"/>
          <tpl fld="0" item="1"/>
        </tpls>
      </n>
      <n v="-2553.75" in="0">
        <tpls c="5">
          <tpl fld="1" item="0"/>
          <tpl fld="2" item="3"/>
          <tpl hier="10" item="8"/>
          <tpl hier="11" item="0"/>
          <tpl fld="0" item="0"/>
        </tpls>
      </n>
      <n v="-3177.25" in="0">
        <tpls c="5">
          <tpl fld="1" item="3"/>
          <tpl fld="2" item="4"/>
          <tpl hier="10" item="8"/>
          <tpl hier="11" item="0"/>
          <tpl fld="0" item="0"/>
        </tpls>
      </n>
      <n v="7913565" in="0">
        <tpls c="5">
          <tpl fld="1" item="2"/>
          <tpl fld="2" item="9"/>
          <tpl hier="10" item="8"/>
          <tpl hier="11" item="0"/>
          <tpl fld="0" item="0"/>
        </tpls>
      </n>
      <n v="-85285" in="0">
        <tpls c="5">
          <tpl fld="1" item="7"/>
          <tpl fld="2" item="6"/>
          <tpl hier="10" item="8"/>
          <tpl hier="11" item="0"/>
          <tpl fld="0" item="1"/>
        </tpls>
      </n>
      <m in="0">
        <tpls c="5">
          <tpl fld="1" item="6"/>
          <tpl fld="2" item="2"/>
          <tpl hier="10" item="8"/>
          <tpl hier="11" item="0"/>
          <tpl fld="0" item="1"/>
        </tpls>
      </m>
      <n v="-1227" in="0">
        <tpls c="5">
          <tpl fld="1" item="1"/>
          <tpl fld="2" item="4"/>
          <tpl hier="10" item="8"/>
          <tpl hier="11" item="0"/>
          <tpl fld="0" item="0"/>
        </tpls>
      </n>
      <n v="9010679" in="0">
        <tpls c="5">
          <tpl fld="1" item="8"/>
          <tpl fld="2" item="9"/>
          <tpl hier="10" item="8"/>
          <tpl hier="11" item="0"/>
          <tpl fld="0" item="0"/>
        </tpls>
      </n>
      <n v="-3901" in="0">
        <tpls c="5">
          <tpl fld="1" item="5"/>
          <tpl fld="2" item="5"/>
          <tpl hier="10" item="8"/>
          <tpl hier="11" item="0"/>
          <tpl fld="0" item="1"/>
        </tpls>
      </n>
      <n v="-17622" in="0">
        <tpls c="5">
          <tpl fld="1" item="8"/>
          <tpl fld="2" item="12"/>
          <tpl hier="10" item="8"/>
          <tpl hier="11" item="0"/>
          <tpl fld="0" item="1"/>
        </tpls>
      </n>
      <n v="-4116" in="0">
        <tpls c="5">
          <tpl fld="1" item="10"/>
          <tpl fld="2" item="1"/>
          <tpl hier="10" item="8"/>
          <tpl hier="11" item="0"/>
          <tpl fld="0" item="0"/>
        </tpls>
      </n>
      <n v="-81448" in="0">
        <tpls c="5">
          <tpl fld="1" item="9"/>
          <tpl fld="2" item="10"/>
          <tpl hier="10" item="8"/>
          <tpl hier="11" item="0"/>
          <tpl fld="0" item="1"/>
        </tpls>
      </n>
      <m in="0">
        <tpls c="5">
          <tpl fld="1" item="10"/>
          <tpl fld="2" item="2"/>
          <tpl hier="10" item="8"/>
          <tpl hier="11" item="0"/>
          <tpl fld="0" item="1"/>
        </tpls>
      </m>
      <n v="8476542" in="0">
        <tpls c="5">
          <tpl fld="1" item="5"/>
          <tpl hier="9" item="4294967295"/>
          <tpl hier="10" item="8"/>
          <tpl hier="11" item="0"/>
          <tpl fld="0" item="1"/>
        </tpls>
      </n>
      <n v="-5918.25" in="0">
        <tpls c="5">
          <tpl fld="1" item="5"/>
          <tpl fld="2" item="15"/>
          <tpl hier="10" item="8"/>
          <tpl hier="11" item="0"/>
          <tpl fld="0" item="0"/>
        </tpls>
      </n>
      <n v="-31821" in="0">
        <tpls c="5">
          <tpl fld="1" item="0"/>
          <tpl fld="2" item="4"/>
          <tpl hier="10" item="8"/>
          <tpl hier="11" item="0"/>
          <tpl fld="0" item="1"/>
        </tpls>
      </n>
      <n v="-5021" in="0">
        <tpls c="5">
          <tpl fld="1" item="3"/>
          <tpl fld="2" item="1"/>
          <tpl hier="10" item="8"/>
          <tpl hier="11" item="0"/>
          <tpl fld="0" item="0"/>
        </tpls>
      </n>
      <n v="-797838" in="0">
        <tpls c="5">
          <tpl fld="1" item="5"/>
          <tpl fld="2" item="0"/>
          <tpl hier="10" item="8"/>
          <tpl hier="11" item="0"/>
          <tpl fld="0" item="1"/>
        </tpls>
      </n>
      <n v="-1853.25" in="0">
        <tpls c="5">
          <tpl fld="1" item="11"/>
          <tpl fld="2" item="3"/>
          <tpl hier="10" item="8"/>
          <tpl hier="11" item="0"/>
          <tpl fld="0" item="0"/>
        </tpls>
      </n>
      <n v="-21789" in="0">
        <tpls c="5">
          <tpl fld="1" item="1"/>
          <tpl fld="2" item="4"/>
          <tpl hier="10" item="8"/>
          <tpl hier="11" item="0"/>
          <tpl fld="0" item="1"/>
        </tpls>
      </n>
      <n v="20402679" in="0">
        <tpls c="5">
          <tpl fld="1" item="8"/>
          <tpl fld="2" item="9"/>
          <tpl hier="10" item="8"/>
          <tpl hier="11" item="0"/>
          <tpl fld="0" item="1"/>
        </tpls>
      </n>
      <n v="-4010312" in="0">
        <tpls c="5">
          <tpl fld="1" item="5"/>
          <tpl fld="2" item="7"/>
          <tpl hier="10" item="8"/>
          <tpl hier="11" item="0"/>
          <tpl fld="0" item="1"/>
        </tpls>
      </n>
      <n v="-4883" in="0">
        <tpls c="5">
          <tpl fld="1" item="7"/>
          <tpl fld="2" item="12"/>
          <tpl hier="10" item="8"/>
          <tpl hier="11" item="0"/>
          <tpl fld="0" item="0"/>
        </tpls>
      </n>
      <n v="-1920.75" in="0">
        <tpls c="5">
          <tpl fld="1" item="10"/>
          <tpl fld="2" item="4"/>
          <tpl hier="10" item="8"/>
          <tpl hier="11" item="0"/>
          <tpl fld="0" item="0"/>
        </tpls>
      </n>
      <n v="-368603" in="0">
        <tpls c="5">
          <tpl fld="1" item="9"/>
          <tpl fld="2" item="0"/>
          <tpl hier="10" item="8"/>
          <tpl hier="11" item="0"/>
          <tpl fld="0" item="1"/>
        </tpls>
      </n>
      <n v="-1122.25" in="0">
        <tpls c="5">
          <tpl fld="1" item="5"/>
          <tpl fld="2" item="5"/>
          <tpl hier="10" item="8"/>
          <tpl hier="11" item="0"/>
          <tpl fld="0" item="0"/>
        </tpls>
      </n>
      <n v="8423634.166666666" in="0">
        <tpls c="5">
          <tpl fld="1" item="4"/>
          <tpl hier="9" item="4294967295"/>
          <tpl hier="10" item="8"/>
          <tpl hier="11" item="0"/>
          <tpl fld="0" item="0"/>
        </tpls>
      </n>
      <n v="-10386" in="0">
        <tpls c="5">
          <tpl fld="1" item="5"/>
          <tpl fld="2" item="15"/>
          <tpl hier="10" item="8"/>
          <tpl hier="11" item="0"/>
          <tpl fld="0" item="1"/>
        </tpls>
      </n>
      <n v="-2772" in="0">
        <tpls c="5">
          <tpl fld="1" item="0"/>
          <tpl fld="2" item="4"/>
          <tpl hier="10" item="8"/>
          <tpl hier="11" item="0"/>
          <tpl fld="0" item="0"/>
        </tpls>
      </n>
      <n v="-4784.75" in="0">
        <tpls c="5">
          <tpl fld="1" item="6"/>
          <tpl fld="2" item="1"/>
          <tpl hier="10" item="8"/>
          <tpl hier="11" item="0"/>
          <tpl fld="0" item="0"/>
        </tpls>
      </n>
      <n v="-5165.25" in="0">
        <tpls c="5">
          <tpl fld="1" item="9"/>
          <tpl fld="2" item="8"/>
          <tpl hier="10" item="8"/>
          <tpl hier="11" item="0"/>
          <tpl fld="0" item="0"/>
        </tpls>
      </n>
      <n v="-244847.75" in="0">
        <tpls c="5">
          <tpl fld="1" item="8"/>
          <tpl fld="2" item="0"/>
          <tpl hier="10" item="8"/>
          <tpl hier="11" item="0"/>
          <tpl fld="0" item="0"/>
        </tpls>
      </n>
      <n v="-2120" in="0">
        <tpls c="5">
          <tpl fld="1" item="1"/>
          <tpl fld="2" item="1"/>
          <tpl hier="10" item="8"/>
          <tpl hier="11" item="0"/>
          <tpl fld="0" item="1"/>
        </tpls>
      </n>
      <n v="-4597" in="0">
        <tpls c="5">
          <tpl fld="1" item="10"/>
          <tpl fld="2" item="3"/>
          <tpl hier="10" item="8"/>
          <tpl hier="11" item="0"/>
          <tpl fld="0" item="1"/>
        </tpls>
      </n>
      <n v="-39025" in="0">
        <tpls c="5">
          <tpl fld="1" item="11"/>
          <tpl fld="2" item="6"/>
          <tpl hier="10" item="8"/>
          <tpl hier="11" item="0"/>
          <tpl fld="0" item="1"/>
        </tpls>
      </n>
      <n v="-4248.75" in="0">
        <tpls c="5">
          <tpl fld="1" item="5"/>
          <tpl fld="2" item="4"/>
          <tpl hier="10" item="8"/>
          <tpl hier="11" item="0"/>
          <tpl fld="0" item="0"/>
        </tpls>
      </n>
      <n v="9836477" in="0">
        <tpls c="5">
          <tpl fld="1" item="7"/>
          <tpl fld="2" item="9"/>
          <tpl hier="10" item="8"/>
          <tpl hier="11" item="0"/>
          <tpl fld="0" item="0"/>
        </tpls>
      </n>
      <n v="-77868" in="0">
        <tpls c="5">
          <tpl fld="1" item="5"/>
          <tpl fld="2" item="6"/>
          <tpl hier="10" item="8"/>
          <tpl hier="11" item="0"/>
          <tpl fld="0" item="1"/>
        </tpls>
      </n>
      <n v="-8492" in="0">
        <tpls c="5">
          <tpl fld="1" item="7"/>
          <tpl fld="2" item="12"/>
          <tpl hier="10" item="8"/>
          <tpl hier="11" item="0"/>
          <tpl fld="0" item="1"/>
        </tpls>
      </n>
      <n v="-1293.75" in="0">
        <tpls c="5">
          <tpl fld="1" item="10"/>
          <tpl fld="2" item="5"/>
          <tpl hier="10" item="8"/>
          <tpl hier="11" item="0"/>
          <tpl fld="0" item="0"/>
        </tpls>
      </n>
      <n v="-28829.75" in="0">
        <tpls c="5">
          <tpl fld="1" item="3"/>
          <tpl fld="2" item="14"/>
          <tpl hier="10" item="8"/>
          <tpl hier="11" item="0"/>
          <tpl fld="0" item="0"/>
        </tpls>
      </n>
      <n v="-8974.5" in="0">
        <tpls c="5">
          <tpl fld="1" item="5"/>
          <tpl fld="2" item="10"/>
          <tpl hier="10" item="8"/>
          <tpl hier="11" item="0"/>
          <tpl fld="0" item="0"/>
        </tpls>
      </n>
      <n v="1973264" in="0">
        <tpls c="5">
          <tpl fld="1" item="4"/>
          <tpl hier="9" item="4294967295"/>
          <tpl hier="10" item="8"/>
          <tpl hier="11" item="0"/>
          <tpl fld="0" item="1"/>
        </tpls>
      </n>
      <n v="-11011" in="0">
        <tpls c="5">
          <tpl fld="1" item="3"/>
          <tpl fld="2" item="15"/>
          <tpl hier="10" item="8"/>
          <tpl hier="11" item="0"/>
          <tpl fld="0" item="1"/>
        </tpls>
      </n>
      <n v="-4197" in="0">
        <tpls c="5">
          <tpl fld="1" item="0"/>
          <tpl fld="2" item="5"/>
          <tpl hier="10" item="8"/>
          <tpl hier="11" item="0"/>
          <tpl fld="0" item="1"/>
        </tpls>
      </n>
      <n v="-93656.25" in="0">
        <tpls c="5">
          <tpl fld="1" item="1"/>
          <tpl fld="2" item="7"/>
          <tpl hier="10" item="8"/>
          <tpl hier="11" item="0"/>
          <tpl fld="0" item="0"/>
        </tpls>
      </n>
      <n v="-11894.5" in="0">
        <tpls c="5">
          <tpl fld="1" item="7"/>
          <tpl fld="2" item="6"/>
          <tpl hier="10" item="8"/>
          <tpl hier="11" item="0"/>
          <tpl fld="0" item="0"/>
        </tpls>
      </n>
      <n v="-562912" in="0">
        <tpls c="5">
          <tpl fld="1" item="1"/>
          <tpl fld="2" item="14"/>
          <tpl hier="10" item="8"/>
          <tpl hier="11" item="0"/>
          <tpl fld="0" item="1"/>
        </tpls>
      </n>
      <n v="-20934.75" in="0">
        <tpls c="5">
          <tpl fld="1" item="8"/>
          <tpl fld="2" item="6"/>
          <tpl hier="10" item="8"/>
          <tpl hier="11" item="0"/>
          <tpl fld="0" item="0"/>
        </tpls>
      </n>
      <n v="-167466.75" in="0">
        <tpls c="5">
          <tpl fld="1" item="10"/>
          <tpl fld="2" item="7"/>
          <tpl hier="10" item="8"/>
          <tpl hier="11" item="0"/>
          <tpl fld="0" item="0"/>
        </tpls>
      </n>
      <n v="-1115.25" in="0">
        <tpls c="5">
          <tpl fld="1" item="3"/>
          <tpl fld="2" item="5"/>
          <tpl hier="10" item="8"/>
          <tpl hier="11" item="0"/>
          <tpl fld="0" item="0"/>
        </tpls>
      </n>
      <n v="14264165" in="0">
        <tpls c="5">
          <tpl fld="1" item="7"/>
          <tpl fld="2" item="9"/>
          <tpl hier="10" item="8"/>
          <tpl hier="11" item="0"/>
          <tpl fld="0" item="1"/>
        </tpls>
      </n>
      <n v="-2160" in="0">
        <tpls c="5">
          <tpl fld="1" item="5"/>
          <tpl fld="2" item="1"/>
          <tpl hier="10" item="8"/>
          <tpl hier="11" item="0"/>
          <tpl fld="0" item="1"/>
        </tpls>
      </n>
      <n v="-5247.75" in="0">
        <tpls c="5">
          <tpl fld="1" item="6"/>
          <tpl fld="2" item="12"/>
          <tpl hier="10" item="8"/>
          <tpl hier="11" item="0"/>
          <tpl fld="0" item="0"/>
        </tpls>
      </n>
      <m in="0">
        <tpls c="5">
          <tpl fld="1" item="10"/>
          <tpl fld="2" item="2"/>
          <tpl hier="10" item="8"/>
          <tpl hier="11" item="0"/>
          <tpl fld="0" item="0"/>
        </tpls>
      </m>
      <n v="-460141" in="0">
        <tpls c="5">
          <tpl fld="1" item="3"/>
          <tpl fld="2" item="14"/>
          <tpl hier="10" item="8"/>
          <tpl hier="11" item="0"/>
          <tpl fld="0" item="1"/>
        </tpls>
      </n>
      <n v="8127229" in="0">
        <tpls c="5">
          <tpl fld="1" item="5"/>
          <tpl fld="2" item="9"/>
          <tpl hier="10" item="8"/>
          <tpl hier="11" item="0"/>
          <tpl fld="0" item="0"/>
        </tpls>
      </n>
      <n v="9213342.75" in="0">
        <tpls c="5">
          <tpl fld="1" item="9"/>
          <tpl hier="9" item="4294967295"/>
          <tpl hier="10" item="8"/>
          <tpl hier="11" item="0"/>
          <tpl fld="0" item="0"/>
        </tpls>
      </n>
      <n v="-6780.25" in="0">
        <tpls c="5">
          <tpl fld="1" item="4"/>
          <tpl fld="2" item="15"/>
          <tpl hier="10" item="8"/>
          <tpl hier="11" item="0"/>
          <tpl fld="0" item="0"/>
        </tpls>
      </n>
      <n v="-1384.5" in="0">
        <tpls c="5">
          <tpl fld="1" item="0"/>
          <tpl fld="2" item="5"/>
          <tpl hier="10" item="8"/>
          <tpl hier="11" item="0"/>
          <tpl fld="0" item="0"/>
        </tpls>
      </n>
      <n v="-2697.75" in="0">
        <tpls c="5">
          <tpl fld="1" item="9"/>
          <tpl fld="2" item="3"/>
          <tpl hier="10" item="8"/>
          <tpl hier="11" item="0"/>
          <tpl fld="0" item="0"/>
        </tpls>
      </n>
      <n v="-539" in="0">
        <tpls c="5">
          <tpl fld="1" item="1"/>
          <tpl fld="2" item="11"/>
          <tpl hier="10" item="8"/>
          <tpl hier="11" item="0"/>
          <tpl fld="0" item="0"/>
        </tpls>
      </n>
      <n v="-247718.5" in="0">
        <tpls c="5">
          <tpl fld="1" item="6"/>
          <tpl fld="2" item="0"/>
          <tpl hier="10" item="8"/>
          <tpl hier="11" item="0"/>
          <tpl fld="0" item="0"/>
        </tpls>
      </n>
      <n v="-1401" in="0">
        <tpls c="5">
          <tpl fld="1" item="5"/>
          <tpl fld="2" item="11"/>
          <tpl hier="10" item="8"/>
          <tpl hier="11" item="0"/>
          <tpl fld="0" item="1"/>
        </tpls>
      </n>
      <n v="-1590" in="0">
        <tpls c="5">
          <tpl fld="1" item="3"/>
          <tpl fld="2" item="5"/>
          <tpl hier="10" item="8"/>
          <tpl hier="11" item="0"/>
          <tpl fld="0" item="1"/>
        </tpls>
      </n>
      <n v="9598172" in="0">
        <tpls c="5">
          <tpl fld="1" item="6"/>
          <tpl fld="2" item="9"/>
          <tpl hier="10" item="8"/>
          <tpl hier="11" item="0"/>
          <tpl fld="0" item="0"/>
        </tpls>
      </n>
      <m in="0">
        <tpls c="5">
          <tpl fld="1" item="5"/>
          <tpl fld="2" item="2"/>
          <tpl hier="10" item="8"/>
          <tpl hier="11" item="0"/>
          <tpl fld="0" item="1"/>
        </tpls>
      </m>
      <n v="-19893" in="0">
        <tpls c="5">
          <tpl fld="1" item="6"/>
          <tpl fld="2" item="12"/>
          <tpl hier="10" item="8"/>
          <tpl hier="11" item="0"/>
          <tpl fld="0" item="1"/>
        </tpls>
      </n>
      <n v="-196737.5" in="0">
        <tpls c="5">
          <tpl fld="1" item="10"/>
          <tpl fld="2" item="0"/>
          <tpl hier="10" item="8"/>
          <tpl hier="11" item="0"/>
          <tpl fld="0" item="0"/>
        </tpls>
      </n>
      <n v="-23071.25" in="0">
        <tpls c="5">
          <tpl fld="1" item="2"/>
          <tpl fld="2" item="14"/>
          <tpl hier="10" item="8"/>
          <tpl hier="11" item="0"/>
          <tpl fld="0" item="0"/>
        </tpls>
      </n>
      <n v="-132237.16666666666" in="0">
        <tpls c="5">
          <tpl fld="1" item="5"/>
          <tpl fld="2" item="7"/>
          <tpl hier="10" item="8"/>
          <tpl hier="11" item="0"/>
          <tpl fld="0" item="0"/>
        </tpls>
      </n>
      <n v="8813459.666666666" in="0">
        <tpls c="5">
          <tpl fld="1" item="11"/>
          <tpl hier="9" item="4294967295"/>
          <tpl hier="10" item="8"/>
          <tpl hier="11" item="0"/>
          <tpl fld="0" item="0"/>
        </tpls>
      </n>
      <n v="-5707.25" in="0">
        <tpls c="5">
          <tpl fld="1" item="3"/>
          <tpl fld="2" item="15"/>
          <tpl hier="10" item="8"/>
          <tpl hier="11" item="0"/>
          <tpl fld="0" item="0"/>
        </tpls>
      </n>
      <n v="-59762" in="0">
        <tpls c="5">
          <tpl fld="1" item="0"/>
          <tpl fld="2" item="6"/>
          <tpl hier="10" item="8"/>
          <tpl hier="11" item="0"/>
          <tpl fld="0" item="1"/>
        </tpls>
      </n>
      <n v="-2160" in="0">
        <tpls c="5">
          <tpl fld="1" item="7"/>
          <tpl fld="2" item="1"/>
          <tpl hier="10" item="8"/>
          <tpl hier="11" item="0"/>
          <tpl fld="0" item="1"/>
        </tpls>
      </n>
      <n v="-781823" in="0">
        <tpls c="5">
          <tpl fld="1" item="2"/>
          <tpl fld="2" item="0"/>
          <tpl hier="10" item="8"/>
          <tpl hier="11" item="0"/>
          <tpl fld="0" item="1"/>
        </tpls>
      </n>
      <n v="9846021" in="0">
        <tpls c="5">
          <tpl fld="1" item="1"/>
          <tpl fld="2" item="9"/>
          <tpl hier="10" item="8"/>
          <tpl hier="11" item="0"/>
          <tpl fld="0" item="1"/>
        </tpls>
      </n>
      <n v="-20285.5" in="0">
        <tpls c="5">
          <tpl fld="1" item="11"/>
          <tpl fld="2" item="6"/>
          <tpl hier="10" item="8"/>
          <tpl hier="11" item="0"/>
          <tpl fld="0" item="0"/>
        </tpls>
      </n>
      <n v="-56662.25" in="0">
        <tpls c="4">
          <tpl fld="2" item="12"/>
          <tpl hier="10" item="8"/>
          <tpl hier="11" item="0"/>
          <tpl fld="0" item="0"/>
        </tpls>
      </n>
      <n v="-64529" in="0">
        <tpls c="5">
          <tpl fld="1" item="4"/>
          <tpl fld="2" item="6"/>
          <tpl hier="10" item="8"/>
          <tpl hier="11" item="0"/>
          <tpl fld="0" item="1"/>
        </tpls>
      </n>
      <n v="-2132" in="0">
        <tpls c="5">
          <tpl fld="1" item="8"/>
          <tpl fld="2" item="11"/>
          <tpl hier="10" item="8"/>
          <tpl hier="11" item="0"/>
          <tpl fld="0" item="1"/>
        </tpls>
      </n>
      <n v="-17923.25" in="0">
        <tpls c="5">
          <tpl fld="1" item="1"/>
          <tpl fld="2" item="6"/>
          <tpl hier="10" item="8"/>
          <tpl hier="11" item="0"/>
          <tpl fld="0" item="0"/>
        </tpls>
      </n>
      <n v="-14126" in="0">
        <tpls c="5">
          <tpl fld="1" item="7"/>
          <tpl fld="2" item="13"/>
          <tpl hier="10" item="8"/>
          <tpl hier="11" item="0"/>
          <tpl fld="0" item="1"/>
        </tpls>
      </n>
      <n v="-101815" in="0">
        <tpls c="5">
          <tpl fld="1" item="7"/>
          <tpl fld="2" item="10"/>
          <tpl hier="10" item="8"/>
          <tpl hier="11" item="0"/>
          <tpl fld="0" item="1"/>
        </tpls>
      </n>
      <n v="-4805" in="0">
        <tpls c="5">
          <tpl fld="1" item="9"/>
          <tpl fld="2" item="1"/>
          <tpl hier="10" item="8"/>
          <tpl hier="11" item="0"/>
          <tpl fld="0" item="0"/>
        </tpls>
      </n>
      <n v="-437091" in="0">
        <tpls c="5">
          <tpl fld="1" item="0"/>
          <tpl fld="2" item="8"/>
          <tpl hier="10" item="8"/>
          <tpl hier="11" item="0"/>
          <tpl fld="0" item="1"/>
        </tpls>
      </n>
      <n v="-201472.5" in="0">
        <tpls c="5">
          <tpl fld="1" item="9"/>
          <tpl fld="2" item="0"/>
          <tpl hier="10" item="8"/>
          <tpl hier="11" item="0"/>
          <tpl fld="0" item="0"/>
        </tpls>
      </n>
      <m in="0">
        <tpls c="5">
          <tpl fld="1" item="1"/>
          <tpl fld="2" item="7"/>
          <tpl hier="10" item="1"/>
          <tpl hier="11" item="9"/>
          <tpl fld="0" item="1"/>
        </tpls>
      </m>
      <n v="-3931.75" in="0">
        <tpls c="5">
          <tpl fld="1" item="3"/>
          <tpl fld="2" item="2"/>
          <tpl hier="10" item="1"/>
          <tpl hier="11" item="9"/>
          <tpl fld="0" item="0"/>
        </tpls>
      </n>
      <m in="0">
        <tpls c="5">
          <tpl fld="1" item="2"/>
          <tpl fld="2" item="6"/>
          <tpl hier="10" item="1"/>
          <tpl hier="11" item="9"/>
          <tpl fld="0" item="1"/>
        </tpls>
      </m>
      <m in="0">
        <tpls c="5">
          <tpl fld="1" item="3"/>
          <tpl fld="2" item="11"/>
          <tpl hier="10" item="1"/>
          <tpl hier="11" item="9"/>
          <tpl fld="0" item="1"/>
        </tpls>
      </m>
      <n v="-95693" in="0">
        <tpls c="5">
          <tpl fld="1" item="3"/>
          <tpl fld="2" item="10"/>
          <tpl hier="10" item="1"/>
          <tpl hier="11" item="9"/>
          <tpl fld="0" item="0"/>
        </tpls>
      </n>
      <n v="-19049.75" in="0">
        <tpls c="5">
          <tpl fld="1" item="10"/>
          <tpl fld="2" item="3"/>
          <tpl hier="10" item="1"/>
          <tpl hier="11" item="9"/>
          <tpl fld="0" item="0"/>
        </tpls>
      </n>
      <n v="-84058.083333333328" in="0">
        <tpls c="5">
          <tpl fld="1" item="11"/>
          <tpl fld="2" item="7"/>
          <tpl hier="10" item="1"/>
          <tpl hier="11" item="9"/>
          <tpl fld="0" item="0"/>
        </tpls>
      </n>
      <m in="0">
        <tpls c="5">
          <tpl fld="1" item="3"/>
          <tpl fld="2" item="6"/>
          <tpl hier="10" item="1"/>
          <tpl hier="11" item="9"/>
          <tpl fld="0" item="1"/>
        </tpls>
      </m>
      <m in="0">
        <tpls c="5">
          <tpl fld="1" item="4"/>
          <tpl fld="2" item="9"/>
          <tpl hier="10" item="1"/>
          <tpl hier="11" item="9"/>
          <tpl fld="0" item="1"/>
        </tpls>
      </m>
      <m in="0">
        <tpls c="5">
          <tpl fld="1" item="10"/>
          <tpl fld="2" item="11"/>
          <tpl hier="10" item="1"/>
          <tpl hier="11" item="9"/>
          <tpl fld="0" item="1"/>
        </tpls>
      </m>
      <n v="-32393" in="0">
        <tpls c="5">
          <tpl fld="1" item="7"/>
          <tpl fld="2" item="13"/>
          <tpl hier="10" item="1"/>
          <tpl hier="11" item="9"/>
          <tpl fld="0" item="0"/>
        </tpls>
      </n>
      <m in="0">
        <tpls c="5">
          <tpl fld="1" item="11"/>
          <tpl fld="2" item="5"/>
          <tpl hier="10" item="1"/>
          <tpl hier="11" item="9"/>
          <tpl fld="0" item="1"/>
        </tpls>
      </m>
      <n v="-22100" in="0">
        <tpls c="5">
          <tpl fld="1" item="5"/>
          <tpl fld="2" item="14"/>
          <tpl hier="10" item="1"/>
          <tpl hier="11" item="9"/>
          <tpl fld="0" item="0"/>
        </tpls>
      </n>
      <m in="0">
        <tpls c="4">
          <tpl fld="2" item="13"/>
          <tpl hier="10" item="1"/>
          <tpl hier="11" item="9"/>
          <tpl fld="0" item="1"/>
        </tpls>
      </m>
      <n v="7566332.166666666" in="0">
        <tpls c="5">
          <tpl fld="1" item="7"/>
          <tpl hier="9" item="4294967295"/>
          <tpl hier="10" item="1"/>
          <tpl hier="11" item="9"/>
          <tpl fld="0" item="0"/>
        </tpls>
      </n>
      <m in="0">
        <tpls c="5">
          <tpl fld="1" item="11"/>
          <tpl fld="2" item="15"/>
          <tpl hier="10" item="1"/>
          <tpl hier="11" item="9"/>
          <tpl fld="0" item="1"/>
        </tpls>
      </m>
      <n v="-996.5" in="0">
        <tpls c="5">
          <tpl fld="1" item="0"/>
          <tpl fld="2" item="8"/>
          <tpl hier="10" item="1"/>
          <tpl hier="11" item="9"/>
          <tpl fld="0" item="0"/>
        </tpls>
      </n>
      <m in="0">
        <tpls c="5">
          <tpl fld="1" item="6"/>
          <tpl fld="2" item="1"/>
          <tpl hier="10" item="1"/>
          <tpl hier="11" item="9"/>
          <tpl fld="0" item="1"/>
        </tpls>
      </m>
      <n v="-125065.08333333333" in="0">
        <tpls c="5">
          <tpl fld="1" item="3"/>
          <tpl fld="2" item="7"/>
          <tpl hier="10" item="1"/>
          <tpl hier="11" item="9"/>
          <tpl fld="0" item="0"/>
        </tpls>
      </n>
      <m in="0">
        <tpls c="5">
          <tpl fld="1" item="6"/>
          <tpl fld="2" item="9"/>
          <tpl hier="10" item="1"/>
          <tpl hier="11" item="9"/>
          <tpl fld="0" item="1"/>
        </tpls>
      </m>
      <m in="0">
        <tpls c="5">
          <tpl fld="1" item="3"/>
          <tpl fld="2" item="3"/>
          <tpl hier="10" item="1"/>
          <tpl hier="11" item="9"/>
          <tpl fld="0" item="1"/>
        </tpls>
      </m>
      <n v="-3682.25" in="0">
        <tpls c="5">
          <tpl fld="1" item="9"/>
          <tpl fld="2" item="11"/>
          <tpl hier="10" item="1"/>
          <tpl hier="11" item="9"/>
          <tpl fld="0" item="0"/>
        </tpls>
      </n>
      <m in="0">
        <tpls c="5">
          <tpl fld="1" item="10"/>
          <tpl fld="2" item="6"/>
          <tpl hier="10" item="1"/>
          <tpl hier="11" item="9"/>
          <tpl fld="0" item="1"/>
        </tpls>
      </m>
      <m in="0">
        <tpls c="5">
          <tpl fld="1" item="3"/>
          <tpl fld="2" item="0"/>
          <tpl hier="10" item="1"/>
          <tpl hier="11" item="9"/>
          <tpl fld="0" item="1"/>
        </tpls>
      </m>
      <n v="-111730" in="0">
        <tpls c="5">
          <tpl fld="1" item="2"/>
          <tpl fld="2" item="6"/>
          <tpl hier="10" item="1"/>
          <tpl hier="11" item="9"/>
          <tpl fld="0" item="0"/>
        </tpls>
      </n>
      <m in="0">
        <tpls c="5">
          <tpl fld="1" item="4"/>
          <tpl fld="2" item="5"/>
          <tpl hier="10" item="1"/>
          <tpl hier="11" item="9"/>
          <tpl fld="0" item="1"/>
        </tpls>
      </m>
      <n v="-3884.25" in="0">
        <tpls c="5">
          <tpl fld="1" item="8"/>
          <tpl fld="2" item="11"/>
          <tpl hier="10" item="1"/>
          <tpl hier="11" item="9"/>
          <tpl fld="0" item="0"/>
        </tpls>
      </n>
      <n v="-36051.5" in="0">
        <tpls c="5">
          <tpl fld="1" item="3"/>
          <tpl fld="2" item="13"/>
          <tpl hier="10" item="1"/>
          <tpl hier="11" item="9"/>
          <tpl fld="0" item="0"/>
        </tpls>
      </n>
      <m in="0">
        <tpls c="5">
          <tpl fld="1" item="11"/>
          <tpl fld="2" item="2"/>
          <tpl hier="10" item="1"/>
          <tpl hier="11" item="9"/>
          <tpl fld="0" item="1"/>
        </tpls>
      </m>
      <m in="0">
        <tpls c="5">
          <tpl fld="1" item="5"/>
          <tpl fld="2" item="14"/>
          <tpl hier="10" item="1"/>
          <tpl hier="11" item="9"/>
          <tpl fld="0" item="1"/>
        </tpls>
      </m>
      <m in="0">
        <tpls c="4">
          <tpl fld="2" item="12"/>
          <tpl hier="10" item="1"/>
          <tpl hier="11" item="9"/>
          <tpl fld="0" item="1"/>
        </tpls>
      </m>
      <m in="0">
        <tpls c="5">
          <tpl fld="1" item="7"/>
          <tpl hier="9" item="4294967295"/>
          <tpl hier="10" item="1"/>
          <tpl hier="11" item="9"/>
          <tpl fld="0" item="1"/>
        </tpls>
      </m>
      <n v="-520583" in="0">
        <tpls c="4">
          <tpl fld="2" item="15"/>
          <tpl hier="10" item="1"/>
          <tpl hier="11" item="9"/>
          <tpl fld="0" item="0"/>
        </tpls>
      </n>
      <m in="0">
        <tpls c="5">
          <tpl fld="1" item="0"/>
          <tpl fld="2" item="9"/>
          <tpl hier="10" item="1"/>
          <tpl hier="11" item="9"/>
          <tpl fld="0" item="1"/>
        </tpls>
      </m>
      <m in="0">
        <tpls c="5">
          <tpl fld="1" item="6"/>
          <tpl fld="2" item="4"/>
          <tpl hier="10" item="1"/>
          <tpl hier="11" item="9"/>
          <tpl fld="0" item="1"/>
        </tpls>
      </m>
      <m in="0">
        <tpls c="5">
          <tpl fld="1" item="2"/>
          <tpl fld="2" item="1"/>
          <tpl hier="10" item="1"/>
          <tpl hier="11" item="9"/>
          <tpl fld="0" item="1"/>
        </tpls>
      </m>
      <m in="0">
        <tpls c="5">
          <tpl fld="1" item="2"/>
          <tpl fld="2" item="2"/>
          <tpl hier="10" item="1"/>
          <tpl hier="11" item="9"/>
          <tpl fld="0" item="1"/>
        </tpls>
      </m>
      <m in="0">
        <tpls c="5">
          <tpl fld="1" item="3"/>
          <tpl fld="2" item="8"/>
          <tpl hier="10" item="1"/>
          <tpl hier="11" item="9"/>
          <tpl fld="0" item="1"/>
        </tpls>
      </m>
      <m in="0">
        <tpls c="5">
          <tpl fld="1" item="3"/>
          <tpl fld="2" item="9"/>
          <tpl hier="10" item="1"/>
          <tpl hier="11" item="9"/>
          <tpl fld="0" item="1"/>
        </tpls>
      </m>
      <n v="-3434.5" in="0">
        <tpls c="5">
          <tpl fld="1" item="5"/>
          <tpl fld="2" item="11"/>
          <tpl hier="10" item="1"/>
          <tpl hier="11" item="9"/>
          <tpl fld="0" item="0"/>
        </tpls>
      </n>
      <n v="-133025.5" in="0">
        <tpls c="5">
          <tpl fld="1" item="9"/>
          <tpl fld="2" item="6"/>
          <tpl hier="10" item="1"/>
          <tpl hier="11" item="9"/>
          <tpl fld="0" item="0"/>
        </tpls>
      </n>
      <n v="-141101.58333333334" in="0">
        <tpls c="5">
          <tpl fld="1" item="4"/>
          <tpl fld="2" item="7"/>
          <tpl hier="10" item="1"/>
          <tpl hier="11" item="9"/>
          <tpl fld="0" item="0"/>
        </tpls>
      </n>
      <m in="0">
        <tpls c="5">
          <tpl fld="1" item="4"/>
          <tpl fld="2" item="0"/>
          <tpl hier="10" item="1"/>
          <tpl hier="11" item="9"/>
          <tpl fld="0" item="1"/>
        </tpls>
      </m>
      <n v="-3610" in="0">
        <tpls c="5">
          <tpl fld="1" item="7"/>
          <tpl fld="2" item="11"/>
          <tpl hier="10" item="1"/>
          <tpl hier="11" item="9"/>
          <tpl fld="0" item="0"/>
        </tpls>
      </n>
      <m in="0">
        <tpls c="5">
          <tpl fld="1" item="3"/>
          <tpl fld="2" item="13"/>
          <tpl hier="10" item="1"/>
          <tpl hier="11" item="9"/>
          <tpl fld="0" item="1"/>
        </tpls>
      </m>
      <m in="0">
        <tpls c="5">
          <tpl fld="1" item="11"/>
          <tpl fld="2" item="0"/>
          <tpl hier="10" item="1"/>
          <tpl hier="11" item="9"/>
          <tpl fld="0" item="1"/>
        </tpls>
      </m>
      <n v="-31272.5" in="0">
        <tpls c="5">
          <tpl fld="1" item="11"/>
          <tpl fld="2" item="14"/>
          <tpl hier="10" item="1"/>
          <tpl hier="11" item="9"/>
          <tpl fld="0" item="0"/>
        </tpls>
      </n>
      <m in="0">
        <tpls c="4">
          <tpl fld="2" item="0"/>
          <tpl hier="10" item="1"/>
          <tpl hier="11" item="9"/>
          <tpl fld="0" item="1"/>
        </tpls>
      </m>
      <n v="7409101.75" in="0">
        <tpls c="5">
          <tpl fld="1" item="6"/>
          <tpl hier="9" item="4294967295"/>
          <tpl hier="10" item="1"/>
          <tpl hier="11" item="9"/>
          <tpl fld="0" item="0"/>
        </tpls>
      </n>
      <m in="0">
        <tpls c="4">
          <tpl fld="2" item="15"/>
          <tpl hier="10" item="1"/>
          <tpl hier="11" item="9"/>
          <tpl fld="0" item="1"/>
        </tpls>
      </m>
      <n v="7995921" in="0">
        <tpls c="5">
          <tpl fld="1" item="0"/>
          <tpl fld="2" item="9"/>
          <tpl hier="10" item="1"/>
          <tpl hier="11" item="9"/>
          <tpl fld="0" item="0"/>
        </tpls>
      </n>
      <m in="0">
        <tpls c="4">
          <tpl fld="2" item="4"/>
          <tpl hier="10" item="1"/>
          <tpl hier="11" item="9"/>
          <tpl fld="0" item="1"/>
        </tpls>
      </m>
      <n v="-46782.75" in="0">
        <tpls c="5">
          <tpl fld="1" item="8"/>
          <tpl fld="2" item="15"/>
          <tpl hier="10" item="1"/>
          <tpl hier="11" item="9"/>
          <tpl fld="0" item="0"/>
        </tpls>
      </n>
      <n v="-3523.75" in="0">
        <tpls c="5">
          <tpl fld="1" item="3"/>
          <tpl fld="2" item="8"/>
          <tpl hier="10" item="1"/>
          <tpl hier="11" item="9"/>
          <tpl fld="0" item="0"/>
        </tpls>
      </n>
      <n v="-3598.5" in="0">
        <tpls c="5">
          <tpl fld="1" item="3"/>
          <tpl fld="2" item="11"/>
          <tpl hier="10" item="1"/>
          <tpl hier="11" item="9"/>
          <tpl fld="0" item="0"/>
        </tpls>
      </n>
      <m in="0">
        <tpls c="5">
          <tpl fld="1" item="11"/>
          <tpl fld="2" item="14"/>
          <tpl hier="10" item="1"/>
          <tpl hier="11" item="9"/>
          <tpl fld="0" item="1"/>
        </tpls>
      </m>
      <m in="0">
        <tpls c="5">
          <tpl fld="1" item="8"/>
          <tpl fld="2" item="15"/>
          <tpl hier="10" item="1"/>
          <tpl hier="11" item="9"/>
          <tpl fld="0" item="1"/>
        </tpls>
      </m>
      <m in="0">
        <tpls c="5">
          <tpl fld="1" item="3"/>
          <tpl fld="2" item="1"/>
          <tpl hier="10" item="1"/>
          <tpl hier="11" item="9"/>
          <tpl fld="0" item="1"/>
        </tpls>
      </m>
      <m in="0">
        <tpls c="5">
          <tpl fld="1" item="9"/>
          <tpl fld="2" item="1"/>
          <tpl hier="10" item="1"/>
          <tpl hier="11" item="9"/>
          <tpl fld="0" item="1"/>
        </tpls>
      </m>
      <m in="0">
        <tpls c="5">
          <tpl fld="1" item="9"/>
          <tpl fld="2" item="12"/>
          <tpl hier="10" item="1"/>
          <tpl hier="11" item="9"/>
          <tpl fld="0" item="1"/>
        </tpls>
      </m>
      <n v="-36502.5" in="0">
        <tpls c="5">
          <tpl fld="1" item="10"/>
          <tpl fld="2" item="14"/>
          <tpl hier="10" item="1"/>
          <tpl hier="11" item="9"/>
          <tpl fld="0" item="0"/>
        </tpls>
      </n>
      <n v="-31952.5" in="0">
        <tpls c="5">
          <tpl fld="1" item="0"/>
          <tpl fld="2" item="12"/>
          <tpl hier="10" item="1"/>
          <tpl hier="11" item="9"/>
          <tpl fld="0" item="0"/>
        </tpls>
      </n>
      <m in="0">
        <tpls c="5">
          <tpl fld="1" item="7"/>
          <tpl fld="2" item="5"/>
          <tpl hier="10" item="1"/>
          <tpl hier="11" item="9"/>
          <tpl fld="0" item="1"/>
        </tpls>
      </m>
      <n v="-31113" in="0">
        <tpls c="5">
          <tpl fld="1" item="11"/>
          <tpl fld="2" item="1"/>
          <tpl hier="10" item="1"/>
          <tpl hier="11" item="9"/>
          <tpl fld="0" item="0"/>
        </tpls>
      </n>
      <n v="-33356.25" in="0">
        <tpls c="5">
          <tpl fld="1" item="2"/>
          <tpl fld="2" item="12"/>
          <tpl hier="10" item="1"/>
          <tpl hier="11" item="9"/>
          <tpl fld="0" item="0"/>
        </tpls>
      </n>
      <n v="-35856.5" in="0">
        <tpls c="5">
          <tpl fld="1" item="8"/>
          <tpl fld="2" item="14"/>
          <tpl hier="10" item="1"/>
          <tpl hier="11" item="9"/>
          <tpl fld="0" item="0"/>
        </tpls>
      </n>
      <m in="0">
        <tpls c="5">
          <tpl fld="1" item="7"/>
          <tpl fld="2" item="15"/>
          <tpl hier="10" item="1"/>
          <tpl hier="11" item="9"/>
          <tpl fld="0" item="1"/>
        </tpls>
      </m>
      <n v="-751.75" in="0">
        <tpls c="5">
          <tpl fld="1" item="2"/>
          <tpl fld="2" item="8"/>
          <tpl hier="10" item="1"/>
          <tpl hier="11" item="9"/>
          <tpl fld="0" item="0"/>
        </tpls>
      </n>
      <n v="-1590168.75" in="0">
        <tpls c="5">
          <tpl fld="1" item="3"/>
          <tpl fld="2" item="0"/>
          <tpl hier="10" item="1"/>
          <tpl hier="11" item="9"/>
          <tpl fld="0" item="0"/>
        </tpls>
      </n>
      <m in="0">
        <tpls c="5">
          <tpl fld="1" item="8"/>
          <tpl fld="2" item="8"/>
          <tpl hier="10" item="1"/>
          <tpl hier="11" item="9"/>
          <tpl fld="0" item="1"/>
        </tpls>
      </m>
      <m in="0">
        <tpls c="5">
          <tpl fld="1" item="5"/>
          <tpl fld="2" item="12"/>
          <tpl hier="10" item="1"/>
          <tpl hier="11" item="9"/>
          <tpl fld="0" item="1"/>
        </tpls>
      </m>
      <m in="0">
        <tpls c="5">
          <tpl fld="1" item="8"/>
          <tpl fld="2" item="14"/>
          <tpl hier="10" item="1"/>
          <tpl hier="11" item="9"/>
          <tpl fld="0" item="1"/>
        </tpls>
      </m>
      <n v="-39704.75" in="0">
        <tpls c="5">
          <tpl fld="1" item="6"/>
          <tpl fld="2" item="15"/>
          <tpl hier="10" item="1"/>
          <tpl hier="11" item="9"/>
          <tpl fld="0" item="0"/>
        </tpls>
      </n>
      <n v="-126051.75" in="0">
        <tpls c="5">
          <tpl fld="1" item="10"/>
          <tpl fld="2" item="6"/>
          <tpl hier="10" item="1"/>
          <tpl hier="11" item="9"/>
          <tpl fld="0" item="0"/>
        </tpls>
      </n>
      <n v="-1933" in="0">
        <tpls c="5">
          <tpl fld="1" item="11"/>
          <tpl fld="2" item="4"/>
          <tpl hier="10" item="1"/>
          <tpl hier="11" item="9"/>
          <tpl fld="0" item="0"/>
        </tpls>
      </n>
      <m in="0">
        <tpls c="5">
          <tpl fld="1" item="0"/>
          <tpl fld="2" item="0"/>
          <tpl hier="10" item="1"/>
          <tpl hier="11" item="9"/>
          <tpl fld="0" item="1"/>
        </tpls>
      </m>
      <m in="0">
        <tpls c="5">
          <tpl fld="1" item="1"/>
          <tpl fld="2" item="2"/>
          <tpl hier="10" item="1"/>
          <tpl hier="11" item="9"/>
          <tpl fld="0" item="1"/>
        </tpls>
      </m>
      <m in="0">
        <tpls c="5">
          <tpl fld="1" item="11"/>
          <tpl fld="2" item="10"/>
          <tpl hier="10" item="1"/>
          <tpl hier="11" item="9"/>
          <tpl fld="0" item="1"/>
        </tpls>
      </m>
      <m in="0">
        <tpls c="5">
          <tpl fld="1" item="11"/>
          <tpl hier="9" item="4294967295"/>
          <tpl hier="10" item="1"/>
          <tpl hier="11" item="9"/>
          <tpl fld="0" item="1"/>
        </tpls>
      </m>
      <n v="-16740.5" in="0">
        <tpls c="5">
          <tpl fld="1" item="8"/>
          <tpl fld="2" item="3"/>
          <tpl hier="10" item="1"/>
          <tpl hier="11" item="9"/>
          <tpl fld="0" item="0"/>
        </tpls>
      </n>
      <m in="0">
        <tpls c="5">
          <tpl fld="1" item="10"/>
          <tpl fld="2" item="7"/>
          <tpl hier="10" item="1"/>
          <tpl hier="11" item="9"/>
          <tpl fld="0" item="1"/>
        </tpls>
      </m>
      <n v="-85072.75" in="0">
        <tpls c="5">
          <tpl fld="1" item="10"/>
          <tpl fld="2" item="10"/>
          <tpl hier="10" item="1"/>
          <tpl hier="11" item="9"/>
          <tpl fld="0" item="0"/>
        </tpls>
      </n>
      <n v="-1692188.75" in="0">
        <tpls c="5">
          <tpl fld="1" item="11"/>
          <tpl fld="2" item="0"/>
          <tpl hier="10" item="1"/>
          <tpl hier="11" item="9"/>
          <tpl fld="0" item="0"/>
        </tpls>
      </n>
      <m in="0">
        <tpls c="5">
          <tpl fld="1" item="3"/>
          <tpl fld="2" item="4"/>
          <tpl hier="10" item="1"/>
          <tpl hier="11" item="9"/>
          <tpl fld="0" item="1"/>
        </tpls>
      </m>
      <m in="0">
        <tpls c="5">
          <tpl fld="1" item="10"/>
          <tpl fld="2" item="13"/>
          <tpl hier="10" item="1"/>
          <tpl hier="11" item="9"/>
          <tpl fld="0" item="1"/>
        </tpls>
      </m>
      <m in="0">
        <tpls c="5">
          <tpl fld="1" item="5"/>
          <tpl fld="2" item="3"/>
          <tpl hier="10" item="1"/>
          <tpl hier="11" item="9"/>
          <tpl fld="0" item="1"/>
        </tpls>
      </m>
      <n v="-42463.75" in="0">
        <tpls c="5">
          <tpl fld="1" item="8"/>
          <tpl fld="2" item="13"/>
          <tpl hier="10" item="1"/>
          <tpl hier="11" item="9"/>
          <tpl fld="0" item="0"/>
        </tpls>
      </n>
      <m in="0">
        <tpls c="5">
          <tpl fld="1" item="0"/>
          <tpl fld="2" item="2"/>
          <tpl hier="10" item="1"/>
          <tpl hier="11" item="9"/>
          <tpl fld="0" item="1"/>
        </tpls>
      </m>
      <n v="-4541.25" in="0">
        <tpls c="5">
          <tpl fld="1" item="6"/>
          <tpl fld="2" item="2"/>
          <tpl hier="10" item="1"/>
          <tpl hier="11" item="9"/>
          <tpl fld="0" item="0"/>
        </tpls>
      </n>
      <m in="0">
        <tpls c="5">
          <tpl fld="1" item="8"/>
          <tpl fld="2" item="10"/>
          <tpl hier="10" item="1"/>
          <tpl hier="11" item="9"/>
          <tpl fld="0" item="1"/>
        </tpls>
      </m>
      <n v="-4335" in="0">
        <tpls c="5">
          <tpl fld="1" item="0"/>
          <tpl fld="2" item="2"/>
          <tpl hier="10" item="1"/>
          <tpl hier="11" item="9"/>
          <tpl fld="0" item="0"/>
        </tpls>
      </n>
      <n v="-30177.75" in="0">
        <tpls c="5">
          <tpl fld="1" item="6"/>
          <tpl fld="2" item="13"/>
          <tpl hier="10" item="1"/>
          <tpl hier="11" item="9"/>
          <tpl fld="0" item="0"/>
        </tpls>
      </n>
      <n v="9118441" in="0">
        <tpls c="5">
          <tpl fld="1" item="10"/>
          <tpl fld="2" item="9"/>
          <tpl hier="10" item="1"/>
          <tpl hier="11" item="9"/>
          <tpl fld="0" item="0"/>
        </tpls>
      </n>
      <m in="0">
        <tpls c="5">
          <tpl fld="1" item="10"/>
          <tpl fld="2" item="1"/>
          <tpl hier="10" item="1"/>
          <tpl hier="11" item="9"/>
          <tpl fld="0" item="1"/>
        </tpls>
      </m>
      <m in="0">
        <tpls c="5">
          <tpl fld="1" item="8"/>
          <tpl fld="2" item="7"/>
          <tpl hier="10" item="1"/>
          <tpl hier="11" item="9"/>
          <tpl fld="0" item="1"/>
        </tpls>
      </m>
      <n v="-127198" in="0">
        <tpls c="5">
          <tpl fld="1" item="5"/>
          <tpl fld="2" item="6"/>
          <tpl hier="10" item="1"/>
          <tpl hier="11" item="9"/>
          <tpl fld="0" item="0"/>
        </tpls>
      </n>
      <n v="-41" in="0">
        <tpls c="5">
          <tpl fld="1" item="4"/>
          <tpl fld="2" item="8"/>
          <tpl hier="10" item="1"/>
          <tpl hier="11" item="9"/>
          <tpl fld="0" item="0"/>
        </tpls>
      </n>
      <n v="-8885.75" in="0">
        <tpls c="5">
          <tpl fld="1" item="9"/>
          <tpl fld="2" item="5"/>
          <tpl hier="10" item="1"/>
          <tpl hier="11" item="9"/>
          <tpl fld="0" item="0"/>
        </tpls>
      </n>
      <m in="0">
        <tpls c="5">
          <tpl fld="1" item="10"/>
          <tpl hier="9" item="4294967295"/>
          <tpl hier="10" item="1"/>
          <tpl hier="11" item="9"/>
          <tpl fld="0" item="1"/>
        </tpls>
      </m>
      <n v="-32348.25" in="0">
        <tpls c="5">
          <tpl fld="1" item="9"/>
          <tpl fld="2" item="12"/>
          <tpl hier="10" item="1"/>
          <tpl hier="11" item="9"/>
          <tpl fld="0" item="0"/>
        </tpls>
      </n>
      <n v="-4402.25" in="0">
        <tpls c="5">
          <tpl fld="1" item="5"/>
          <tpl fld="2" item="2"/>
          <tpl hier="10" item="1"/>
          <tpl hier="11" item="9"/>
          <tpl fld="0" item="0"/>
        </tpls>
      </n>
      <n v="-1184.5" in="0">
        <tpls c="5">
          <tpl fld="1" item="7"/>
          <tpl fld="2" item="4"/>
          <tpl hier="10" item="1"/>
          <tpl hier="11" item="9"/>
          <tpl fld="0" item="0"/>
        </tpls>
      </n>
      <n v="-121546.25" in="0">
        <tpls c="5">
          <tpl fld="1" item="3"/>
          <tpl fld="2" item="6"/>
          <tpl hier="10" item="1"/>
          <tpl hier="11" item="9"/>
          <tpl fld="0" item="0"/>
        </tpls>
      </n>
      <m in="0">
        <tpls c="5">
          <tpl fld="1" item="4"/>
          <tpl fld="2" item="13"/>
          <tpl hier="10" item="1"/>
          <tpl hier="11" item="9"/>
          <tpl fld="0" item="1"/>
        </tpls>
      </m>
      <m in="0">
        <tpls c="5">
          <tpl fld="1" item="9"/>
          <tpl fld="2" item="15"/>
          <tpl hier="10" item="1"/>
          <tpl hier="11" item="9"/>
          <tpl fld="0" item="1"/>
        </tpls>
      </m>
      <n v="-15456.75" in="0">
        <tpls c="5">
          <tpl fld="1" item="1"/>
          <tpl fld="2" item="3"/>
          <tpl hier="10" item="1"/>
          <tpl hier="11" item="9"/>
          <tpl fld="0" item="0"/>
        </tpls>
      </n>
      <n v="-31728.75" in="0">
        <tpls c="5">
          <tpl fld="1" item="7"/>
          <tpl fld="2" item="8"/>
          <tpl hier="10" item="1"/>
          <tpl hier="11" item="9"/>
          <tpl fld="0" item="0"/>
        </tpls>
      </n>
      <n v="-102029.75" in="0">
        <tpls c="4">
          <tpl fld="2" item="5"/>
          <tpl hier="10" item="1"/>
          <tpl hier="11" item="9"/>
          <tpl fld="0" item="0"/>
        </tpls>
      </n>
      <n v="-80918" in="0">
        <tpls c="5">
          <tpl fld="1" item="1"/>
          <tpl fld="2" item="10"/>
          <tpl hier="10" item="1"/>
          <tpl hier="11" item="9"/>
          <tpl fld="0" item="0"/>
        </tpls>
      </n>
      <m in="0">
        <tpls c="5">
          <tpl fld="1" item="10"/>
          <tpl fld="2" item="0"/>
          <tpl hier="10" item="1"/>
          <tpl hier="11" item="9"/>
          <tpl fld="0" item="1"/>
        </tpls>
      </m>
      <m in="0">
        <tpls c="5">
          <tpl fld="1" item="3"/>
          <tpl fld="2" item="12"/>
          <tpl hier="10" item="1"/>
          <tpl hier="11" item="9"/>
          <tpl fld="0" item="1"/>
        </tpls>
      </m>
      <n v="105300402" in="0">
        <tpls c="4">
          <tpl fld="2" item="9"/>
          <tpl hier="10" item="1"/>
          <tpl hier="11" item="9"/>
          <tpl fld="0" item="0"/>
        </tpls>
      </n>
      <n v="-32427.75" in="0">
        <tpls c="5">
          <tpl fld="1" item="2"/>
          <tpl fld="2" item="1"/>
          <tpl hier="10" item="1"/>
          <tpl hier="11" item="9"/>
          <tpl fld="0" item="0"/>
        </tpls>
      </n>
      <n v="-471142" in="0">
        <tpls c="4">
          <tpl fld="2" item="14"/>
          <tpl hier="10" item="1"/>
          <tpl hier="11" item="9"/>
          <tpl fld="0" item="0"/>
        </tpls>
      </n>
      <m in="0">
        <tpls c="5">
          <tpl fld="1" item="2"/>
          <tpl fld="2" item="10"/>
          <tpl hier="10" item="1"/>
          <tpl hier="11" item="9"/>
          <tpl fld="0" item="1"/>
        </tpls>
      </m>
      <m in="0">
        <tpls c="5">
          <tpl fld="1" item="6"/>
          <tpl fld="2" item="8"/>
          <tpl hier="10" item="1"/>
          <tpl hier="11" item="9"/>
          <tpl fld="0" item="1"/>
        </tpls>
      </m>
      <n v="-381818.75" in="0">
        <tpls c="4">
          <tpl fld="2" item="1"/>
          <tpl hier="10" item="1"/>
          <tpl hier="11" item="9"/>
          <tpl fld="0" item="0"/>
        </tpls>
      </n>
      <m in="0">
        <tpls c="5">
          <tpl fld="1" item="8"/>
          <tpl fld="2" item="6"/>
          <tpl hier="10" item="1"/>
          <tpl hier="11" item="9"/>
          <tpl fld="0" item="1"/>
        </tpls>
      </m>
      <n v="-89075.5" in="0">
        <tpls c="4">
          <tpl fld="2" item="8"/>
          <tpl hier="10" item="1"/>
          <tpl hier="11" item="9"/>
          <tpl fld="0" item="0"/>
        </tpls>
      </n>
      <m in="0">
        <tpls c="5">
          <tpl fld="1" item="1"/>
          <tpl hier="9" item="4294967295"/>
          <tpl hier="10" item="1"/>
          <tpl hier="11" item="9"/>
          <tpl fld="0" item="1"/>
        </tpls>
      </m>
      <n v="-1468.75" in="0">
        <tpls c="5">
          <tpl fld="1" item="8"/>
          <tpl fld="2" item="4"/>
          <tpl hier="10" item="1"/>
          <tpl hier="11" item="9"/>
          <tpl fld="0" item="0"/>
        </tpls>
      </n>
      <m in="0">
        <tpls c="5">
          <tpl fld="1" item="4"/>
          <tpl fld="2" item="8"/>
          <tpl hier="10" item="1"/>
          <tpl hier="11" item="9"/>
          <tpl fld="0" item="1"/>
        </tpls>
      </m>
      <n v="-82123" in="0">
        <tpls c="5">
          <tpl fld="1" item="7"/>
          <tpl fld="2" item="10"/>
          <tpl hier="10" item="1"/>
          <tpl hier="11" item="9"/>
          <tpl fld="0" item="0"/>
        </tpls>
      </n>
      <n v="-46119" in="0">
        <tpls c="5">
          <tpl fld="1" item="1"/>
          <tpl fld="2" item="15"/>
          <tpl hier="10" item="1"/>
          <tpl hier="11" item="9"/>
          <tpl fld="0" item="0"/>
        </tpls>
      </n>
      <n v="-8598.5" in="0">
        <tpls c="5">
          <tpl fld="1" item="2"/>
          <tpl fld="2" item="5"/>
          <tpl hier="10" item="1"/>
          <tpl hier="11" item="9"/>
          <tpl fld="0" item="0"/>
        </tpls>
      </n>
      <n v="6907979.75" in="0">
        <tpls c="5">
          <tpl fld="1" item="10"/>
          <tpl hier="9" item="4294967295"/>
          <tpl hier="10" item="1"/>
          <tpl hier="11" item="9"/>
          <tpl fld="0" item="0"/>
        </tpls>
      </n>
      <m in="0">
        <tpls c="5">
          <tpl fld="1" item="2"/>
          <tpl fld="2" item="5"/>
          <tpl hier="10" item="1"/>
          <tpl hier="11" item="9"/>
          <tpl fld="0" item="1"/>
        </tpls>
      </m>
      <m in="0">
        <tpls c="5">
          <tpl fld="1" item="8"/>
          <tpl fld="2" item="13"/>
          <tpl hier="10" item="1"/>
          <tpl hier="11" item="9"/>
          <tpl fld="0" item="1"/>
        </tpls>
      </m>
      <m in="0">
        <tpls c="5">
          <tpl fld="1" item="6"/>
          <tpl fld="2" item="15"/>
          <tpl hier="10" item="1"/>
          <tpl hier="11" item="9"/>
          <tpl fld="0" item="1"/>
        </tpls>
      </m>
      <m in="0">
        <tpls c="5">
          <tpl fld="1" item="7"/>
          <tpl fld="2" item="3"/>
          <tpl hier="10" item="1"/>
          <tpl hier="11" item="9"/>
          <tpl fld="0" item="1"/>
        </tpls>
      </m>
      <m in="0">
        <tpls c="5">
          <tpl fld="1" item="9"/>
          <tpl fld="2" item="14"/>
          <tpl hier="10" item="1"/>
          <tpl hier="11" item="9"/>
          <tpl fld="0" item="1"/>
        </tpls>
      </m>
      <n v="-4893.75" in="0">
        <tpls c="5">
          <tpl fld="1" item="7"/>
          <tpl fld="2" item="2"/>
          <tpl hier="10" item="1"/>
          <tpl hier="11" item="9"/>
          <tpl fld="0" item="0"/>
        </tpls>
      </n>
      <m in="0">
        <tpls c="4">
          <tpl fld="2" item="2"/>
          <tpl hier="10" item="1"/>
          <tpl hier="11" item="9"/>
          <tpl fld="0" item="1"/>
        </tpls>
      </m>
      <n v="-42194.5" in="0">
        <tpls c="5">
          <tpl fld="1" item="7"/>
          <tpl fld="2" item="15"/>
          <tpl hier="10" item="1"/>
          <tpl hier="11" item="9"/>
          <tpl fld="0" item="0"/>
        </tpls>
      </n>
      <n v="-1582966.5" in="0">
        <tpls c="5">
          <tpl fld="1" item="0"/>
          <tpl fld="2" item="0"/>
          <tpl hier="10" item="1"/>
          <tpl hier="11" item="9"/>
          <tpl fld="0" item="0"/>
        </tpls>
      </n>
      <m in="0">
        <tpls c="5">
          <tpl fld="1" item="4"/>
          <tpl fld="2" item="7"/>
          <tpl hier="10" item="1"/>
          <tpl hier="11" item="9"/>
          <tpl fld="0" item="1"/>
        </tpls>
      </m>
      <m in="0">
        <tpls c="5">
          <tpl fld="1" item="0"/>
          <tpl fld="2" item="1"/>
          <tpl hier="10" item="1"/>
          <tpl hier="11" item="9"/>
          <tpl fld="0" item="1"/>
        </tpls>
      </m>
      <m in="0">
        <tpls c="5">
          <tpl fld="1" item="9"/>
          <tpl fld="2" item="6"/>
          <tpl hier="10" item="1"/>
          <tpl hier="11" item="9"/>
          <tpl fld="0" item="1"/>
        </tpls>
      </m>
      <m in="0">
        <tpls c="5">
          <tpl fld="1" item="10"/>
          <tpl fld="2" item="10"/>
          <tpl hier="10" item="1"/>
          <tpl hier="11" item="9"/>
          <tpl fld="0" item="1"/>
        </tpls>
      </m>
      <n v="-31894.5" in="0">
        <tpls c="5">
          <tpl fld="1" item="0"/>
          <tpl fld="2" item="1"/>
          <tpl hier="10" item="1"/>
          <tpl hier="11" item="9"/>
          <tpl fld="0" item="0"/>
        </tpls>
      </n>
      <n v="-30237.75" in="0">
        <tpls c="5">
          <tpl fld="1" item="1"/>
          <tpl fld="2" item="1"/>
          <tpl hier="10" item="1"/>
          <tpl hier="11" item="9"/>
          <tpl fld="0" item="0"/>
        </tpls>
      </n>
      <m in="0">
        <tpls c="5">
          <tpl fld="1" item="1"/>
          <tpl fld="2" item="12"/>
          <tpl hier="10" item="1"/>
          <tpl hier="11" item="9"/>
          <tpl fld="0" item="1"/>
        </tpls>
      </m>
      <n v="-1696286.75" in="0">
        <tpls c="5">
          <tpl fld="1" item="7"/>
          <tpl fld="2" item="0"/>
          <tpl hier="10" item="1"/>
          <tpl hier="11" item="9"/>
          <tpl fld="0" item="0"/>
        </tpls>
      </n>
      <m in="0">
        <tpls c="5">
          <tpl fld="1" item="9"/>
          <tpl fld="2" item="4"/>
          <tpl hier="10" item="1"/>
          <tpl hier="11" item="9"/>
          <tpl fld="0" item="1"/>
        </tpls>
      </m>
      <m in="0">
        <tpls c="5">
          <tpl fld="1" item="3"/>
          <tpl fld="2" item="10"/>
          <tpl hier="10" item="1"/>
          <tpl hier="11" item="9"/>
          <tpl fld="0" item="1"/>
        </tpls>
      </m>
      <n v="-2581.75" in="0">
        <tpls c="5">
          <tpl fld="1" item="2"/>
          <tpl fld="2" item="4"/>
          <tpl hier="10" item="1"/>
          <tpl hier="11" item="9"/>
          <tpl fld="0" item="0"/>
        </tpls>
      </n>
      <n v="6623501.25" in="0">
        <tpls c="5">
          <tpl fld="1" item="1"/>
          <tpl hier="9" item="4294967295"/>
          <tpl hier="10" item="1"/>
          <tpl hier="11" item="9"/>
          <tpl fld="0" item="0"/>
        </tpls>
      </n>
      <m in="0">
        <tpls c="5">
          <tpl fld="1" item="11"/>
          <tpl fld="2" item="8"/>
          <tpl hier="10" item="1"/>
          <tpl hier="11" item="9"/>
          <tpl fld="0" item="1"/>
        </tpls>
      </m>
      <m in="0">
        <tpls c="5">
          <tpl fld="1" item="1"/>
          <tpl fld="2" item="6"/>
          <tpl hier="10" item="1"/>
          <tpl hier="11" item="9"/>
          <tpl fld="0" item="1"/>
        </tpls>
      </m>
      <m in="0">
        <tpls c="5">
          <tpl fld="1" item="0"/>
          <tpl fld="2" item="7"/>
          <tpl hier="10" item="1"/>
          <tpl hier="11" item="9"/>
          <tpl fld="0" item="1"/>
        </tpls>
      </m>
      <n v="-8752" in="0">
        <tpls c="5">
          <tpl fld="1" item="1"/>
          <tpl fld="2" item="5"/>
          <tpl hier="10" item="1"/>
          <tpl hier="11" item="9"/>
          <tpl fld="0" item="0"/>
        </tpls>
      </n>
      <n v="-97133.833333333328" in="0">
        <tpls c="5">
          <tpl fld="1" item="0"/>
          <tpl fld="2" item="7"/>
          <tpl hier="10" item="1"/>
          <tpl hier="11" item="9"/>
          <tpl fld="0" item="0"/>
        </tpls>
      </n>
      <m in="0">
        <tpls c="5">
          <tpl fld="1" item="7"/>
          <tpl fld="2" item="2"/>
          <tpl hier="10" item="1"/>
          <tpl hier="11" item="9"/>
          <tpl fld="0" item="1"/>
        </tpls>
      </m>
      <m in="0">
        <tpls c="5">
          <tpl fld="1" item="8"/>
          <tpl hier="9" item="4294967295"/>
          <tpl hier="10" item="1"/>
          <tpl hier="11" item="9"/>
          <tpl fld="0" item="1"/>
        </tpls>
      </m>
      <n v="8716551" in="0">
        <tpls c="5">
          <tpl fld="1" item="1"/>
          <tpl fld="2" item="9"/>
          <tpl hier="10" item="1"/>
          <tpl hier="11" item="9"/>
          <tpl fld="0" item="0"/>
        </tpls>
      </n>
      <m in="0">
        <tpls c="5">
          <tpl fld="1" item="2"/>
          <tpl fld="2" item="7"/>
          <tpl hier="10" item="1"/>
          <tpl hier="11" item="9"/>
          <tpl fld="0" item="1"/>
        </tpls>
      </m>
      <n v="-4777.5" in="0">
        <tpls c="5">
          <tpl fld="1" item="8"/>
          <tpl fld="2" item="2"/>
          <tpl hier="10" item="1"/>
          <tpl hier="11" item="9"/>
          <tpl fld="0" item="0"/>
        </tpls>
      </n>
      <m in="0">
        <tpls c="5">
          <tpl fld="1" item="6"/>
          <tpl fld="2" item="5"/>
          <tpl hier="10" item="1"/>
          <tpl hier="11" item="9"/>
          <tpl fld="0" item="1"/>
        </tpls>
      </m>
      <n v="-196676.25" in="0">
        <tpls c="5">
          <tpl fld="1" item="8"/>
          <tpl fld="2" item="7"/>
          <tpl hier="10" item="1"/>
          <tpl hier="11" item="9"/>
          <tpl fld="0" item="0"/>
        </tpls>
      </n>
      <n v="-30539" in="0">
        <tpls c="5">
          <tpl fld="1" item="4"/>
          <tpl fld="2" item="12"/>
          <tpl hier="10" item="1"/>
          <tpl hier="11" item="9"/>
          <tpl fld="0" item="0"/>
        </tpls>
      </n>
      <n v="-106007.58333333333" in="0">
        <tpls c="5">
          <tpl fld="1" item="7"/>
          <tpl fld="2" item="7"/>
          <tpl hier="10" item="1"/>
          <tpl hier="11" item="9"/>
          <tpl fld="0" item="0"/>
        </tpls>
      </n>
      <m in="0">
        <tpls c="5">
          <tpl fld="1" item="4"/>
          <tpl fld="2" item="1"/>
          <tpl hier="10" item="1"/>
          <tpl hier="11" item="9"/>
          <tpl fld="0" item="1"/>
        </tpls>
      </m>
      <n v="-3681.25" in="0">
        <tpls c="5">
          <tpl fld="1" item="6"/>
          <tpl fld="2" item="11"/>
          <tpl hier="10" item="1"/>
          <tpl hier="11" item="9"/>
          <tpl fld="0" item="0"/>
        </tpls>
      </n>
      <n v="-32980" in="0">
        <tpls c="5">
          <tpl fld="1" item="2"/>
          <tpl fld="2" item="13"/>
          <tpl hier="10" item="1"/>
          <tpl hier="11" item="9"/>
          <tpl fld="0" item="0"/>
        </tpls>
      </n>
      <n v="-8597.75" in="0">
        <tpls c="5">
          <tpl fld="1" item="4"/>
          <tpl fld="2" item="5"/>
          <tpl hier="10" item="1"/>
          <tpl hier="11" item="9"/>
          <tpl fld="0" item="0"/>
        </tpls>
      </n>
      <m in="0">
        <tpls c="5">
          <tpl fld="1" item="10"/>
          <tpl fld="2" item="14"/>
          <tpl hier="10" item="1"/>
          <tpl hier="11" item="9"/>
          <tpl fld="0" item="1"/>
        </tpls>
      </m>
      <m in="0">
        <tpls c="4">
          <tpl fld="2" item="6"/>
          <tpl hier="10" item="1"/>
          <tpl hier="11" item="9"/>
          <tpl fld="0" item="1"/>
        </tpls>
      </m>
      <m in="0">
        <tpls c="5">
          <tpl fld="1" item="6"/>
          <tpl hier="9" item="4294967295"/>
          <tpl hier="10" item="1"/>
          <tpl hier="11" item="9"/>
          <tpl fld="0" item="1"/>
        </tpls>
      </m>
      <n v="-42296" in="0">
        <tpls c="5">
          <tpl fld="1" item="11"/>
          <tpl fld="2" item="15"/>
          <tpl hier="10" item="1"/>
          <tpl hier="11" item="9"/>
          <tpl fld="0" item="0"/>
        </tpls>
      </n>
      <m in="0">
        <tpls c="5">
          <tpl fld="1" item="0"/>
          <tpl fld="2" item="10"/>
          <tpl hier="10" item="1"/>
          <tpl hier="11" item="9"/>
          <tpl fld="0" item="1"/>
        </tpls>
      </m>
      <n v="-32301.75" in="0">
        <tpls c="5">
          <tpl fld="1" item="7"/>
          <tpl fld="2" item="1"/>
          <tpl hier="10" item="1"/>
          <tpl hier="11" item="9"/>
          <tpl fld="0" item="0"/>
        </tpls>
      </n>
      <m in="0">
        <tpls c="5">
          <tpl fld="1" item="4"/>
          <tpl fld="2" item="3"/>
          <tpl hier="10" item="1"/>
          <tpl hier="11" item="9"/>
          <tpl fld="0" item="1"/>
        </tpls>
      </m>
      <n v="-88593.75" in="0">
        <tpls c="5">
          <tpl fld="1" item="6"/>
          <tpl fld="2" item="7"/>
          <tpl hier="10" item="1"/>
          <tpl hier="11" item="9"/>
          <tpl fld="0" item="0"/>
        </tpls>
      </n>
      <n v="-36928.75" in="0">
        <tpls c="5">
          <tpl fld="1" item="1"/>
          <tpl fld="2" item="13"/>
          <tpl hier="10" item="1"/>
          <tpl hier="11" item="9"/>
          <tpl fld="0" item="0"/>
        </tpls>
      </n>
      <m in="0">
        <tpls c="5">
          <tpl fld="1" item="4"/>
          <tpl fld="2" item="14"/>
          <tpl hier="10" item="1"/>
          <tpl hier="11" item="9"/>
          <tpl fld="0" item="1"/>
        </tpls>
      </m>
      <m in="0">
        <tpls c="4">
          <tpl hier="9" item="4294967295"/>
          <tpl hier="10" item="1"/>
          <tpl hier="11" item="9"/>
          <tpl fld="0" item="1"/>
        </tpls>
      </m>
      <m in="0">
        <tpls c="5">
          <tpl fld="1" item="0"/>
          <tpl fld="2" item="11"/>
          <tpl hier="10" item="1"/>
          <tpl hier="11" item="9"/>
          <tpl fld="0" item="1"/>
        </tpls>
      </m>
      <n v="-101243.16666666667" in="0">
        <tpls c="5">
          <tpl fld="1" item="2"/>
          <tpl fld="2" item="7"/>
          <tpl hier="10" item="1"/>
          <tpl hier="11" item="9"/>
          <tpl fld="0" item="0"/>
        </tpls>
      </n>
      <m in="0">
        <tpls c="5">
          <tpl fld="1" item="4"/>
          <tpl fld="2" item="10"/>
          <tpl hier="10" item="1"/>
          <tpl hier="11" item="9"/>
          <tpl fld="0" item="1"/>
        </tpls>
      </m>
      <m in="0">
        <tpls c="5">
          <tpl fld="1" item="11"/>
          <tpl fld="2" item="12"/>
          <tpl hier="10" item="1"/>
          <tpl hier="11" item="9"/>
          <tpl fld="0" item="1"/>
        </tpls>
      </m>
      <m in="0">
        <tpls c="5">
          <tpl fld="1" item="6"/>
          <tpl fld="2" item="7"/>
          <tpl hier="10" item="1"/>
          <tpl hier="11" item="9"/>
          <tpl fld="0" item="1"/>
        </tpls>
      </m>
      <m in="0">
        <tpls c="4">
          <tpl fld="2" item="11"/>
          <tpl hier="10" item="1"/>
          <tpl hier="11" item="9"/>
          <tpl fld="0" item="1"/>
        </tpls>
      </m>
      <n v="-88235.5" in="0">
        <tpls c="5">
          <tpl fld="1" item="4"/>
          <tpl fld="2" item="10"/>
          <tpl hier="10" item="1"/>
          <tpl hier="11" item="9"/>
          <tpl fld="0" item="0"/>
        </tpls>
      </n>
      <n v="-52731.5" in="0">
        <tpls c="4">
          <tpl fld="2" item="2"/>
          <tpl hier="10" item="1"/>
          <tpl hier="11" item="9"/>
          <tpl fld="0" item="0"/>
        </tpls>
      </n>
      <n v="-59957.25" in="0">
        <tpls c="5">
          <tpl fld="1" item="7"/>
          <tpl fld="2" item="14"/>
          <tpl hier="10" item="1"/>
          <tpl hier="11" item="9"/>
          <tpl fld="0" item="0"/>
        </tpls>
      </n>
      <n v="-1554236" in="0">
        <tpls c="4">
          <tpl fld="2" item="7"/>
          <tpl hier="10" item="1"/>
          <tpl hier="11" item="9"/>
          <tpl fld="0" item="0"/>
        </tpls>
      </n>
      <n v="-39260.75" in="0">
        <tpls c="5">
          <tpl fld="1" item="5"/>
          <tpl fld="2" item="13"/>
          <tpl hier="10" item="1"/>
          <tpl hier="11" item="9"/>
          <tpl fld="0" item="0"/>
        </tpls>
      </n>
      <m in="0">
        <tpls c="4">
          <tpl fld="2" item="1"/>
          <tpl hier="10" item="1"/>
          <tpl hier="11" item="9"/>
          <tpl fld="0" item="1"/>
        </tpls>
      </m>
      <m in="0">
        <tpls c="5">
          <tpl fld="1" item="0"/>
          <tpl fld="2" item="12"/>
          <tpl hier="10" item="1"/>
          <tpl hier="11" item="9"/>
          <tpl fld="0" item="1"/>
        </tpls>
      </m>
      <m in="0">
        <tpls c="5">
          <tpl fld="1" item="2"/>
          <tpl fld="2" item="8"/>
          <tpl hier="10" item="1"/>
          <tpl hier="11" item="9"/>
          <tpl fld="0" item="1"/>
        </tpls>
      </m>
      <m in="0">
        <tpls c="5">
          <tpl fld="1" item="7"/>
          <tpl fld="2" item="0"/>
          <tpl hier="10" item="1"/>
          <tpl hier="11" item="9"/>
          <tpl fld="0" item="1"/>
        </tpls>
      </m>
      <m in="0">
        <tpls c="4">
          <tpl fld="2" item="7"/>
          <tpl hier="10" item="1"/>
          <tpl hier="11" item="9"/>
          <tpl fld="0" item="1"/>
        </tpls>
      </m>
      <m in="0">
        <tpls c="5">
          <tpl fld="1" item="5"/>
          <tpl fld="2" item="13"/>
          <tpl hier="10" item="1"/>
          <tpl hier="11" item="9"/>
          <tpl fld="0" item="1"/>
        </tpls>
      </m>
      <n v="-1493626.25" in="0">
        <tpls c="4">
          <tpl fld="2" item="6"/>
          <tpl hier="10" item="1"/>
          <tpl hier="11" item="9"/>
          <tpl fld="0" item="0"/>
        </tpls>
      </n>
      <n v="-3846.25" in="0">
        <tpls c="5">
          <tpl fld="1" item="11"/>
          <tpl fld="2" item="11"/>
          <tpl hier="10" item="1"/>
          <tpl hier="11" item="9"/>
          <tpl fld="0" item="0"/>
        </tpls>
      </n>
      <m in="0">
        <tpls c="5">
          <tpl fld="1" item="11"/>
          <tpl fld="2" item="3"/>
          <tpl hier="10" item="1"/>
          <tpl hier="11" item="9"/>
          <tpl fld="0" item="1"/>
        </tpls>
      </m>
      <n v="-1029449" in="0">
        <tpls c="4">
          <tpl fld="2" item="10"/>
          <tpl hier="10" item="1"/>
          <tpl hier="11" item="9"/>
          <tpl fld="0" item="0"/>
        </tpls>
      </n>
      <n v="9208197" in="0">
        <tpls c="5">
          <tpl fld="1" item="11"/>
          <tpl fld="2" item="9"/>
          <tpl hier="10" item="1"/>
          <tpl hier="11" item="9"/>
          <tpl fld="0" item="0"/>
        </tpls>
      </n>
      <n v="-19507681" in="0">
        <tpls c="4">
          <tpl fld="2" item="0"/>
          <tpl hier="10" item="1"/>
          <tpl hier="11" item="9"/>
          <tpl fld="0" item="0"/>
        </tpls>
      </n>
      <m in="0">
        <tpls c="5">
          <tpl fld="1" item="8"/>
          <tpl fld="2" item="1"/>
          <tpl hier="10" item="1"/>
          <tpl hier="11" item="9"/>
          <tpl fld="0" item="1"/>
        </tpls>
      </m>
      <m in="0">
        <tpls c="4">
          <tpl fld="2" item="5"/>
          <tpl hier="10" item="1"/>
          <tpl hier="11" item="9"/>
          <tpl fld="0" item="1"/>
        </tpls>
      </m>
      <m in="0">
        <tpls c="4">
          <tpl fld="2" item="10"/>
          <tpl hier="10" item="1"/>
          <tpl hier="11" item="9"/>
          <tpl fld="0" item="1"/>
        </tpls>
      </m>
      <n v="-8321" in="0">
        <tpls c="5">
          <tpl fld="1" item="11"/>
          <tpl fld="2" item="5"/>
          <tpl hier="10" item="1"/>
          <tpl hier="11" item="9"/>
          <tpl fld="0" item="0"/>
        </tpls>
      </n>
      <n v="-192502.5" in="0">
        <tpls c="4">
          <tpl fld="2" item="3"/>
          <tpl hier="10" item="1"/>
          <tpl hier="11" item="9"/>
          <tpl fld="0" item="0"/>
        </tpls>
      </n>
      <m in="0">
        <tpls c="5">
          <tpl fld="1" item="8"/>
          <tpl fld="2" item="4"/>
          <tpl hier="10" item="1"/>
          <tpl hier="11" item="9"/>
          <tpl fld="0" item="1"/>
        </tpls>
      </m>
      <n v="-78093.25" in="0">
        <tpls c="5">
          <tpl fld="1" item="11"/>
          <tpl fld="2" item="10"/>
          <tpl hier="10" item="1"/>
          <tpl hier="11" item="9"/>
          <tpl fld="0" item="0"/>
        </tpls>
      </n>
      <m in="0">
        <tpls c="5">
          <tpl fld="1" item="9"/>
          <tpl hier="9" item="4294967295"/>
          <tpl hier="10" item="1"/>
          <tpl hier="11" item="9"/>
          <tpl fld="0" item="1"/>
        </tpls>
      </m>
      <n v="-15409.75" in="0">
        <tpls c="5">
          <tpl fld="1" item="3"/>
          <tpl fld="2" item="3"/>
          <tpl hier="10" item="1"/>
          <tpl hier="11" item="9"/>
          <tpl fld="0" item="0"/>
        </tpls>
      </n>
      <n v="-4325" in="0">
        <tpls c="5">
          <tpl fld="1" item="9"/>
          <tpl fld="2" item="2"/>
          <tpl hier="10" item="1"/>
          <tpl hier="11" item="9"/>
          <tpl fld="0" item="0"/>
        </tpls>
      </n>
      <n v="-4085" in="0">
        <tpls c="5">
          <tpl fld="1" item="11"/>
          <tpl fld="2" item="2"/>
          <tpl hier="10" item="1"/>
          <tpl hier="11" item="9"/>
          <tpl fld="0" item="0"/>
        </tpls>
      </n>
      <n v="-3830.5" in="0">
        <tpls c="5">
          <tpl fld="1" item="10"/>
          <tpl fld="2" item="11"/>
          <tpl hier="10" item="1"/>
          <tpl hier="11" item="9"/>
          <tpl fld="0" item="0"/>
        </tpls>
      </n>
      <m in="0">
        <tpls c="5">
          <tpl fld="1" item="1"/>
          <tpl fld="2" item="3"/>
          <tpl hier="10" item="1"/>
          <tpl hier="11" item="9"/>
          <tpl fld="0" item="1"/>
        </tpls>
      </m>
      <m in="0">
        <tpls c="5">
          <tpl fld="1" item="2"/>
          <tpl fld="2" item="12"/>
          <tpl hier="10" item="1"/>
          <tpl hier="11" item="9"/>
          <tpl fld="0" item="1"/>
        </tpls>
      </m>
      <n v="-24385.75" in="0">
        <tpls c="4">
          <tpl fld="2" item="4"/>
          <tpl hier="10" item="1"/>
          <tpl hier="11" item="9"/>
          <tpl fld="0" item="0"/>
        </tpls>
      </n>
      <n v="-27275.5" in="0">
        <tpls c="5">
          <tpl fld="1" item="5"/>
          <tpl fld="2" item="8"/>
          <tpl hier="10" item="1"/>
          <tpl hier="11" item="9"/>
          <tpl fld="0" item="0"/>
        </tpls>
      </n>
      <n v="-31607.25" in="0">
        <tpls c="5">
          <tpl fld="1" item="1"/>
          <tpl fld="2" item="12"/>
          <tpl hier="10" item="1"/>
          <tpl hier="11" item="9"/>
          <tpl fld="0" item="0"/>
        </tpls>
      </n>
      <m in="0">
        <tpls c="5">
          <tpl fld="1" item="2"/>
          <tpl hier="9" item="4294967295"/>
          <tpl hier="10" item="1"/>
          <tpl hier="11" item="9"/>
          <tpl fld="0" item="1"/>
        </tpls>
      </m>
      <n v="-44425.75" in="0">
        <tpls c="5">
          <tpl fld="1" item="0"/>
          <tpl fld="2" item="15"/>
          <tpl hier="10" item="1"/>
          <tpl hier="11" item="9"/>
          <tpl fld="0" item="0"/>
        </tpls>
      </n>
      <m in="0">
        <tpls c="5">
          <tpl fld="1" item="10"/>
          <tpl fld="2" item="8"/>
          <tpl hier="10" item="1"/>
          <tpl hier="11" item="9"/>
          <tpl fld="0" item="1"/>
        </tpls>
      </m>
      <n v="-3747.25" in="0">
        <tpls c="5">
          <tpl fld="1" item="4"/>
          <tpl fld="2" item="11"/>
          <tpl hier="10" item="1"/>
          <tpl hier="11" item="9"/>
          <tpl fld="0" item="0"/>
        </tpls>
      </n>
      <n v="-36703.75" in="0">
        <tpls c="5">
          <tpl fld="1" item="11"/>
          <tpl fld="2" item="12"/>
          <tpl hier="10" item="1"/>
          <tpl hier="11" item="9"/>
          <tpl fld="0" item="0"/>
        </tpls>
      </n>
      <n v="-35981.75" in="0">
        <tpls c="5">
          <tpl fld="1" item="5"/>
          <tpl fld="2" item="12"/>
          <tpl hier="10" item="1"/>
          <tpl hier="11" item="9"/>
          <tpl fld="0" item="0"/>
        </tpls>
      </n>
      <m in="0">
        <tpls c="5">
          <tpl fld="1" item="2"/>
          <tpl fld="2" item="15"/>
          <tpl hier="10" item="1"/>
          <tpl hier="11" item="9"/>
          <tpl fld="0" item="1"/>
        </tpls>
      </m>
      <n v="-119684.5" in="0">
        <tpls c="5">
          <tpl fld="1" item="6"/>
          <tpl fld="2" item="6"/>
          <tpl hier="10" item="1"/>
          <tpl hier="11" item="9"/>
          <tpl fld="0" item="0"/>
        </tpls>
      </n>
      <n v="-32668.75" in="0">
        <tpls c="5">
          <tpl fld="1" item="8"/>
          <tpl fld="2" item="1"/>
          <tpl hier="10" item="1"/>
          <tpl hier="11" item="9"/>
          <tpl fld="0" item="0"/>
        </tpls>
      </n>
      <n v="9730180" in="0">
        <tpls c="5">
          <tpl fld="1" item="9"/>
          <tpl fld="2" item="9"/>
          <tpl hier="10" item="1"/>
          <tpl hier="11" item="9"/>
          <tpl fld="0" item="0"/>
        </tpls>
      </n>
      <n v="-45505" in="0">
        <tpls c="5">
          <tpl fld="1" item="9"/>
          <tpl fld="2" item="15"/>
          <tpl hier="10" item="1"/>
          <tpl hier="11" item="9"/>
          <tpl fld="0" item="0"/>
        </tpls>
      </n>
      <m in="0">
        <tpls c="5">
          <tpl fld="1" item="2"/>
          <tpl fld="2" item="11"/>
          <tpl hier="10" item="1"/>
          <tpl hier="11" item="9"/>
          <tpl fld="0" item="1"/>
        </tpls>
      </m>
      <n v="-50691.25" in="0">
        <tpls c="5">
          <tpl fld="1" item="4"/>
          <tpl fld="2" item="14"/>
          <tpl hier="10" item="1"/>
          <tpl hier="11" item="9"/>
          <tpl fld="0" item="0"/>
        </tpls>
      </n>
      <n v="-1779741.5" in="0">
        <tpls c="5">
          <tpl fld="1" item="2"/>
          <tpl fld="2" item="0"/>
          <tpl hier="10" item="1"/>
          <tpl hier="11" item="9"/>
          <tpl fld="0" item="0"/>
        </tpls>
      </n>
      <m in="0">
        <tpls c="5">
          <tpl fld="1" item="11"/>
          <tpl fld="2" item="1"/>
          <tpl hier="10" item="1"/>
          <tpl hier="11" item="9"/>
          <tpl fld="0" item="1"/>
        </tpls>
      </m>
      <n v="-1629129.25" in="0">
        <tpls c="5">
          <tpl fld="1" item="5"/>
          <tpl fld="2" item="0"/>
          <tpl hier="10" item="1"/>
          <tpl hier="11" item="9"/>
          <tpl fld="0" item="0"/>
        </tpls>
      </n>
      <m in="0">
        <tpls c="5">
          <tpl fld="1" item="11"/>
          <tpl fld="2" item="9"/>
          <tpl hier="10" item="1"/>
          <tpl hier="11" item="9"/>
          <tpl fld="0" item="1"/>
        </tpls>
      </m>
      <n v="-1215" in="0">
        <tpls c="5">
          <tpl fld="1" item="6"/>
          <tpl fld="2" item="4"/>
          <tpl hier="10" item="1"/>
          <tpl hier="11" item="9"/>
          <tpl fld="0" item="0"/>
        </tpls>
      </n>
      <m in="0">
        <tpls c="5">
          <tpl fld="1" item="4"/>
          <tpl fld="2" item="4"/>
          <tpl hier="10" item="1"/>
          <tpl hier="11" item="9"/>
          <tpl fld="0" item="1"/>
        </tpls>
      </m>
      <n v="-34868.5" in="0">
        <tpls c="5">
          <tpl fld="1" item="3"/>
          <tpl fld="2" item="12"/>
          <tpl hier="10" item="1"/>
          <tpl hier="11" item="9"/>
          <tpl fld="0" item="0"/>
        </tpls>
      </n>
      <n v="-3642.25" in="0">
        <tpls c="5">
          <tpl fld="1" item="2"/>
          <tpl fld="2" item="11"/>
          <tpl hier="10" item="1"/>
          <tpl hier="11" item="9"/>
          <tpl fld="0" item="0"/>
        </tpls>
      </n>
      <m in="0">
        <tpls c="5">
          <tpl fld="1" item="5"/>
          <tpl fld="2" item="8"/>
          <tpl hier="10" item="1"/>
          <tpl hier="11" item="9"/>
          <tpl fld="0" item="1"/>
        </tpls>
      </m>
      <n v="-8084.5" in="0">
        <tpls c="5">
          <tpl fld="1" item="7"/>
          <tpl fld="2" item="5"/>
          <tpl hier="10" item="1"/>
          <tpl hier="11" item="9"/>
          <tpl fld="0" item="0"/>
        </tpls>
      </n>
      <m in="0">
        <tpls c="5">
          <tpl fld="1" item="7"/>
          <tpl fld="2" item="7"/>
          <tpl hier="10" item="1"/>
          <tpl hier="11" item="9"/>
          <tpl fld="0" item="1"/>
        </tpls>
      </m>
      <n v="-77301.5" in="0">
        <tpls c="5">
          <tpl fld="1" item="2"/>
          <tpl fld="2" item="10"/>
          <tpl hier="10" item="1"/>
          <tpl hier="11" item="9"/>
          <tpl fld="0" item="0"/>
        </tpls>
      </n>
      <m in="0">
        <tpls c="5">
          <tpl fld="1" item="6"/>
          <tpl fld="2" item="11"/>
          <tpl hier="10" item="1"/>
          <tpl hier="11" item="9"/>
          <tpl fld="0" item="1"/>
        </tpls>
      </m>
      <m in="0">
        <tpls c="5">
          <tpl fld="1" item="2"/>
          <tpl fld="2" item="13"/>
          <tpl hier="10" item="1"/>
          <tpl hier="11" item="9"/>
          <tpl fld="0" item="1"/>
        </tpls>
      </m>
      <n v="-1215" in="0">
        <tpls c="5">
          <tpl fld="1" item="4"/>
          <tpl fld="2" item="4"/>
          <tpl hier="10" item="1"/>
          <tpl hier="11" item="9"/>
          <tpl fld="0" item="0"/>
        </tpls>
      </n>
      <m in="0">
        <tpls c="5">
          <tpl fld="1" item="7"/>
          <tpl fld="2" item="14"/>
          <tpl hier="10" item="1"/>
          <tpl hier="11" item="9"/>
          <tpl fld="0" item="1"/>
        </tpls>
      </m>
      <m in="0">
        <tpls c="4">
          <tpl fld="2" item="8"/>
          <tpl hier="10" item="1"/>
          <tpl hier="11" item="9"/>
          <tpl fld="0" item="1"/>
        </tpls>
      </m>
      <n v="79000779.25" in="0">
        <tpls c="4">
          <tpl hier="9" item="4294967295"/>
          <tpl hier="10" item="1"/>
          <tpl hier="11" item="9"/>
          <tpl fld="0" item="0"/>
        </tpls>
      </n>
      <n v="-40742.25" in="0">
        <tpls c="5">
          <tpl fld="1" item="10"/>
          <tpl fld="2" item="15"/>
          <tpl hier="10" item="1"/>
          <tpl hier="11" item="9"/>
          <tpl fld="0" item="0"/>
        </tpls>
      </n>
      <n v="-98296" in="0">
        <tpls c="5">
          <tpl fld="1" item="0"/>
          <tpl fld="2" item="10"/>
          <tpl hier="10" item="1"/>
          <tpl hier="11" item="9"/>
          <tpl fld="0" item="0"/>
        </tpls>
      </n>
      <n v="-4838" in="0">
        <tpls c="5">
          <tpl fld="1" item="2"/>
          <tpl fld="2" item="2"/>
          <tpl hier="10" item="1"/>
          <tpl hier="11" item="9"/>
          <tpl fld="0" item="0"/>
        </tpls>
      </n>
      <n v="-38072.5" in="0">
        <tpls c="5">
          <tpl fld="1" item="4"/>
          <tpl fld="2" item="13"/>
          <tpl hier="10" item="1"/>
          <tpl hier="11" item="9"/>
          <tpl fld="0" item="0"/>
        </tpls>
      </n>
      <m in="0">
        <tpls c="5">
          <tpl fld="1" item="1"/>
          <tpl fld="2" item="10"/>
          <tpl hier="10" item="1"/>
          <tpl hier="11" item="9"/>
          <tpl fld="0" item="1"/>
        </tpls>
      </m>
      <n v="-44537" in="0">
        <tpls c="4">
          <tpl fld="2" item="11"/>
          <tpl hier="10" item="1"/>
          <tpl hier="11" item="9"/>
          <tpl fld="0" item="0"/>
        </tpls>
      </n>
      <n v="8889625" in="0">
        <tpls c="5">
          <tpl fld="1" item="4"/>
          <tpl fld="2" item="9"/>
          <tpl hier="10" item="1"/>
          <tpl hier="11" item="9"/>
          <tpl fld="0" item="0"/>
        </tpls>
      </n>
      <m in="0">
        <tpls c="4">
          <tpl fld="2" item="3"/>
          <tpl hier="10" item="1"/>
          <tpl hier="11" item="9"/>
          <tpl fld="0" item="1"/>
        </tpls>
      </m>
      <m in="0">
        <tpls c="5">
          <tpl fld="1" item="10"/>
          <tpl fld="2" item="15"/>
          <tpl hier="10" item="1"/>
          <tpl hier="11" item="9"/>
          <tpl fld="0" item="1"/>
        </tpls>
      </m>
      <m in="0">
        <tpls c="5">
          <tpl fld="1" item="1"/>
          <tpl fld="2" item="8"/>
          <tpl hier="10" item="1"/>
          <tpl hier="11" item="9"/>
          <tpl fld="0" item="1"/>
        </tpls>
      </m>
      <m in="0">
        <tpls c="5">
          <tpl fld="1" item="6"/>
          <tpl fld="2" item="3"/>
          <tpl hier="10" item="1"/>
          <tpl hier="11" item="9"/>
          <tpl fld="0" item="1"/>
        </tpls>
      </m>
      <m in="0">
        <tpls c="5">
          <tpl fld="1" item="8"/>
          <tpl fld="2" item="5"/>
          <tpl hier="10" item="1"/>
          <tpl hier="11" item="9"/>
          <tpl fld="0" item="1"/>
        </tpls>
      </m>
      <m in="0">
        <tpls c="5">
          <tpl fld="1" item="5"/>
          <tpl fld="2" item="10"/>
          <tpl hier="10" item="1"/>
          <tpl hier="11" item="9"/>
          <tpl fld="0" item="1"/>
        </tpls>
      </m>
      <m in="0">
        <tpls c="5">
          <tpl fld="1" item="1"/>
          <tpl fld="2" item="13"/>
          <tpl hier="10" item="1"/>
          <tpl hier="11" item="9"/>
          <tpl fld="0" item="1"/>
        </tpls>
      </m>
      <n v="-30042" in="0">
        <tpls c="5">
          <tpl fld="1" item="9"/>
          <tpl fld="2" item="14"/>
          <tpl hier="10" item="1"/>
          <tpl hier="11" item="9"/>
          <tpl fld="0" item="0"/>
        </tpls>
      </n>
      <n v="-3773" in="0">
        <tpls c="5">
          <tpl fld="1" item="0"/>
          <tpl fld="2" item="11"/>
          <tpl hier="10" item="1"/>
          <tpl hier="11" item="9"/>
          <tpl fld="0" item="0"/>
        </tpls>
      </n>
      <m in="0">
        <tpls c="5">
          <tpl fld="1" item="7"/>
          <tpl fld="2" item="11"/>
          <tpl hier="10" item="1"/>
          <tpl hier="11" item="9"/>
          <tpl fld="0" item="1"/>
        </tpls>
      </m>
      <m in="0">
        <tpls c="5">
          <tpl fld="1" item="6"/>
          <tpl fld="2" item="13"/>
          <tpl hier="10" item="1"/>
          <tpl hier="11" item="9"/>
          <tpl fld="0" item="1"/>
        </tpls>
      </m>
      <n v="-80583.25" in="0">
        <tpls c="5">
          <tpl fld="1" item="6"/>
          <tpl fld="2" item="10"/>
          <tpl hier="10" item="1"/>
          <tpl hier="11" item="9"/>
          <tpl fld="0" item="0"/>
        </tpls>
      </n>
      <n v="-1577063.5" in="0">
        <tpls c="5">
          <tpl fld="1" item="4"/>
          <tpl fld="2" item="0"/>
          <tpl hier="10" item="1"/>
          <tpl hier="11" item="9"/>
          <tpl fld="0" item="0"/>
        </tpls>
      </n>
      <n v="-435654.25" in="0">
        <tpls c="4">
          <tpl fld="2" item="13"/>
          <tpl hier="10" item="1"/>
          <tpl hier="11" item="9"/>
          <tpl fld="0" item="0"/>
        </tpls>
      </n>
      <m in="0">
        <tpls c="5">
          <tpl fld="1" item="3"/>
          <tpl fld="2" item="2"/>
          <tpl hier="10" item="1"/>
          <tpl hier="11" item="9"/>
          <tpl fld="0" item="1"/>
        </tpls>
      </m>
      <m in="0">
        <tpls c="5">
          <tpl fld="1" item="1"/>
          <tpl fld="2" item="0"/>
          <tpl hier="10" item="1"/>
          <tpl hier="11" item="9"/>
          <tpl fld="0" item="1"/>
        </tpls>
      </m>
      <m in="0">
        <tpls c="5">
          <tpl fld="1" item="6"/>
          <tpl fld="2" item="10"/>
          <tpl hier="10" item="1"/>
          <tpl hier="11" item="9"/>
          <tpl fld="0" item="1"/>
        </tpls>
      </m>
      <n v="-32503.5" in="0">
        <tpls c="5">
          <tpl fld="1" item="4"/>
          <tpl fld="2" item="1"/>
          <tpl hier="10" item="1"/>
          <tpl hier="11" item="9"/>
          <tpl fld="0" item="0"/>
        </tpls>
      </n>
      <m in="0">
        <tpls c="5">
          <tpl fld="1" item="3"/>
          <tpl fld="2" item="7"/>
          <tpl hier="10" item="1"/>
          <tpl hier="11" item="9"/>
          <tpl fld="0" item="1"/>
        </tpls>
      </m>
      <n v="-32.75" in="0">
        <tpls c="5">
          <tpl fld="1" item="8"/>
          <tpl fld="2" item="8"/>
          <tpl hier="10" item="1"/>
          <tpl hier="11" item="9"/>
          <tpl fld="0" item="0"/>
        </tpls>
      </n>
      <n v="-34064.25" in="0">
        <tpls c="5">
          <tpl fld="1" item="9"/>
          <tpl fld="2" item="13"/>
          <tpl hier="10" item="1"/>
          <tpl hier="11" item="9"/>
          <tpl fld="0" item="0"/>
        </tpls>
      </n>
      <n v="5642143.583333333" in="0">
        <tpls c="5">
          <tpl fld="1" item="2"/>
          <tpl hier="9" item="4294967295"/>
          <tpl hier="10" item="1"/>
          <tpl hier="11" item="9"/>
          <tpl fld="0" item="0"/>
        </tpls>
      </n>
      <m in="0">
        <tpls c="5">
          <tpl fld="1" item="0"/>
          <tpl fld="2" item="13"/>
          <tpl hier="10" item="1"/>
          <tpl hier="11" item="9"/>
          <tpl fld="0" item="1"/>
        </tpls>
      </m>
      <m in="0">
        <tpls c="5">
          <tpl fld="1" item="1"/>
          <tpl fld="2" item="5"/>
          <tpl hier="10" item="1"/>
          <tpl hier="11" item="9"/>
          <tpl fld="0" item="1"/>
        </tpls>
      </m>
      <n v="-4441.5" in="0">
        <tpls c="5">
          <tpl fld="1" item="4"/>
          <tpl fld="2" item="2"/>
          <tpl hier="10" item="1"/>
          <tpl hier="11" item="9"/>
          <tpl fld="0" item="0"/>
        </tpls>
      </n>
      <m in="0">
        <tpls c="5">
          <tpl fld="1" item="9"/>
          <tpl fld="2" item="13"/>
          <tpl hier="10" item="1"/>
          <tpl hier="11" item="9"/>
          <tpl fld="0" item="1"/>
        </tpls>
      </m>
      <m in="0">
        <tpls c="5">
          <tpl fld="1" item="0"/>
          <tpl hier="9" item="4294967295"/>
          <tpl hier="10" item="1"/>
          <tpl hier="11" item="9"/>
          <tpl fld="0" item="1"/>
        </tpls>
      </m>
      <n v="-127429" in="0">
        <tpls c="5">
          <tpl fld="1" item="4"/>
          <tpl fld="2" item="6"/>
          <tpl hier="10" item="1"/>
          <tpl hier="11" item="9"/>
          <tpl fld="0" item="0"/>
        </tpls>
      </n>
      <m in="0">
        <tpls c="5">
          <tpl fld="1" item="4"/>
          <tpl fld="2" item="2"/>
          <tpl hier="10" item="1"/>
          <tpl hier="11" item="9"/>
          <tpl fld="0" item="1"/>
        </tpls>
      </m>
      <m in="0">
        <tpls c="5">
          <tpl fld="1" item="4"/>
          <tpl fld="2" item="12"/>
          <tpl hier="10" item="1"/>
          <tpl hier="11" item="9"/>
          <tpl fld="0" item="1"/>
        </tpls>
      </m>
      <n v="-34865.25" in="0">
        <tpls c="5">
          <tpl fld="1" item="6"/>
          <tpl fld="2" item="14"/>
          <tpl hier="10" item="1"/>
          <tpl hier="11" item="9"/>
          <tpl fld="0" item="0"/>
        </tpls>
      </n>
      <m in="0">
        <tpls c="5">
          <tpl fld="1" item="7"/>
          <tpl fld="2" item="8"/>
          <tpl hier="10" item="1"/>
          <tpl hier="11" item="9"/>
          <tpl fld="0" item="1"/>
        </tpls>
      </m>
      <m in="0">
        <tpls c="5">
          <tpl fld="1" item="6"/>
          <tpl fld="2" item="14"/>
          <tpl hier="10" item="1"/>
          <tpl hier="11" item="9"/>
          <tpl fld="0" item="1"/>
        </tpls>
      </m>
      <m in="0">
        <tpls c="5">
          <tpl fld="1" item="11"/>
          <tpl fld="2" item="7"/>
          <tpl hier="10" item="1"/>
          <tpl hier="11" item="9"/>
          <tpl fld="0" item="1"/>
        </tpls>
      </m>
      <n v="-1659.75" in="0">
        <tpls c="5">
          <tpl fld="1" item="6"/>
          <tpl fld="2" item="8"/>
          <tpl hier="10" item="1"/>
          <tpl hier="11" item="9"/>
          <tpl fld="0" item="0"/>
        </tpls>
      </n>
      <n v="-34526.5" in="0">
        <tpls c="5">
          <tpl fld="1" item="10"/>
          <tpl fld="2" item="13"/>
          <tpl hier="10" item="1"/>
          <tpl hier="11" item="9"/>
          <tpl fld="0" item="0"/>
        </tpls>
      </n>
      <m in="0">
        <tpls c="5">
          <tpl fld="1" item="0"/>
          <tpl fld="2" item="15"/>
          <tpl hier="10" item="1"/>
          <tpl hier="11" item="9"/>
          <tpl fld="0" item="1"/>
        </tpls>
      </m>
      <m in="0">
        <tpls c="5">
          <tpl fld="1" item="6"/>
          <tpl fld="2" item="0"/>
          <tpl hier="10" item="1"/>
          <tpl hier="11" item="9"/>
          <tpl fld="0" item="1"/>
        </tpls>
      </m>
      <n v="-14877.5" in="0">
        <tpls c="5">
          <tpl fld="1" item="5"/>
          <tpl fld="2" item="3"/>
          <tpl hier="10" item="1"/>
          <tpl hier="11" item="9"/>
          <tpl fld="0" item="0"/>
        </tpls>
      </n>
      <m in="0">
        <tpls c="4">
          <tpl fld="2" item="14"/>
          <tpl hier="10" item="1"/>
          <tpl hier="11" item="9"/>
          <tpl fld="0" item="1"/>
        </tpls>
      </m>
      <m in="0">
        <tpls c="5">
          <tpl fld="1" item="8"/>
          <tpl fld="2" item="3"/>
          <tpl hier="10" item="1"/>
          <tpl hier="11" item="9"/>
          <tpl fld="0" item="1"/>
        </tpls>
      </m>
      <m in="0">
        <tpls c="5">
          <tpl fld="1" item="9"/>
          <tpl fld="2" item="8"/>
          <tpl hier="10" item="1"/>
          <tpl hier="11" item="9"/>
          <tpl fld="0" item="1"/>
        </tpls>
      </m>
      <n v="-13984.5" in="0">
        <tpls c="5">
          <tpl fld="1" item="6"/>
          <tpl fld="2" item="3"/>
          <tpl hier="10" item="1"/>
          <tpl hier="11" item="9"/>
          <tpl fld="0" item="0"/>
        </tpls>
      </n>
      <m in="0">
        <tpls c="4">
          <tpl fld="2" item="9"/>
          <tpl hier="10" item="1"/>
          <tpl hier="11" item="9"/>
          <tpl fld="0" item="1"/>
        </tpls>
      </m>
      <n v="5012000.166666667" in="0">
        <tpls c="5">
          <tpl fld="1" item="3"/>
          <tpl hier="9" item="4294967295"/>
          <tpl hier="10" item="1"/>
          <tpl hier="11" item="9"/>
          <tpl fld="0" item="0"/>
        </tpls>
      </n>
      <m in="0">
        <tpls c="5">
          <tpl fld="1" item="8"/>
          <tpl fld="2" item="2"/>
          <tpl hier="10" item="1"/>
          <tpl hier="11" item="9"/>
          <tpl fld="0" item="1"/>
        </tpls>
      </m>
      <m in="0">
        <tpls c="5">
          <tpl fld="1" item="10"/>
          <tpl fld="2" item="12"/>
          <tpl hier="10" item="1"/>
          <tpl hier="11" item="9"/>
          <tpl fld="0" item="1"/>
        </tpls>
      </m>
      <m in="0">
        <tpls c="5">
          <tpl fld="1" item="0"/>
          <tpl fld="2" item="3"/>
          <tpl hier="10" item="1"/>
          <tpl hier="11" item="9"/>
          <tpl fld="0" item="1"/>
        </tpls>
      </m>
      <m in="0">
        <tpls c="5">
          <tpl fld="1" item="11"/>
          <tpl fld="2" item="11"/>
          <tpl hier="10" item="1"/>
          <tpl hier="11" item="9"/>
          <tpl fld="0" item="1"/>
        </tpls>
      </m>
      <n v="-125313.25" in="0">
        <tpls c="5">
          <tpl fld="1" item="0"/>
          <tpl fld="2" item="6"/>
          <tpl hier="10" item="1"/>
          <tpl hier="11" item="9"/>
          <tpl fld="0" item="0"/>
        </tpls>
      </n>
      <m in="0">
        <tpls c="5">
          <tpl fld="1" item="6"/>
          <tpl fld="2" item="6"/>
          <tpl hier="10" item="1"/>
          <tpl hier="11" item="9"/>
          <tpl fld="0" item="1"/>
        </tpls>
      </m>
      <m in="0">
        <tpls c="5">
          <tpl fld="1" item="11"/>
          <tpl fld="2" item="4"/>
          <tpl hier="10" item="1"/>
          <tpl hier="11" item="9"/>
          <tpl fld="0" item="1"/>
        </tpls>
      </m>
      <m in="0">
        <tpls c="5">
          <tpl fld="1" item="7"/>
          <tpl fld="2" item="4"/>
          <tpl hier="10" item="1"/>
          <tpl hier="11" item="9"/>
          <tpl fld="0" item="1"/>
        </tpls>
      </m>
      <m in="0">
        <tpls c="5">
          <tpl fld="1" item="4"/>
          <tpl fld="2" item="15"/>
          <tpl hier="10" item="1"/>
          <tpl hier="11" item="9"/>
          <tpl fld="0" item="1"/>
        </tpls>
      </m>
      <n v="-1831.5" in="0">
        <tpls c="5">
          <tpl fld="1" item="11"/>
          <tpl fld="2" item="8"/>
          <tpl hier="10" item="1"/>
          <tpl hier="11" item="9"/>
          <tpl fld="0" item="0"/>
        </tpls>
      </n>
      <m in="0">
        <tpls c="5">
          <tpl fld="1" item="9"/>
          <tpl fld="2" item="11"/>
          <tpl hier="10" item="1"/>
          <tpl hier="11" item="9"/>
          <tpl fld="0" item="1"/>
        </tpls>
      </m>
      <n v="5869102.666666667" in="0">
        <tpls c="5">
          <tpl fld="1" item="0"/>
          <tpl hier="9" item="4294967295"/>
          <tpl hier="10" item="1"/>
          <tpl hier="11" item="9"/>
          <tpl fld="0" item="0"/>
        </tpls>
      </n>
      <n v="-1442" in="0">
        <tpls c="5">
          <tpl fld="1" item="9"/>
          <tpl fld="2" item="4"/>
          <tpl hier="10" item="1"/>
          <tpl hier="11" item="9"/>
          <tpl fld="0" item="0"/>
        </tpls>
      </n>
      <n v="-40498.75" in="0">
        <tpls c="5">
          <tpl fld="1" item="0"/>
          <tpl fld="2" item="13"/>
          <tpl hier="10" item="1"/>
          <tpl hier="11" item="9"/>
          <tpl fld="0" item="0"/>
        </tpls>
      </n>
      <n v="-16923.5" in="0">
        <tpls c="5">
          <tpl fld="1" item="7"/>
          <tpl fld="2" item="3"/>
          <tpl hier="10" item="1"/>
          <tpl hier="11" item="9"/>
          <tpl fld="0" item="0"/>
        </tpls>
      </n>
      <n v="-38236.75" in="0">
        <tpls c="5">
          <tpl fld="1" item="11"/>
          <tpl fld="2" item="13"/>
          <tpl hier="10" item="1"/>
          <tpl hier="11" item="9"/>
          <tpl fld="0" item="0"/>
        </tpls>
      </n>
      <m in="0">
        <tpls c="5">
          <tpl fld="1" item="0"/>
          <tpl fld="2" item="14"/>
          <tpl hier="10" item="1"/>
          <tpl hier="11" item="9"/>
          <tpl fld="0" item="1"/>
        </tpls>
      </m>
      <m in="0">
        <tpls c="5">
          <tpl fld="1" item="9"/>
          <tpl fld="2" item="3"/>
          <tpl hier="10" item="1"/>
          <tpl hier="11" item="9"/>
          <tpl fld="0" item="1"/>
        </tpls>
      </m>
      <m in="0">
        <tpls c="5">
          <tpl fld="1" item="1"/>
          <tpl fld="2" item="11"/>
          <tpl hier="10" item="1"/>
          <tpl hier="11" item="9"/>
          <tpl fld="0" item="1"/>
        </tpls>
      </m>
      <m in="0">
        <tpls c="5">
          <tpl fld="1" item="11"/>
          <tpl fld="2" item="13"/>
          <tpl hier="10" item="1"/>
          <tpl hier="11" item="9"/>
          <tpl fld="0" item="1"/>
        </tpls>
      </m>
      <n v="-37210.5" in="0">
        <tpls c="5">
          <tpl fld="1" item="0"/>
          <tpl fld="2" item="14"/>
          <tpl hier="10" item="1"/>
          <tpl hier="11" item="9"/>
          <tpl fld="0" item="0"/>
        </tpls>
      </n>
      <m in="0">
        <tpls c="5">
          <tpl fld="1" item="2"/>
          <tpl fld="2" item="3"/>
          <tpl hier="10" item="1"/>
          <tpl hier="11" item="9"/>
          <tpl fld="0" item="1"/>
        </tpls>
      </m>
      <m in="0">
        <tpls c="5">
          <tpl fld="1" item="3"/>
          <tpl hier="9" item="4294967295"/>
          <tpl hier="10" item="1"/>
          <tpl hier="11" item="9"/>
          <tpl fld="0" item="1"/>
        </tpls>
      </m>
      <m in="0">
        <tpls c="5">
          <tpl fld="1" item="5"/>
          <tpl fld="2" item="4"/>
          <tpl hier="10" item="1"/>
          <tpl hier="11" item="9"/>
          <tpl fld="0" item="1"/>
        </tpls>
      </m>
      <m in="0">
        <tpls c="5">
          <tpl fld="1" item="9"/>
          <tpl fld="2" item="2"/>
          <tpl hier="10" item="1"/>
          <tpl hier="11" item="9"/>
          <tpl fld="0" item="1"/>
        </tpls>
      </m>
      <n v="-16026" in="0">
        <tpls c="5">
          <tpl fld="1" item="10"/>
          <tpl fld="2" item="8"/>
          <tpl hier="10" item="1"/>
          <tpl hier="11" item="9"/>
          <tpl fld="0" item="0"/>
        </tpls>
      </n>
      <n v="-99867" in="0">
        <tpls c="5">
          <tpl fld="1" item="8"/>
          <tpl fld="2" item="10"/>
          <tpl hier="10" item="1"/>
          <tpl hier="11" item="9"/>
          <tpl fld="0" item="0"/>
        </tpls>
      </n>
      <n v="-42866" in="0">
        <tpls c="5">
          <tpl fld="1" item="2"/>
          <tpl fld="2" item="15"/>
          <tpl hier="10" item="1"/>
          <tpl hier="11" item="9"/>
          <tpl fld="0" item="0"/>
        </tpls>
      </n>
      <m in="0">
        <tpls c="5">
          <tpl fld="1" item="9"/>
          <tpl fld="2" item="7"/>
          <tpl hier="10" item="1"/>
          <tpl hier="11" item="9"/>
          <tpl fld="0" item="1"/>
        </tpls>
      </m>
      <n v="-15536.5" in="0">
        <tpls c="5">
          <tpl fld="1" item="4"/>
          <tpl fld="2" item="3"/>
          <tpl hier="10" item="1"/>
          <tpl hier="11" item="9"/>
          <tpl fld="0" item="0"/>
        </tpls>
      </n>
      <m in="0">
        <tpls c="5">
          <tpl fld="1" item="10"/>
          <tpl fld="2" item="4"/>
          <tpl hier="10" item="1"/>
          <tpl hier="11" item="9"/>
          <tpl fld="0" item="1"/>
        </tpls>
      </m>
      <n v="-43" in="0">
        <tpls c="5">
          <tpl fld="1" item="1"/>
          <tpl fld="2" item="8"/>
          <tpl hier="10" item="1"/>
          <tpl hier="11" item="9"/>
          <tpl fld="0" item="0"/>
        </tpls>
      </n>
      <m in="0">
        <tpls c="5">
          <tpl fld="1" item="9"/>
          <tpl fld="2" item="9"/>
          <tpl hier="10" item="1"/>
          <tpl hier="11" item="9"/>
          <tpl fld="0" item="1"/>
        </tpls>
      </m>
      <m in="0">
        <tpls c="5">
          <tpl fld="1" item="2"/>
          <tpl fld="2" item="14"/>
          <tpl hier="10" item="1"/>
          <tpl hier="11" item="9"/>
          <tpl fld="0" item="1"/>
        </tpls>
      </m>
      <n v="-89150" in="0">
        <tpls c="5">
          <tpl fld="1" item="9"/>
          <tpl fld="2" item="10"/>
          <tpl hier="10" item="1"/>
          <tpl hier="11" item="9"/>
          <tpl fld="0" item="0"/>
        </tpls>
      </n>
      <n v="-31860.25" in="0">
        <tpls c="5">
          <tpl fld="1" item="5"/>
          <tpl fld="2" item="1"/>
          <tpl hier="10" item="1"/>
          <tpl hier="11" item="9"/>
          <tpl fld="0" item="0"/>
        </tpls>
      </n>
      <n v="-31584.75" in="0">
        <tpls c="5">
          <tpl fld="1" item="10"/>
          <tpl fld="2" item="12"/>
          <tpl hier="10" item="1"/>
          <tpl hier="11" item="9"/>
          <tpl fld="0" item="0"/>
        </tpls>
      </n>
      <m in="0">
        <tpls c="5">
          <tpl fld="1" item="4"/>
          <tpl fld="2" item="11"/>
          <tpl hier="10" item="1"/>
          <tpl hier="11" item="9"/>
          <tpl fld="0" item="1"/>
        </tpls>
      </m>
      <n v="6686251.25" in="0">
        <tpls c="5">
          <tpl fld="1" item="8"/>
          <tpl hier="9" item="4294967295"/>
          <tpl hier="10" item="1"/>
          <tpl hier="11" item="9"/>
          <tpl fld="0" item="0"/>
        </tpls>
      </n>
      <n v="-80743.25" in="0">
        <tpls c="5">
          <tpl fld="1" item="1"/>
          <tpl fld="2" item="14"/>
          <tpl hier="10" item="1"/>
          <tpl hier="11" item="9"/>
          <tpl fld="0" item="0"/>
        </tpls>
      </n>
      <n v="-4201" in="0">
        <tpls c="5">
          <tpl fld="1" item="1"/>
          <tpl fld="2" item="2"/>
          <tpl hier="10" item="1"/>
          <tpl hier="11" item="9"/>
          <tpl fld="0" item="0"/>
        </tpls>
      </n>
      <n v="-16291.75" in="0">
        <tpls c="5">
          <tpl fld="1" item="2"/>
          <tpl fld="2" item="3"/>
          <tpl hier="10" item="1"/>
          <tpl hier="11" item="9"/>
          <tpl fld="0" item="0"/>
        </tpls>
      </n>
      <n v="-8566.5" in="0">
        <tpls c="5">
          <tpl fld="1" item="6"/>
          <tpl fld="2" item="5"/>
          <tpl hier="10" item="1"/>
          <tpl hier="11" item="9"/>
          <tpl fld="0" item="0"/>
        </tpls>
      </n>
      <m in="0">
        <tpls c="5">
          <tpl fld="1" item="2"/>
          <tpl fld="2" item="9"/>
          <tpl hier="10" item="1"/>
          <tpl hier="11" item="9"/>
          <tpl fld="0" item="1"/>
        </tpls>
      </m>
      <m in="0">
        <tpls c="5">
          <tpl fld="1" item="8"/>
          <tpl fld="2" item="0"/>
          <tpl hier="10" item="1"/>
          <tpl hier="11" item="9"/>
          <tpl fld="0" item="1"/>
        </tpls>
      </m>
      <n v="-220996.5" in="0">
        <tpls c="5">
          <tpl fld="1" item="9"/>
          <tpl fld="2" item="7"/>
          <tpl hier="10" item="1"/>
          <tpl hier="11" item="9"/>
          <tpl fld="0" item="0"/>
        </tpls>
      </n>
      <n v="7155365" in="0">
        <tpls c="5">
          <tpl fld="1" item="3"/>
          <tpl fld="2" item="9"/>
          <tpl hier="10" item="1"/>
          <tpl hier="11" item="9"/>
          <tpl fld="0" item="0"/>
        </tpls>
      </n>
      <n v="-1536196.25" in="0">
        <tpls c="5">
          <tpl fld="1" item="1"/>
          <tpl fld="2" item="0"/>
          <tpl hier="10" item="1"/>
          <tpl hier="11" item="9"/>
          <tpl fld="0" item="0"/>
        </tpls>
      </n>
      <m in="0">
        <tpls c="5">
          <tpl fld="1" item="2"/>
          <tpl fld="2" item="4"/>
          <tpl hier="10" item="1"/>
          <tpl hier="11" item="9"/>
          <tpl fld="0" item="1"/>
        </tpls>
      </m>
      <m in="0">
        <tpls c="5">
          <tpl fld="1" item="10"/>
          <tpl fld="2" item="9"/>
          <tpl hier="10" item="1"/>
          <tpl hier="11" item="9"/>
          <tpl fld="0" item="1"/>
        </tpls>
      </m>
      <m in="0">
        <tpls c="5">
          <tpl fld="1" item="5"/>
          <tpl fld="2" item="9"/>
          <tpl hier="10" item="1"/>
          <tpl hier="11" item="9"/>
          <tpl fld="0" item="1"/>
        </tpls>
      </m>
      <n v="-35001" in="0">
        <tpls c="5">
          <tpl fld="1" item="8"/>
          <tpl fld="2" item="12"/>
          <tpl hier="10" item="1"/>
          <tpl hier="11" item="9"/>
          <tpl fld="0" item="0"/>
        </tpls>
      </n>
      <n v="-8298.25" in="0">
        <tpls c="5">
          <tpl fld="1" item="8"/>
          <tpl fld="2" item="5"/>
          <tpl hier="10" item="1"/>
          <tpl hier="11" item="9"/>
          <tpl fld="0" item="0"/>
        </tpls>
      </n>
      <m in="0">
        <tpls c="5">
          <tpl fld="1" item="9"/>
          <tpl fld="2" item="5"/>
          <tpl hier="10" item="1"/>
          <tpl hier="11" item="9"/>
          <tpl fld="0" item="1"/>
        </tpls>
      </m>
      <m in="0">
        <tpls c="5">
          <tpl fld="1" item="10"/>
          <tpl fld="2" item="5"/>
          <tpl hier="10" item="1"/>
          <tpl hier="11" item="9"/>
          <tpl fld="0" item="1"/>
        </tpls>
      </m>
      <n v="5930284.083333333" in="0">
        <tpls c="5">
          <tpl fld="1" item="5"/>
          <tpl hier="9" item="4294967295"/>
          <tpl hier="10" item="1"/>
          <tpl hier="11" item="9"/>
          <tpl fld="0" item="0"/>
        </tpls>
      </n>
      <m in="0">
        <tpls c="5">
          <tpl fld="1" item="1"/>
          <tpl fld="2" item="15"/>
          <tpl hier="10" item="1"/>
          <tpl hier="11" item="9"/>
          <tpl fld="0" item="1"/>
        </tpls>
      </m>
      <n v="-16596.75" in="0">
        <tpls c="5">
          <tpl fld="1" item="0"/>
          <tpl fld="2" item="3"/>
          <tpl hier="10" item="1"/>
          <tpl hier="11" item="9"/>
          <tpl fld="0" item="0"/>
        </tpls>
      </n>
      <n v="-3177.25" in="0">
        <tpls c="5">
          <tpl fld="1" item="3"/>
          <tpl fld="2" item="4"/>
          <tpl hier="10" item="1"/>
          <tpl hier="11" item="9"/>
          <tpl fld="0" item="0"/>
        </tpls>
      </n>
      <n v="7913565" in="0">
        <tpls c="5">
          <tpl fld="1" item="2"/>
          <tpl fld="2" item="9"/>
          <tpl hier="10" item="1"/>
          <tpl hier="11" item="9"/>
          <tpl fld="0" item="0"/>
        </tpls>
      </n>
      <m in="0">
        <tpls c="5">
          <tpl fld="1" item="7"/>
          <tpl fld="2" item="6"/>
          <tpl hier="10" item="1"/>
          <tpl hier="11" item="9"/>
          <tpl fld="0" item="1"/>
        </tpls>
      </m>
      <m in="0">
        <tpls c="5">
          <tpl fld="1" item="6"/>
          <tpl fld="2" item="2"/>
          <tpl hier="10" item="1"/>
          <tpl hier="11" item="9"/>
          <tpl fld="0" item="1"/>
        </tpls>
      </m>
      <n v="-1227" in="0">
        <tpls c="5">
          <tpl fld="1" item="1"/>
          <tpl fld="2" item="4"/>
          <tpl hier="10" item="1"/>
          <tpl hier="11" item="9"/>
          <tpl fld="0" item="0"/>
        </tpls>
      </n>
      <n v="9010679" in="0">
        <tpls c="5">
          <tpl fld="1" item="8"/>
          <tpl fld="2" item="9"/>
          <tpl hier="10" item="1"/>
          <tpl hier="11" item="9"/>
          <tpl fld="0" item="0"/>
        </tpls>
      </n>
      <m in="0">
        <tpls c="5">
          <tpl fld="1" item="5"/>
          <tpl fld="2" item="5"/>
          <tpl hier="10" item="1"/>
          <tpl hier="11" item="9"/>
          <tpl fld="0" item="1"/>
        </tpls>
      </m>
      <m in="0">
        <tpls c="5">
          <tpl fld="1" item="8"/>
          <tpl fld="2" item="12"/>
          <tpl hier="10" item="1"/>
          <tpl hier="11" item="9"/>
          <tpl fld="0" item="1"/>
        </tpls>
      </m>
      <n v="-32034.25" in="0">
        <tpls c="5">
          <tpl fld="1" item="10"/>
          <tpl fld="2" item="1"/>
          <tpl hier="10" item="1"/>
          <tpl hier="11" item="9"/>
          <tpl fld="0" item="0"/>
        </tpls>
      </n>
      <m in="0">
        <tpls c="5">
          <tpl fld="1" item="9"/>
          <tpl fld="2" item="10"/>
          <tpl hier="10" item="1"/>
          <tpl hier="11" item="9"/>
          <tpl fld="0" item="1"/>
        </tpls>
      </m>
      <m in="0">
        <tpls c="5">
          <tpl fld="1" item="10"/>
          <tpl fld="2" item="2"/>
          <tpl hier="10" item="1"/>
          <tpl hier="11" item="9"/>
          <tpl fld="0" item="1"/>
        </tpls>
      </m>
      <m in="0">
        <tpls c="5">
          <tpl fld="1" item="5"/>
          <tpl hier="9" item="4294967295"/>
          <tpl hier="10" item="1"/>
          <tpl hier="11" item="9"/>
          <tpl fld="0" item="1"/>
        </tpls>
      </m>
      <n v="-42872" in="0">
        <tpls c="5">
          <tpl fld="1" item="5"/>
          <tpl fld="2" item="15"/>
          <tpl hier="10" item="1"/>
          <tpl hier="11" item="9"/>
          <tpl fld="0" item="0"/>
        </tpls>
      </n>
      <m in="0">
        <tpls c="5">
          <tpl fld="1" item="0"/>
          <tpl fld="2" item="4"/>
          <tpl hier="10" item="1"/>
          <tpl hier="11" item="9"/>
          <tpl fld="0" item="1"/>
        </tpls>
      </m>
      <n v="-29679" in="0">
        <tpls c="5">
          <tpl fld="1" item="3"/>
          <tpl fld="2" item="1"/>
          <tpl hier="10" item="1"/>
          <tpl hier="11" item="9"/>
          <tpl fld="0" item="0"/>
        </tpls>
      </n>
      <m in="0">
        <tpls c="5">
          <tpl fld="1" item="5"/>
          <tpl fld="2" item="0"/>
          <tpl hier="10" item="1"/>
          <tpl hier="11" item="9"/>
          <tpl fld="0" item="1"/>
        </tpls>
      </m>
      <n v="-15614" in="0">
        <tpls c="5">
          <tpl fld="1" item="11"/>
          <tpl fld="2" item="3"/>
          <tpl hier="10" item="1"/>
          <tpl hier="11" item="9"/>
          <tpl fld="0" item="0"/>
        </tpls>
      </n>
      <m in="0">
        <tpls c="5">
          <tpl fld="1" item="1"/>
          <tpl fld="2" item="4"/>
          <tpl hier="10" item="1"/>
          <tpl hier="11" item="9"/>
          <tpl fld="0" item="1"/>
        </tpls>
      </m>
      <m in="0">
        <tpls c="5">
          <tpl fld="1" item="8"/>
          <tpl fld="2" item="9"/>
          <tpl hier="10" item="1"/>
          <tpl hier="11" item="9"/>
          <tpl fld="0" item="1"/>
        </tpls>
      </m>
      <m in="0">
        <tpls c="5">
          <tpl fld="1" item="5"/>
          <tpl fld="2" item="7"/>
          <tpl hier="10" item="1"/>
          <tpl hier="11" item="9"/>
          <tpl fld="0" item="1"/>
        </tpls>
      </m>
      <n v="-33400" in="0">
        <tpls c="5">
          <tpl fld="1" item="7"/>
          <tpl fld="2" item="12"/>
          <tpl hier="10" item="1"/>
          <tpl hier="11" item="9"/>
          <tpl fld="0" item="0"/>
        </tpls>
      </n>
      <n v="-1920.75" in="0">
        <tpls c="5">
          <tpl fld="1" item="10"/>
          <tpl fld="2" item="4"/>
          <tpl hier="10" item="1"/>
          <tpl hier="11" item="9"/>
          <tpl fld="0" item="0"/>
        </tpls>
      </n>
      <m in="0">
        <tpls c="5">
          <tpl fld="1" item="9"/>
          <tpl fld="2" item="0"/>
          <tpl hier="10" item="1"/>
          <tpl hier="11" item="9"/>
          <tpl fld="0" item="1"/>
        </tpls>
      </m>
      <n v="-7951.5" in="0">
        <tpls c="5">
          <tpl fld="1" item="5"/>
          <tpl fld="2" item="5"/>
          <tpl hier="10" item="1"/>
          <tpl hier="11" item="9"/>
          <tpl fld="0" item="0"/>
        </tpls>
      </n>
      <n v="6726556.916666666" in="0">
        <tpls c="5">
          <tpl fld="1" item="4"/>
          <tpl hier="9" item="4294967295"/>
          <tpl hier="10" item="1"/>
          <tpl hier="11" item="9"/>
          <tpl fld="0" item="0"/>
        </tpls>
      </n>
      <m in="0">
        <tpls c="5">
          <tpl fld="1" item="5"/>
          <tpl fld="2" item="15"/>
          <tpl hier="10" item="1"/>
          <tpl hier="11" item="9"/>
          <tpl fld="0" item="1"/>
        </tpls>
      </m>
      <n v="-2772" in="0">
        <tpls c="5">
          <tpl fld="1" item="0"/>
          <tpl fld="2" item="4"/>
          <tpl hier="10" item="1"/>
          <tpl hier="11" item="9"/>
          <tpl fld="0" item="0"/>
        </tpls>
      </n>
      <n v="-32778.5" in="0">
        <tpls c="5">
          <tpl fld="1" item="6"/>
          <tpl fld="2" item="1"/>
          <tpl hier="10" item="1"/>
          <tpl hier="11" item="9"/>
          <tpl fld="0" item="0"/>
        </tpls>
      </n>
      <n v="-5165.25" in="0">
        <tpls c="5">
          <tpl fld="1" item="9"/>
          <tpl fld="2" item="8"/>
          <tpl hier="10" item="1"/>
          <tpl hier="11" item="9"/>
          <tpl fld="0" item="0"/>
        </tpls>
      </n>
      <n v="-1676236" in="0">
        <tpls c="5">
          <tpl fld="1" item="8"/>
          <tpl fld="2" item="0"/>
          <tpl hier="10" item="1"/>
          <tpl hier="11" item="9"/>
          <tpl fld="0" item="0"/>
        </tpls>
      </n>
      <m in="0">
        <tpls c="5">
          <tpl fld="1" item="1"/>
          <tpl fld="2" item="1"/>
          <tpl hier="10" item="1"/>
          <tpl hier="11" item="9"/>
          <tpl fld="0" item="1"/>
        </tpls>
      </m>
      <m in="0">
        <tpls c="5">
          <tpl fld="1" item="10"/>
          <tpl fld="2" item="3"/>
          <tpl hier="10" item="1"/>
          <tpl hier="11" item="9"/>
          <tpl fld="0" item="1"/>
        </tpls>
      </m>
      <m in="0">
        <tpls c="5">
          <tpl fld="1" item="11"/>
          <tpl fld="2" item="6"/>
          <tpl hier="10" item="1"/>
          <tpl hier="11" item="9"/>
          <tpl fld="0" item="1"/>
        </tpls>
      </m>
      <n v="-4248.75" in="0">
        <tpls c="5">
          <tpl fld="1" item="5"/>
          <tpl fld="2" item="4"/>
          <tpl hier="10" item="1"/>
          <tpl hier="11" item="9"/>
          <tpl fld="0" item="0"/>
        </tpls>
      </n>
      <n v="9836477" in="0">
        <tpls c="5">
          <tpl fld="1" item="7"/>
          <tpl fld="2" item="9"/>
          <tpl hier="10" item="1"/>
          <tpl hier="11" item="9"/>
          <tpl fld="0" item="0"/>
        </tpls>
      </n>
      <m in="0">
        <tpls c="5">
          <tpl fld="1" item="5"/>
          <tpl fld="2" item="6"/>
          <tpl hier="10" item="1"/>
          <tpl hier="11" item="9"/>
          <tpl fld="0" item="1"/>
        </tpls>
      </m>
      <m in="0">
        <tpls c="5">
          <tpl fld="1" item="7"/>
          <tpl fld="2" item="12"/>
          <tpl hier="10" item="1"/>
          <tpl hier="11" item="9"/>
          <tpl fld="0" item="1"/>
        </tpls>
      </m>
      <n v="-8720.25" in="0">
        <tpls c="5">
          <tpl fld="1" item="10"/>
          <tpl fld="2" item="5"/>
          <tpl hier="10" item="1"/>
          <tpl hier="11" item="9"/>
          <tpl fld="0" item="0"/>
        </tpls>
      </n>
      <n v="-28829.75" in="0">
        <tpls c="5">
          <tpl fld="1" item="3"/>
          <tpl fld="2" item="14"/>
          <tpl hier="10" item="1"/>
          <tpl hier="11" item="9"/>
          <tpl fld="0" item="0"/>
        </tpls>
      </n>
      <n v="-74115.75" in="0">
        <tpls c="5">
          <tpl fld="1" item="5"/>
          <tpl fld="2" item="10"/>
          <tpl hier="10" item="1"/>
          <tpl hier="11" item="9"/>
          <tpl fld="0" item="0"/>
        </tpls>
      </n>
      <m in="0">
        <tpls c="5">
          <tpl fld="1" item="4"/>
          <tpl hier="9" item="4294967295"/>
          <tpl hier="10" item="1"/>
          <tpl hier="11" item="9"/>
          <tpl fld="0" item="1"/>
        </tpls>
      </m>
      <m in="0">
        <tpls c="5">
          <tpl fld="1" item="3"/>
          <tpl fld="2" item="15"/>
          <tpl hier="10" item="1"/>
          <tpl hier="11" item="9"/>
          <tpl fld="0" item="1"/>
        </tpls>
      </m>
      <m in="0">
        <tpls c="5">
          <tpl fld="1" item="0"/>
          <tpl fld="2" item="5"/>
          <tpl hier="10" item="1"/>
          <tpl hier="11" item="9"/>
          <tpl fld="0" item="1"/>
        </tpls>
      </m>
      <n v="-93656.25" in="0">
        <tpls c="5">
          <tpl fld="1" item="1"/>
          <tpl fld="2" item="7"/>
          <tpl hier="10" item="1"/>
          <tpl hier="11" item="9"/>
          <tpl fld="0" item="0"/>
        </tpls>
      </n>
      <n v="-119056" in="0">
        <tpls c="5">
          <tpl fld="1" item="7"/>
          <tpl fld="2" item="6"/>
          <tpl hier="10" item="1"/>
          <tpl hier="11" item="9"/>
          <tpl fld="0" item="0"/>
        </tpls>
      </n>
      <m in="0">
        <tpls c="5">
          <tpl fld="1" item="1"/>
          <tpl fld="2" item="14"/>
          <tpl hier="10" item="1"/>
          <tpl hier="11" item="9"/>
          <tpl fld="0" item="1"/>
        </tpls>
      </m>
      <n v="-123673.75" in="0">
        <tpls c="5">
          <tpl fld="1" item="8"/>
          <tpl fld="2" item="6"/>
          <tpl hier="10" item="1"/>
          <tpl hier="11" item="9"/>
          <tpl fld="0" item="0"/>
        </tpls>
      </n>
      <n v="-167466.75" in="0">
        <tpls c="5">
          <tpl fld="1" item="10"/>
          <tpl fld="2" item="7"/>
          <tpl hier="10" item="1"/>
          <tpl hier="11" item="9"/>
          <tpl fld="0" item="0"/>
        </tpls>
      </n>
      <n v="-8600.25" in="0">
        <tpls c="5">
          <tpl fld="1" item="3"/>
          <tpl fld="2" item="5"/>
          <tpl hier="10" item="1"/>
          <tpl hier="11" item="9"/>
          <tpl fld="0" item="0"/>
        </tpls>
      </n>
      <m in="0">
        <tpls c="5">
          <tpl fld="1" item="7"/>
          <tpl fld="2" item="9"/>
          <tpl hier="10" item="1"/>
          <tpl hier="11" item="9"/>
          <tpl fld="0" item="1"/>
        </tpls>
      </m>
      <m in="0">
        <tpls c="5">
          <tpl fld="1" item="5"/>
          <tpl fld="2" item="1"/>
          <tpl hier="10" item="1"/>
          <tpl hier="11" item="9"/>
          <tpl fld="0" item="1"/>
        </tpls>
      </m>
      <n v="-32827.5" in="0">
        <tpls c="5">
          <tpl fld="1" item="6"/>
          <tpl fld="2" item="12"/>
          <tpl hier="10" item="1"/>
          <tpl hier="11" item="9"/>
          <tpl fld="0" item="0"/>
        </tpls>
      </n>
      <n v="-3959.5" in="0">
        <tpls c="5">
          <tpl fld="1" item="10"/>
          <tpl fld="2" item="2"/>
          <tpl hier="10" item="1"/>
          <tpl hier="11" item="9"/>
          <tpl fld="0" item="0"/>
        </tpls>
      </n>
      <m in="0">
        <tpls c="5">
          <tpl fld="1" item="3"/>
          <tpl fld="2" item="14"/>
          <tpl hier="10" item="1"/>
          <tpl hier="11" item="9"/>
          <tpl fld="0" item="1"/>
        </tpls>
      </m>
      <n v="8127229" in="0">
        <tpls c="5">
          <tpl fld="1" item="5"/>
          <tpl fld="2" item="9"/>
          <tpl hier="10" item="1"/>
          <tpl hier="11" item="9"/>
          <tpl fld="0" item="0"/>
        </tpls>
      </n>
      <n v="7624683.25" in="0">
        <tpls c="5">
          <tpl fld="1" item="9"/>
          <tpl hier="9" item="4294967295"/>
          <tpl hier="10" item="1"/>
          <tpl hier="11" item="9"/>
          <tpl fld="0" item="0"/>
        </tpls>
      </n>
      <n v="-43853.25" in="0">
        <tpls c="5">
          <tpl fld="1" item="4"/>
          <tpl fld="2" item="15"/>
          <tpl hier="10" item="1"/>
          <tpl hier="11" item="9"/>
          <tpl fld="0" item="0"/>
        </tpls>
      </n>
      <n v="-8653.5" in="0">
        <tpls c="5">
          <tpl fld="1" item="0"/>
          <tpl fld="2" item="5"/>
          <tpl hier="10" item="1"/>
          <tpl hier="11" item="9"/>
          <tpl fld="0" item="0"/>
        </tpls>
      </n>
      <n v="-16021.25" in="0">
        <tpls c="5">
          <tpl fld="1" item="9"/>
          <tpl fld="2" item="3"/>
          <tpl hier="10" item="1"/>
          <tpl hier="11" item="9"/>
          <tpl fld="0" item="0"/>
        </tpls>
      </n>
      <n v="-3807" in="0">
        <tpls c="5">
          <tpl fld="1" item="1"/>
          <tpl fld="2" item="11"/>
          <tpl hier="10" item="1"/>
          <tpl hier="11" item="9"/>
          <tpl fld="0" item="0"/>
        </tpls>
      </n>
      <n v="-1696206.75" in="0">
        <tpls c="5">
          <tpl fld="1" item="6"/>
          <tpl fld="2" item="0"/>
          <tpl hier="10" item="1"/>
          <tpl hier="11" item="9"/>
          <tpl fld="0" item="0"/>
        </tpls>
      </n>
      <m in="0">
        <tpls c="5">
          <tpl fld="1" item="5"/>
          <tpl fld="2" item="11"/>
          <tpl hier="10" item="1"/>
          <tpl hier="11" item="9"/>
          <tpl fld="0" item="1"/>
        </tpls>
      </m>
      <m in="0">
        <tpls c="5">
          <tpl fld="1" item="3"/>
          <tpl fld="2" item="5"/>
          <tpl hier="10" item="1"/>
          <tpl hier="11" item="9"/>
          <tpl fld="0" item="1"/>
        </tpls>
      </m>
      <n v="9598172" in="0">
        <tpls c="5">
          <tpl fld="1" item="6"/>
          <tpl fld="2" item="9"/>
          <tpl hier="10" item="1"/>
          <tpl hier="11" item="9"/>
          <tpl fld="0" item="0"/>
        </tpls>
      </n>
      <m in="0">
        <tpls c="5">
          <tpl fld="1" item="5"/>
          <tpl fld="2" item="2"/>
          <tpl hier="10" item="1"/>
          <tpl hier="11" item="9"/>
          <tpl fld="0" item="1"/>
        </tpls>
      </m>
      <m in="0">
        <tpls c="5">
          <tpl fld="1" item="6"/>
          <tpl fld="2" item="12"/>
          <tpl hier="10" item="1"/>
          <tpl hier="11" item="9"/>
          <tpl fld="0" item="1"/>
        </tpls>
      </m>
      <n v="-1602973" in="0">
        <tpls c="5">
          <tpl fld="1" item="10"/>
          <tpl fld="2" item="0"/>
          <tpl hier="10" item="1"/>
          <tpl hier="11" item="9"/>
          <tpl fld="0" item="0"/>
        </tpls>
      </n>
      <n v="-23071.25" in="0">
        <tpls c="5">
          <tpl fld="1" item="2"/>
          <tpl fld="2" item="14"/>
          <tpl hier="10" item="1"/>
          <tpl hier="11" item="9"/>
          <tpl fld="0" item="0"/>
        </tpls>
      </n>
      <n v="-132237.16666666666" in="0">
        <tpls c="5">
          <tpl fld="1" item="5"/>
          <tpl fld="2" item="7"/>
          <tpl hier="10" item="1"/>
          <tpl hier="11" item="9"/>
          <tpl fld="0" item="0"/>
        </tpls>
      </n>
      <n v="7002842.416666666" in="0">
        <tpls c="5">
          <tpl fld="1" item="11"/>
          <tpl hier="9" item="4294967295"/>
          <tpl hier="10" item="1"/>
          <tpl hier="11" item="9"/>
          <tpl fld="0" item="0"/>
        </tpls>
      </n>
      <n v="-43221.75" in="0">
        <tpls c="5">
          <tpl fld="1" item="3"/>
          <tpl fld="2" item="15"/>
          <tpl hier="10" item="1"/>
          <tpl hier="11" item="9"/>
          <tpl fld="0" item="0"/>
        </tpls>
      </n>
      <m in="0">
        <tpls c="5">
          <tpl fld="1" item="0"/>
          <tpl fld="2" item="6"/>
          <tpl hier="10" item="1"/>
          <tpl hier="11" item="9"/>
          <tpl fld="0" item="1"/>
        </tpls>
      </m>
      <m in="0">
        <tpls c="5">
          <tpl fld="1" item="7"/>
          <tpl fld="2" item="1"/>
          <tpl hier="10" item="1"/>
          <tpl hier="11" item="9"/>
          <tpl fld="0" item="1"/>
        </tpls>
      </m>
      <m in="0">
        <tpls c="5">
          <tpl fld="1" item="2"/>
          <tpl fld="2" item="0"/>
          <tpl hier="10" item="1"/>
          <tpl hier="11" item="9"/>
          <tpl fld="0" item="1"/>
        </tpls>
      </m>
      <m in="0">
        <tpls c="5">
          <tpl fld="1" item="1"/>
          <tpl fld="2" item="9"/>
          <tpl hier="10" item="1"/>
          <tpl hier="11" item="9"/>
          <tpl fld="0" item="1"/>
        </tpls>
      </m>
      <n v="-135761.75" in="0">
        <tpls c="5">
          <tpl fld="1" item="11"/>
          <tpl fld="2" item="6"/>
          <tpl hier="10" item="1"/>
          <tpl hier="11" item="9"/>
          <tpl fld="0" item="0"/>
        </tpls>
      </n>
      <n v="-400170.5" in="0">
        <tpls c="4">
          <tpl fld="2" item="12"/>
          <tpl hier="10" item="1"/>
          <tpl hier="11" item="9"/>
          <tpl fld="0" item="0"/>
        </tpls>
      </n>
      <m in="0">
        <tpls c="5">
          <tpl fld="1" item="4"/>
          <tpl fld="2" item="6"/>
          <tpl hier="10" item="1"/>
          <tpl hier="11" item="9"/>
          <tpl fld="0" item="1"/>
        </tpls>
      </m>
      <m in="0">
        <tpls c="5">
          <tpl fld="1" item="8"/>
          <tpl fld="2" item="11"/>
          <tpl hier="10" item="1"/>
          <tpl hier="11" item="9"/>
          <tpl fld="0" item="1"/>
        </tpls>
      </m>
      <n v="-123156.5" in="0">
        <tpls c="5">
          <tpl fld="1" item="1"/>
          <tpl fld="2" item="6"/>
          <tpl hier="10" item="1"/>
          <tpl hier="11" item="9"/>
          <tpl fld="0" item="0"/>
        </tpls>
      </n>
      <m in="0">
        <tpls c="5">
          <tpl fld="1" item="7"/>
          <tpl fld="2" item="13"/>
          <tpl hier="10" item="1"/>
          <tpl hier="11" item="9"/>
          <tpl fld="0" item="1"/>
        </tpls>
      </m>
      <m in="0">
        <tpls c="5">
          <tpl fld="1" item="7"/>
          <tpl fld="2" item="10"/>
          <tpl hier="10" item="1"/>
          <tpl hier="11" item="9"/>
          <tpl fld="0" item="1"/>
        </tpls>
      </m>
      <n v="-32319.75" in="0">
        <tpls c="5">
          <tpl fld="1" item="9"/>
          <tpl fld="2" item="1"/>
          <tpl hier="10" item="1"/>
          <tpl hier="11" item="9"/>
          <tpl fld="0" item="0"/>
        </tpls>
      </n>
      <m in="0">
        <tpls c="5">
          <tpl fld="1" item="0"/>
          <tpl fld="2" item="8"/>
          <tpl hier="10" item="1"/>
          <tpl hier="11" item="9"/>
          <tpl fld="0" item="1"/>
        </tpls>
      </m>
      <n v="-1448524" in="0">
        <tpls c="5">
          <tpl fld="1" item="9"/>
          <tpl fld="2" item="0"/>
          <tpl hier="10" item="1"/>
          <tpl hier="11" item="9"/>
          <tpl fld="0" item="0"/>
        </tpls>
      </n>
      <n v="-2710779" in="0">
        <tpls c="5">
          <tpl fld="1" item="1"/>
          <tpl fld="2" item="7"/>
          <tpl hier="10" item="1"/>
          <tpl hier="11" item="10"/>
          <tpl fld="0" item="1"/>
        </tpls>
      </n>
      <m in="0">
        <tpls c="5">
          <tpl fld="1" item="3"/>
          <tpl fld="2" item="2"/>
          <tpl hier="10" item="1"/>
          <tpl hier="11" item="10"/>
          <tpl fld="0" item="0"/>
        </tpls>
      </m>
      <n v="-180364" in="0">
        <tpls c="5">
          <tpl fld="1" item="2"/>
          <tpl fld="2" item="6"/>
          <tpl hier="10" item="1"/>
          <tpl hier="11" item="10"/>
          <tpl fld="0" item="1"/>
        </tpls>
      </n>
      <n v="-5157" in="0">
        <tpls c="5">
          <tpl fld="1" item="3"/>
          <tpl fld="2" item="11"/>
          <tpl hier="10" item="1"/>
          <tpl hier="11" item="10"/>
          <tpl fld="0" item="1"/>
        </tpls>
      </n>
      <m in="0">
        <tpls c="5">
          <tpl fld="1" item="3"/>
          <tpl fld="2" item="10"/>
          <tpl hier="10" item="1"/>
          <tpl hier="11" item="10"/>
          <tpl fld="0" item="0"/>
        </tpls>
      </m>
      <m in="0">
        <tpls c="5">
          <tpl fld="1" item="10"/>
          <tpl fld="2" item="3"/>
          <tpl hier="10" item="1"/>
          <tpl hier="11" item="10"/>
          <tpl fld="0" item="0"/>
        </tpls>
      </m>
      <m in="0">
        <tpls c="5">
          <tpl fld="1" item="11"/>
          <tpl fld="2" item="7"/>
          <tpl hier="10" item="1"/>
          <tpl hier="11" item="10"/>
          <tpl fld="0" item="0"/>
        </tpls>
      </m>
      <n v="-117076" in="0">
        <tpls c="5">
          <tpl fld="1" item="3"/>
          <tpl fld="2" item="6"/>
          <tpl hier="10" item="1"/>
          <tpl hier="11" item="10"/>
          <tpl fld="0" item="1"/>
        </tpls>
      </n>
      <n v="5842719" in="0">
        <tpls c="5">
          <tpl fld="1" item="4"/>
          <tpl fld="2" item="9"/>
          <tpl hier="10" item="1"/>
          <tpl hier="11" item="10"/>
          <tpl fld="0" item="1"/>
        </tpls>
      </n>
      <n v="-4864" in="0">
        <tpls c="5">
          <tpl fld="1" item="10"/>
          <tpl fld="2" item="11"/>
          <tpl hier="10" item="1"/>
          <tpl hier="11" item="10"/>
          <tpl fld="0" item="1"/>
        </tpls>
      </n>
      <m in="0">
        <tpls c="5">
          <tpl fld="1" item="7"/>
          <tpl fld="2" item="13"/>
          <tpl hier="10" item="1"/>
          <tpl hier="11" item="10"/>
          <tpl fld="0" item="0"/>
        </tpls>
      </m>
      <n v="-13486" in="0">
        <tpls c="5">
          <tpl fld="1" item="11"/>
          <tpl fld="2" item="5"/>
          <tpl hier="10" item="1"/>
          <tpl hier="11" item="10"/>
          <tpl fld="0" item="1"/>
        </tpls>
      </n>
      <m in="0">
        <tpls c="5">
          <tpl fld="1" item="5"/>
          <tpl fld="2" item="14"/>
          <tpl hier="10" item="1"/>
          <tpl hier="11" item="10"/>
          <tpl fld="0" item="0"/>
        </tpls>
      </m>
      <n v="-501273" in="0">
        <tpls c="4">
          <tpl fld="2" item="13"/>
          <tpl hier="10" item="1"/>
          <tpl hier="11" item="10"/>
          <tpl fld="0" item="1"/>
        </tpls>
      </n>
      <m in="0">
        <tpls c="5">
          <tpl fld="1" item="7"/>
          <tpl hier="9" item="4294967295"/>
          <tpl hier="10" item="1"/>
          <tpl hier="11" item="10"/>
          <tpl fld="0" item="0"/>
        </tpls>
      </m>
      <n v="-29897" in="0">
        <tpls c="5">
          <tpl fld="1" item="11"/>
          <tpl fld="2" item="15"/>
          <tpl hier="10" item="1"/>
          <tpl hier="11" item="10"/>
          <tpl fld="0" item="1"/>
        </tpls>
      </n>
      <m in="0">
        <tpls c="5">
          <tpl fld="1" item="0"/>
          <tpl fld="2" item="8"/>
          <tpl hier="10" item="1"/>
          <tpl hier="11" item="10"/>
          <tpl fld="0" item="0"/>
        </tpls>
      </m>
      <n v="-12990" in="0">
        <tpls c="5">
          <tpl fld="1" item="6"/>
          <tpl fld="2" item="1"/>
          <tpl hier="10" item="1"/>
          <tpl hier="11" item="10"/>
          <tpl fld="0" item="1"/>
        </tpls>
      </n>
      <m in="0">
        <tpls c="5">
          <tpl fld="1" item="3"/>
          <tpl fld="2" item="7"/>
          <tpl hier="10" item="1"/>
          <tpl hier="11" item="10"/>
          <tpl fld="0" item="0"/>
        </tpls>
      </m>
      <n v="17358279" in="0">
        <tpls c="5">
          <tpl fld="1" item="6"/>
          <tpl fld="2" item="9"/>
          <tpl hier="10" item="1"/>
          <tpl hier="11" item="10"/>
          <tpl fld="0" item="1"/>
        </tpls>
      </n>
      <n v="-23047" in="0">
        <tpls c="5">
          <tpl fld="1" item="3"/>
          <tpl fld="2" item="3"/>
          <tpl hier="10" item="1"/>
          <tpl hier="11" item="10"/>
          <tpl fld="0" item="1"/>
        </tpls>
      </n>
      <m in="0">
        <tpls c="5">
          <tpl fld="1" item="9"/>
          <tpl fld="2" item="11"/>
          <tpl hier="10" item="1"/>
          <tpl hier="11" item="10"/>
          <tpl fld="0" item="0"/>
        </tpls>
      </m>
      <n v="-136791" in="0">
        <tpls c="5">
          <tpl fld="1" item="10"/>
          <tpl fld="2" item="6"/>
          <tpl hier="10" item="1"/>
          <tpl hier="11" item="10"/>
          <tpl fld="0" item="1"/>
        </tpls>
      </n>
      <n v="-1620019" in="0">
        <tpls c="5">
          <tpl fld="1" item="3"/>
          <tpl fld="2" item="0"/>
          <tpl hier="10" item="1"/>
          <tpl hier="11" item="10"/>
          <tpl fld="0" item="1"/>
        </tpls>
      </n>
      <m in="0">
        <tpls c="5">
          <tpl fld="1" item="2"/>
          <tpl fld="2" item="6"/>
          <tpl hier="10" item="1"/>
          <tpl hier="11" item="10"/>
          <tpl fld="0" item="0"/>
        </tpls>
      </m>
      <n v="-12837" in="0">
        <tpls c="5">
          <tpl fld="1" item="4"/>
          <tpl fld="2" item="5"/>
          <tpl hier="10" item="1"/>
          <tpl hier="11" item="10"/>
          <tpl fld="0" item="1"/>
        </tpls>
      </n>
      <m in="0">
        <tpls c="5">
          <tpl fld="1" item="8"/>
          <tpl fld="2" item="11"/>
          <tpl hier="10" item="1"/>
          <tpl hier="11" item="10"/>
          <tpl fld="0" item="0"/>
        </tpls>
      </m>
      <m in="0">
        <tpls c="5">
          <tpl fld="1" item="3"/>
          <tpl fld="2" item="13"/>
          <tpl hier="10" item="1"/>
          <tpl hier="11" item="10"/>
          <tpl fld="0" item="0"/>
        </tpls>
      </m>
      <n v="-4024" in="0">
        <tpls c="5">
          <tpl fld="1" item="11"/>
          <tpl fld="2" item="2"/>
          <tpl hier="10" item="1"/>
          <tpl hier="11" item="10"/>
          <tpl fld="0" item="1"/>
        </tpls>
      </n>
      <n v="-435411" in="0">
        <tpls c="5">
          <tpl fld="1" item="5"/>
          <tpl fld="2" item="14"/>
          <tpl hier="10" item="1"/>
          <tpl hier="11" item="10"/>
          <tpl fld="0" item="1"/>
        </tpls>
      </n>
      <n v="-502297" in="0">
        <tpls c="4">
          <tpl fld="2" item="12"/>
          <tpl hier="10" item="1"/>
          <tpl hier="11" item="10"/>
          <tpl fld="0" item="1"/>
        </tpls>
      </n>
      <n v="7943600" in="0">
        <tpls c="5">
          <tpl fld="1" item="7"/>
          <tpl hier="9" item="4294967295"/>
          <tpl hier="10" item="1"/>
          <tpl hier="11" item="10"/>
          <tpl fld="0" item="1"/>
        </tpls>
      </n>
      <m in="0">
        <tpls c="4">
          <tpl fld="2" item="15"/>
          <tpl hier="10" item="1"/>
          <tpl hier="11" item="10"/>
          <tpl fld="0" item="0"/>
        </tpls>
      </m>
      <n v="16447053" in="0">
        <tpls c="5">
          <tpl fld="1" item="0"/>
          <tpl fld="2" item="9"/>
          <tpl hier="10" item="1"/>
          <tpl hier="11" item="10"/>
          <tpl fld="0" item="1"/>
        </tpls>
      </n>
      <n v="-25282" in="0">
        <tpls c="5">
          <tpl fld="1" item="6"/>
          <tpl fld="2" item="4"/>
          <tpl hier="10" item="1"/>
          <tpl hier="11" item="10"/>
          <tpl fld="0" item="1"/>
        </tpls>
      </n>
      <n v="-12860" in="0">
        <tpls c="5">
          <tpl fld="1" item="2"/>
          <tpl fld="2" item="1"/>
          <tpl hier="10" item="1"/>
          <tpl hier="11" item="10"/>
          <tpl fld="0" item="1"/>
        </tpls>
      </n>
      <n v="-5020" in="0">
        <tpls c="5">
          <tpl fld="1" item="2"/>
          <tpl fld="2" item="2"/>
          <tpl hier="10" item="1"/>
          <tpl hier="11" item="10"/>
          <tpl fld="0" item="1"/>
        </tpls>
      </n>
      <n v="-457968" in="0">
        <tpls c="5">
          <tpl fld="1" item="3"/>
          <tpl fld="2" item="8"/>
          <tpl hier="10" item="1"/>
          <tpl hier="11" item="10"/>
          <tpl fld="0" item="1"/>
        </tpls>
      </n>
      <n v="11215260" in="0">
        <tpls c="5">
          <tpl fld="1" item="3"/>
          <tpl fld="2" item="9"/>
          <tpl hier="10" item="1"/>
          <tpl hier="11" item="10"/>
          <tpl fld="0" item="1"/>
        </tpls>
      </n>
      <m in="0">
        <tpls c="5">
          <tpl fld="1" item="5"/>
          <tpl fld="2" item="11"/>
          <tpl hier="10" item="1"/>
          <tpl hier="11" item="10"/>
          <tpl fld="0" item="0"/>
        </tpls>
      </m>
      <m in="0">
        <tpls c="5">
          <tpl fld="1" item="9"/>
          <tpl fld="2" item="6"/>
          <tpl hier="10" item="1"/>
          <tpl hier="11" item="10"/>
          <tpl fld="0" item="0"/>
        </tpls>
      </m>
      <m in="0">
        <tpls c="5">
          <tpl fld="1" item="4"/>
          <tpl fld="2" item="7"/>
          <tpl hier="10" item="1"/>
          <tpl hier="11" item="10"/>
          <tpl fld="0" item="0"/>
        </tpls>
      </m>
      <n v="-1530196" in="0">
        <tpls c="5">
          <tpl fld="1" item="4"/>
          <tpl fld="2" item="0"/>
          <tpl hier="10" item="1"/>
          <tpl hier="11" item="10"/>
          <tpl fld="0" item="1"/>
        </tpls>
      </n>
      <m in="0">
        <tpls c="5">
          <tpl fld="1" item="7"/>
          <tpl fld="2" item="11"/>
          <tpl hier="10" item="1"/>
          <tpl hier="11" item="10"/>
          <tpl fld="0" item="0"/>
        </tpls>
      </m>
      <n v="-50132" in="0">
        <tpls c="5">
          <tpl fld="1" item="3"/>
          <tpl fld="2" item="13"/>
          <tpl hier="10" item="1"/>
          <tpl hier="11" item="10"/>
          <tpl fld="0" item="1"/>
        </tpls>
      </n>
      <n v="-1910781" in="0">
        <tpls c="5">
          <tpl fld="1" item="11"/>
          <tpl fld="2" item="0"/>
          <tpl hier="10" item="1"/>
          <tpl hier="11" item="10"/>
          <tpl fld="0" item="1"/>
        </tpls>
      </n>
      <m in="0">
        <tpls c="5">
          <tpl fld="1" item="11"/>
          <tpl fld="2" item="14"/>
          <tpl hier="10" item="1"/>
          <tpl hier="11" item="10"/>
          <tpl fld="0" item="0"/>
        </tpls>
      </m>
      <n v="-25754842" in="0">
        <tpls c="4">
          <tpl fld="2" item="0"/>
          <tpl hier="10" item="1"/>
          <tpl hier="11" item="10"/>
          <tpl fld="0" item="1"/>
        </tpls>
      </n>
      <m in="0">
        <tpls c="5">
          <tpl fld="1" item="6"/>
          <tpl hier="9" item="4294967295"/>
          <tpl hier="10" item="1"/>
          <tpl hier="11" item="10"/>
          <tpl fld="0" item="0"/>
        </tpls>
      </m>
      <n v="-368939" in="0">
        <tpls c="4">
          <tpl fld="2" item="15"/>
          <tpl hier="10" item="1"/>
          <tpl hier="11" item="10"/>
          <tpl fld="0" item="1"/>
        </tpls>
      </n>
      <m in="0">
        <tpls c="5">
          <tpl fld="1" item="0"/>
          <tpl fld="2" item="9"/>
          <tpl hier="10" item="1"/>
          <tpl hier="11" item="10"/>
          <tpl fld="0" item="0"/>
        </tpls>
      </m>
      <n v="-285944" in="0">
        <tpls c="4">
          <tpl fld="2" item="4"/>
          <tpl hier="10" item="1"/>
          <tpl hier="11" item="10"/>
          <tpl fld="0" item="1"/>
        </tpls>
      </n>
      <m in="0">
        <tpls c="5">
          <tpl fld="1" item="8"/>
          <tpl fld="2" item="15"/>
          <tpl hier="10" item="1"/>
          <tpl hier="11" item="10"/>
          <tpl fld="0" item="0"/>
        </tpls>
      </m>
      <m in="0">
        <tpls c="5">
          <tpl fld="1" item="3"/>
          <tpl fld="2" item="8"/>
          <tpl hier="10" item="1"/>
          <tpl hier="11" item="10"/>
          <tpl fld="0" item="0"/>
        </tpls>
      </m>
      <m in="0">
        <tpls c="5">
          <tpl fld="1" item="3"/>
          <tpl fld="2" item="11"/>
          <tpl hier="10" item="1"/>
          <tpl hier="11" item="10"/>
          <tpl fld="0" item="0"/>
        </tpls>
      </m>
      <n v="-561851" in="0">
        <tpls c="5">
          <tpl fld="1" item="11"/>
          <tpl fld="2" item="14"/>
          <tpl hier="10" item="1"/>
          <tpl hier="11" item="10"/>
          <tpl fld="0" item="1"/>
        </tpls>
      </n>
      <n v="-31146" in="0">
        <tpls c="5">
          <tpl fld="1" item="8"/>
          <tpl fld="2" item="15"/>
          <tpl hier="10" item="1"/>
          <tpl hier="11" item="10"/>
          <tpl fld="0" item="1"/>
        </tpls>
      </n>
      <n v="-12890" in="0">
        <tpls c="5">
          <tpl fld="1" item="3"/>
          <tpl fld="2" item="1"/>
          <tpl hier="10" item="1"/>
          <tpl hier="11" item="10"/>
          <tpl fld="0" item="1"/>
        </tpls>
      </n>
      <n v="-12960" in="0">
        <tpls c="5">
          <tpl fld="1" item="9"/>
          <tpl fld="2" item="1"/>
          <tpl hier="10" item="1"/>
          <tpl hier="11" item="10"/>
          <tpl fld="0" item="1"/>
        </tpls>
      </n>
      <n v="-41215" in="0">
        <tpls c="5">
          <tpl fld="1" item="9"/>
          <tpl fld="2" item="12"/>
          <tpl hier="10" item="1"/>
          <tpl hier="11" item="10"/>
          <tpl fld="0" item="1"/>
        </tpls>
      </n>
      <m in="0">
        <tpls c="5">
          <tpl fld="1" item="10"/>
          <tpl fld="2" item="14"/>
          <tpl hier="10" item="1"/>
          <tpl hier="11" item="10"/>
          <tpl fld="0" item="0"/>
        </tpls>
      </m>
      <m in="0">
        <tpls c="5">
          <tpl fld="1" item="0"/>
          <tpl fld="2" item="12"/>
          <tpl hier="10" item="1"/>
          <tpl hier="11" item="10"/>
          <tpl fld="0" item="0"/>
        </tpls>
      </m>
      <n v="-8811" in="0">
        <tpls c="5">
          <tpl fld="1" item="7"/>
          <tpl fld="2" item="5"/>
          <tpl hier="10" item="1"/>
          <tpl hier="11" item="10"/>
          <tpl fld="0" item="1"/>
        </tpls>
      </n>
      <m in="0">
        <tpls c="5">
          <tpl fld="1" item="11"/>
          <tpl fld="2" item="1"/>
          <tpl hier="10" item="1"/>
          <tpl hier="11" item="10"/>
          <tpl fld="0" item="0"/>
        </tpls>
      </m>
      <m in="0">
        <tpls c="5">
          <tpl fld="1" item="2"/>
          <tpl fld="2" item="12"/>
          <tpl hier="10" item="1"/>
          <tpl hier="11" item="10"/>
          <tpl fld="0" item="0"/>
        </tpls>
      </m>
      <m in="0">
        <tpls c="5">
          <tpl fld="1" item="8"/>
          <tpl fld="2" item="14"/>
          <tpl hier="10" item="1"/>
          <tpl hier="11" item="10"/>
          <tpl fld="0" item="0"/>
        </tpls>
      </m>
      <n v="-37072" in="0">
        <tpls c="5">
          <tpl fld="1" item="7"/>
          <tpl fld="2" item="15"/>
          <tpl hier="10" item="1"/>
          <tpl hier="11" item="10"/>
          <tpl fld="0" item="1"/>
        </tpls>
      </n>
      <m in="0">
        <tpls c="5">
          <tpl fld="1" item="2"/>
          <tpl fld="2" item="8"/>
          <tpl hier="10" item="1"/>
          <tpl hier="11" item="10"/>
          <tpl fld="0" item="0"/>
        </tpls>
      </m>
      <m in="0">
        <tpls c="5">
          <tpl fld="1" item="3"/>
          <tpl fld="2" item="0"/>
          <tpl hier="10" item="1"/>
          <tpl hier="11" item="10"/>
          <tpl fld="0" item="0"/>
        </tpls>
      </m>
      <n v="-498296" in="0">
        <tpls c="5">
          <tpl fld="1" item="8"/>
          <tpl fld="2" item="8"/>
          <tpl hier="10" item="1"/>
          <tpl hier="11" item="10"/>
          <tpl fld="0" item="1"/>
        </tpls>
      </n>
      <n v="-52471" in="0">
        <tpls c="5">
          <tpl fld="1" item="5"/>
          <tpl fld="2" item="12"/>
          <tpl hier="10" item="1"/>
          <tpl hier="11" item="10"/>
          <tpl fld="0" item="1"/>
        </tpls>
      </n>
      <n v="-705345" in="0">
        <tpls c="5">
          <tpl fld="1" item="8"/>
          <tpl fld="2" item="14"/>
          <tpl hier="10" item="1"/>
          <tpl hier="11" item="10"/>
          <tpl fld="0" item="1"/>
        </tpls>
      </n>
      <m in="0">
        <tpls c="5">
          <tpl fld="1" item="6"/>
          <tpl fld="2" item="15"/>
          <tpl hier="10" item="1"/>
          <tpl hier="11" item="10"/>
          <tpl fld="0" item="0"/>
        </tpls>
      </m>
      <m in="0">
        <tpls c="5">
          <tpl fld="1" item="10"/>
          <tpl fld="2" item="6"/>
          <tpl hier="10" item="1"/>
          <tpl hier="11" item="10"/>
          <tpl fld="0" item="0"/>
        </tpls>
      </m>
      <m in="0">
        <tpls c="5">
          <tpl fld="1" item="11"/>
          <tpl fld="2" item="4"/>
          <tpl hier="10" item="1"/>
          <tpl hier="11" item="10"/>
          <tpl fld="0" item="0"/>
        </tpls>
      </m>
      <n v="-2239516" in="0">
        <tpls c="5">
          <tpl fld="1" item="0"/>
          <tpl fld="2" item="0"/>
          <tpl hier="10" item="1"/>
          <tpl hier="11" item="10"/>
          <tpl fld="0" item="1"/>
        </tpls>
      </n>
      <n v="-2567" in="0">
        <tpls c="5">
          <tpl fld="1" item="1"/>
          <tpl fld="2" item="2"/>
          <tpl hier="10" item="1"/>
          <tpl hier="11" item="10"/>
          <tpl fld="0" item="1"/>
        </tpls>
      </n>
      <n v="-204433" in="0">
        <tpls c="5">
          <tpl fld="1" item="11"/>
          <tpl fld="2" item="10"/>
          <tpl hier="10" item="1"/>
          <tpl hier="11" item="10"/>
          <tpl fld="0" item="1"/>
        </tpls>
      </n>
      <n v="763011" in="0">
        <tpls c="5">
          <tpl fld="1" item="11"/>
          <tpl hier="9" item="4294967295"/>
          <tpl hier="10" item="1"/>
          <tpl hier="11" item="10"/>
          <tpl fld="0" item="1"/>
        </tpls>
      </n>
      <m in="0">
        <tpls c="5">
          <tpl fld="1" item="8"/>
          <tpl fld="2" item="3"/>
          <tpl hier="10" item="1"/>
          <tpl hier="11" item="10"/>
          <tpl fld="0" item="0"/>
        </tpls>
      </m>
      <n v="-1910083" in="0">
        <tpls c="5">
          <tpl fld="1" item="10"/>
          <tpl fld="2" item="7"/>
          <tpl hier="10" item="1"/>
          <tpl hier="11" item="10"/>
          <tpl fld="0" item="1"/>
        </tpls>
      </n>
      <m in="0">
        <tpls c="5">
          <tpl fld="1" item="10"/>
          <tpl fld="2" item="10"/>
          <tpl hier="10" item="1"/>
          <tpl hier="11" item="10"/>
          <tpl fld="0" item="0"/>
        </tpls>
      </m>
      <m in="0">
        <tpls c="5">
          <tpl fld="1" item="11"/>
          <tpl fld="2" item="0"/>
          <tpl hier="10" item="1"/>
          <tpl hier="11" item="10"/>
          <tpl fld="0" item="0"/>
        </tpls>
      </m>
      <n v="-21642" in="0">
        <tpls c="5">
          <tpl fld="1" item="3"/>
          <tpl fld="2" item="4"/>
          <tpl hier="10" item="1"/>
          <tpl hier="11" item="10"/>
          <tpl fld="0" item="1"/>
        </tpls>
      </n>
      <n v="-31984" in="0">
        <tpls c="5">
          <tpl fld="1" item="10"/>
          <tpl fld="2" item="13"/>
          <tpl hier="10" item="1"/>
          <tpl hier="11" item="10"/>
          <tpl fld="0" item="1"/>
        </tpls>
      </n>
      <n v="-19336" in="0">
        <tpls c="5">
          <tpl fld="1" item="5"/>
          <tpl fld="2" item="3"/>
          <tpl hier="10" item="1"/>
          <tpl hier="11" item="10"/>
          <tpl fld="0" item="1"/>
        </tpls>
      </n>
      <m in="0">
        <tpls c="5">
          <tpl fld="1" item="8"/>
          <tpl fld="2" item="13"/>
          <tpl hier="10" item="1"/>
          <tpl hier="11" item="10"/>
          <tpl fld="0" item="0"/>
        </tpls>
      </m>
      <n v="-4773" in="0">
        <tpls c="5">
          <tpl fld="1" item="0"/>
          <tpl fld="2" item="2"/>
          <tpl hier="10" item="1"/>
          <tpl hier="11" item="10"/>
          <tpl fld="0" item="1"/>
        </tpls>
      </n>
      <m in="0">
        <tpls c="5">
          <tpl fld="1" item="6"/>
          <tpl fld="2" item="2"/>
          <tpl hier="10" item="1"/>
          <tpl hier="11" item="10"/>
          <tpl fld="0" item="0"/>
        </tpls>
      </m>
      <n v="-140645" in="0">
        <tpls c="5">
          <tpl fld="1" item="8"/>
          <tpl fld="2" item="10"/>
          <tpl hier="10" item="1"/>
          <tpl hier="11" item="10"/>
          <tpl fld="0" item="1"/>
        </tpls>
      </n>
      <m in="0">
        <tpls c="5">
          <tpl fld="1" item="0"/>
          <tpl fld="2" item="2"/>
          <tpl hier="10" item="1"/>
          <tpl hier="11" item="10"/>
          <tpl fld="0" item="0"/>
        </tpls>
      </m>
      <m in="0">
        <tpls c="5">
          <tpl fld="1" item="6"/>
          <tpl fld="2" item="13"/>
          <tpl hier="10" item="1"/>
          <tpl hier="11" item="10"/>
          <tpl fld="0" item="0"/>
        </tpls>
      </m>
      <m in="0">
        <tpls c="5">
          <tpl fld="1" item="10"/>
          <tpl fld="2" item="9"/>
          <tpl hier="10" item="1"/>
          <tpl hier="11" item="10"/>
          <tpl fld="0" item="0"/>
        </tpls>
      </m>
      <n v="-12960" in="0">
        <tpls c="5">
          <tpl fld="1" item="10"/>
          <tpl fld="2" item="1"/>
          <tpl hier="10" item="1"/>
          <tpl hier="11" item="10"/>
          <tpl fld="0" item="1"/>
        </tpls>
      </n>
      <n v="-1953148" in="0">
        <tpls c="5">
          <tpl fld="1" item="8"/>
          <tpl fld="2" item="7"/>
          <tpl hier="10" item="1"/>
          <tpl hier="11" item="10"/>
          <tpl fld="0" item="1"/>
        </tpls>
      </n>
      <m in="0">
        <tpls c="5">
          <tpl fld="1" item="5"/>
          <tpl fld="2" item="6"/>
          <tpl hier="10" item="1"/>
          <tpl hier="11" item="10"/>
          <tpl fld="0" item="0"/>
        </tpls>
      </m>
      <m in="0">
        <tpls c="5">
          <tpl fld="1" item="4"/>
          <tpl fld="2" item="8"/>
          <tpl hier="10" item="1"/>
          <tpl hier="11" item="10"/>
          <tpl fld="0" item="0"/>
        </tpls>
      </m>
      <m in="0">
        <tpls c="5">
          <tpl fld="1" item="9"/>
          <tpl fld="2" item="5"/>
          <tpl hier="10" item="1"/>
          <tpl hier="11" item="10"/>
          <tpl fld="0" item="0"/>
        </tpls>
      </m>
      <n v="5726331" in="0">
        <tpls c="5">
          <tpl fld="1" item="10"/>
          <tpl hier="9" item="4294967295"/>
          <tpl hier="10" item="1"/>
          <tpl hier="11" item="10"/>
          <tpl fld="0" item="1"/>
        </tpls>
      </n>
      <m in="0">
        <tpls c="5">
          <tpl fld="1" item="9"/>
          <tpl fld="2" item="12"/>
          <tpl hier="10" item="1"/>
          <tpl hier="11" item="10"/>
          <tpl fld="0" item="0"/>
        </tpls>
      </m>
      <m in="0">
        <tpls c="5">
          <tpl fld="1" item="5"/>
          <tpl fld="2" item="2"/>
          <tpl hier="10" item="1"/>
          <tpl hier="11" item="10"/>
          <tpl fld="0" item="0"/>
        </tpls>
      </m>
      <m in="0">
        <tpls c="5">
          <tpl fld="1" item="7"/>
          <tpl fld="2" item="4"/>
          <tpl hier="10" item="1"/>
          <tpl hier="11" item="10"/>
          <tpl fld="0" item="0"/>
        </tpls>
      </m>
      <m in="0">
        <tpls c="5">
          <tpl fld="1" item="3"/>
          <tpl fld="2" item="6"/>
          <tpl hier="10" item="1"/>
          <tpl hier="11" item="10"/>
          <tpl fld="0" item="0"/>
        </tpls>
      </m>
      <n v="-46823" in="0">
        <tpls c="5">
          <tpl fld="1" item="4"/>
          <tpl fld="2" item="13"/>
          <tpl hier="10" item="1"/>
          <tpl hier="11" item="10"/>
          <tpl fld="0" item="1"/>
        </tpls>
      </n>
      <n v="-27148" in="0">
        <tpls c="5">
          <tpl fld="1" item="9"/>
          <tpl fld="2" item="15"/>
          <tpl hier="10" item="1"/>
          <tpl hier="11" item="10"/>
          <tpl fld="0" item="1"/>
        </tpls>
      </n>
      <m in="0">
        <tpls c="5">
          <tpl fld="1" item="1"/>
          <tpl fld="2" item="3"/>
          <tpl hier="10" item="1"/>
          <tpl hier="11" item="10"/>
          <tpl fld="0" item="0"/>
        </tpls>
      </m>
      <m in="0">
        <tpls c="5">
          <tpl fld="1" item="7"/>
          <tpl fld="2" item="8"/>
          <tpl hier="10" item="1"/>
          <tpl hier="11" item="10"/>
          <tpl fld="0" item="0"/>
        </tpls>
      </m>
      <m in="0">
        <tpls c="4">
          <tpl fld="2" item="5"/>
          <tpl hier="10" item="1"/>
          <tpl hier="11" item="10"/>
          <tpl fld="0" item="0"/>
        </tpls>
      </m>
      <m in="0">
        <tpls c="5">
          <tpl fld="1" item="1"/>
          <tpl fld="2" item="10"/>
          <tpl hier="10" item="1"/>
          <tpl hier="11" item="10"/>
          <tpl fld="0" item="0"/>
        </tpls>
      </m>
      <n v="-2193273" in="0">
        <tpls c="5">
          <tpl fld="1" item="10"/>
          <tpl fld="2" item="0"/>
          <tpl hier="10" item="1"/>
          <tpl hier="11" item="10"/>
          <tpl fld="0" item="1"/>
        </tpls>
      </n>
      <n v="-43434" in="0">
        <tpls c="5">
          <tpl fld="1" item="3"/>
          <tpl fld="2" item="12"/>
          <tpl hier="10" item="1"/>
          <tpl hier="11" item="10"/>
          <tpl fld="0" item="1"/>
        </tpls>
      </n>
      <m in="0">
        <tpls c="4">
          <tpl fld="2" item="9"/>
          <tpl hier="10" item="1"/>
          <tpl hier="11" item="10"/>
          <tpl fld="0" item="0"/>
        </tpls>
      </m>
      <m in="0">
        <tpls c="5">
          <tpl fld="1" item="2"/>
          <tpl fld="2" item="1"/>
          <tpl hier="10" item="1"/>
          <tpl hier="11" item="10"/>
          <tpl fld="0" item="0"/>
        </tpls>
      </m>
      <m in="0">
        <tpls c="4">
          <tpl fld="2" item="14"/>
          <tpl hier="10" item="1"/>
          <tpl hier="11" item="10"/>
          <tpl fld="0" item="0"/>
        </tpls>
      </m>
      <n v="-224963" in="0">
        <tpls c="5">
          <tpl fld="1" item="2"/>
          <tpl fld="2" item="10"/>
          <tpl hier="10" item="1"/>
          <tpl hier="11" item="10"/>
          <tpl fld="0" item="1"/>
        </tpls>
      </n>
      <n v="-461449" in="0">
        <tpls c="5">
          <tpl fld="1" item="6"/>
          <tpl fld="2" item="8"/>
          <tpl hier="10" item="1"/>
          <tpl hier="11" item="10"/>
          <tpl fld="0" item="1"/>
        </tpls>
      </n>
      <m in="0">
        <tpls c="4">
          <tpl fld="2" item="1"/>
          <tpl hier="10" item="1"/>
          <tpl hier="11" item="10"/>
          <tpl fld="0" item="0"/>
        </tpls>
      </m>
      <n v="-163033" in="0">
        <tpls c="5">
          <tpl fld="1" item="8"/>
          <tpl fld="2" item="6"/>
          <tpl hier="10" item="1"/>
          <tpl hier="11" item="10"/>
          <tpl fld="0" item="1"/>
        </tpls>
      </n>
      <m in="0">
        <tpls c="4">
          <tpl fld="2" item="8"/>
          <tpl hier="10" item="1"/>
          <tpl hier="11" item="10"/>
          <tpl fld="0" item="0"/>
        </tpls>
      </m>
      <n v="2711694" in="0">
        <tpls c="5">
          <tpl fld="1" item="1"/>
          <tpl hier="9" item="4294967295"/>
          <tpl hier="10" item="1"/>
          <tpl hier="11" item="10"/>
          <tpl fld="0" item="1"/>
        </tpls>
      </n>
      <m in="0">
        <tpls c="5">
          <tpl fld="1" item="8"/>
          <tpl fld="2" item="4"/>
          <tpl hier="10" item="1"/>
          <tpl hier="11" item="10"/>
          <tpl fld="0" item="0"/>
        </tpls>
      </m>
      <n v="-367663" in="0">
        <tpls c="5">
          <tpl fld="1" item="4"/>
          <tpl fld="2" item="8"/>
          <tpl hier="10" item="1"/>
          <tpl hier="11" item="10"/>
          <tpl fld="0" item="1"/>
        </tpls>
      </n>
      <m in="0">
        <tpls c="5">
          <tpl fld="1" item="7"/>
          <tpl fld="2" item="10"/>
          <tpl hier="10" item="1"/>
          <tpl hier="11" item="10"/>
          <tpl fld="0" item="0"/>
        </tpls>
      </m>
      <m in="0">
        <tpls c="5">
          <tpl fld="1" item="1"/>
          <tpl fld="2" item="15"/>
          <tpl hier="10" item="1"/>
          <tpl hier="11" item="10"/>
          <tpl fld="0" item="0"/>
        </tpls>
      </m>
      <m in="0">
        <tpls c="5">
          <tpl fld="1" item="2"/>
          <tpl fld="2" item="5"/>
          <tpl hier="10" item="1"/>
          <tpl hier="11" item="10"/>
          <tpl fld="0" item="0"/>
        </tpls>
      </m>
      <m in="0">
        <tpls c="5">
          <tpl fld="1" item="10"/>
          <tpl hier="9" item="4294967295"/>
          <tpl hier="10" item="1"/>
          <tpl hier="11" item="10"/>
          <tpl fld="0" item="0"/>
        </tpls>
      </m>
      <n v="-6287" in="0">
        <tpls c="5">
          <tpl fld="1" item="2"/>
          <tpl fld="2" item="5"/>
          <tpl hier="10" item="1"/>
          <tpl hier="11" item="10"/>
          <tpl fld="0" item="1"/>
        </tpls>
      </n>
      <n v="-34793" in="0">
        <tpls c="5">
          <tpl fld="1" item="8"/>
          <tpl fld="2" item="13"/>
          <tpl hier="10" item="1"/>
          <tpl hier="11" item="10"/>
          <tpl fld="0" item="1"/>
        </tpls>
      </n>
      <n v="-32554" in="0">
        <tpls c="5">
          <tpl fld="1" item="6"/>
          <tpl fld="2" item="15"/>
          <tpl hier="10" item="1"/>
          <tpl hier="11" item="10"/>
          <tpl fld="0" item="1"/>
        </tpls>
      </n>
      <n v="-16456" in="0">
        <tpls c="5">
          <tpl fld="1" item="7"/>
          <tpl fld="2" item="3"/>
          <tpl hier="10" item="1"/>
          <tpl hier="11" item="10"/>
          <tpl fld="0" item="1"/>
        </tpls>
      </n>
      <n v="-408704" in="0">
        <tpls c="5">
          <tpl fld="1" item="9"/>
          <tpl fld="2" item="14"/>
          <tpl hier="10" item="1"/>
          <tpl hier="11" item="10"/>
          <tpl fld="0" item="1"/>
        </tpls>
      </n>
      <m in="0">
        <tpls c="5">
          <tpl fld="1" item="7"/>
          <tpl fld="2" item="2"/>
          <tpl hier="10" item="1"/>
          <tpl hier="11" item="10"/>
          <tpl fld="0" item="0"/>
        </tpls>
      </m>
      <n v="-49586" in="0">
        <tpls c="4">
          <tpl fld="2" item="2"/>
          <tpl hier="10" item="1"/>
          <tpl hier="11" item="10"/>
          <tpl fld="0" item="1"/>
        </tpls>
      </n>
      <m in="0">
        <tpls c="5">
          <tpl fld="1" item="7"/>
          <tpl fld="2" item="15"/>
          <tpl hier="10" item="1"/>
          <tpl hier="11" item="10"/>
          <tpl fld="0" item="0"/>
        </tpls>
      </m>
      <m in="0">
        <tpls c="5">
          <tpl fld="1" item="0"/>
          <tpl fld="2" item="0"/>
          <tpl hier="10" item="1"/>
          <tpl hier="11" item="10"/>
          <tpl fld="0" item="0"/>
        </tpls>
      </m>
      <n v="-2118947" in="0">
        <tpls c="5">
          <tpl fld="1" item="4"/>
          <tpl fld="2" item="7"/>
          <tpl hier="10" item="1"/>
          <tpl hier="11" item="10"/>
          <tpl fld="0" item="1"/>
        </tpls>
      </n>
      <n v="-12860" in="0">
        <tpls c="5">
          <tpl fld="1" item="0"/>
          <tpl fld="2" item="1"/>
          <tpl hier="10" item="1"/>
          <tpl hier="11" item="10"/>
          <tpl fld="0" item="1"/>
        </tpls>
      </n>
      <n v="-155488" in="0">
        <tpls c="5">
          <tpl fld="1" item="9"/>
          <tpl fld="2" item="6"/>
          <tpl hier="10" item="1"/>
          <tpl hier="11" item="10"/>
          <tpl fld="0" item="1"/>
        </tpls>
      </n>
      <n v="-186499" in="0">
        <tpls c="5">
          <tpl fld="1" item="10"/>
          <tpl fld="2" item="10"/>
          <tpl hier="10" item="1"/>
          <tpl hier="11" item="10"/>
          <tpl fld="0" item="1"/>
        </tpls>
      </n>
      <m in="0">
        <tpls c="5">
          <tpl fld="1" item="0"/>
          <tpl fld="2" item="1"/>
          <tpl hier="10" item="1"/>
          <tpl hier="11" item="10"/>
          <tpl fld="0" item="0"/>
        </tpls>
      </m>
      <m in="0">
        <tpls c="5">
          <tpl fld="1" item="1"/>
          <tpl fld="2" item="1"/>
          <tpl hier="10" item="1"/>
          <tpl hier="11" item="10"/>
          <tpl fld="0" item="0"/>
        </tpls>
      </m>
      <n v="-40794" in="0">
        <tpls c="5">
          <tpl fld="1" item="1"/>
          <tpl fld="2" item="12"/>
          <tpl hier="10" item="1"/>
          <tpl hier="11" item="10"/>
          <tpl fld="0" item="1"/>
        </tpls>
      </n>
      <m in="0">
        <tpls c="5">
          <tpl fld="1" item="7"/>
          <tpl fld="2" item="0"/>
          <tpl hier="10" item="1"/>
          <tpl hier="11" item="10"/>
          <tpl fld="0" item="0"/>
        </tpls>
      </m>
      <n v="-21527" in="0">
        <tpls c="5">
          <tpl fld="1" item="9"/>
          <tpl fld="2" item="4"/>
          <tpl hier="10" item="1"/>
          <tpl hier="11" item="10"/>
          <tpl fld="0" item="1"/>
        </tpls>
      </n>
      <n v="-151785" in="0">
        <tpls c="5">
          <tpl fld="1" item="3"/>
          <tpl fld="2" item="10"/>
          <tpl hier="10" item="1"/>
          <tpl hier="11" item="10"/>
          <tpl fld="0" item="1"/>
        </tpls>
      </n>
      <m in="0">
        <tpls c="5">
          <tpl fld="1" item="2"/>
          <tpl fld="2" item="4"/>
          <tpl hier="10" item="1"/>
          <tpl hier="11" item="10"/>
          <tpl fld="0" item="0"/>
        </tpls>
      </m>
      <m in="0">
        <tpls c="5">
          <tpl fld="1" item="1"/>
          <tpl hier="9" item="4294967295"/>
          <tpl hier="10" item="1"/>
          <tpl hier="11" item="10"/>
          <tpl fld="0" item="0"/>
        </tpls>
      </m>
      <n v="-539515" in="0">
        <tpls c="5">
          <tpl fld="1" item="11"/>
          <tpl fld="2" item="8"/>
          <tpl hier="10" item="1"/>
          <tpl hier="11" item="10"/>
          <tpl fld="0" item="1"/>
        </tpls>
      </n>
      <n v="-196141" in="0">
        <tpls c="5">
          <tpl fld="1" item="1"/>
          <tpl fld="2" item="6"/>
          <tpl hier="10" item="1"/>
          <tpl hier="11" item="10"/>
          <tpl fld="0" item="1"/>
        </tpls>
      </n>
      <n v="-2775891" in="0">
        <tpls c="5">
          <tpl fld="1" item="0"/>
          <tpl fld="2" item="7"/>
          <tpl hier="10" item="1"/>
          <tpl hier="11" item="10"/>
          <tpl fld="0" item="1"/>
        </tpls>
      </n>
      <m in="0">
        <tpls c="5">
          <tpl fld="1" item="1"/>
          <tpl fld="2" item="5"/>
          <tpl hier="10" item="1"/>
          <tpl hier="11" item="10"/>
          <tpl fld="0" item="0"/>
        </tpls>
      </m>
      <m in="0">
        <tpls c="5">
          <tpl fld="1" item="0"/>
          <tpl fld="2" item="7"/>
          <tpl hier="10" item="1"/>
          <tpl hier="11" item="10"/>
          <tpl fld="0" item="0"/>
        </tpls>
      </m>
      <n v="-2912" in="0">
        <tpls c="5">
          <tpl fld="1" item="7"/>
          <tpl fld="2" item="2"/>
          <tpl hier="10" item="1"/>
          <tpl hier="11" item="10"/>
          <tpl fld="0" item="1"/>
        </tpls>
      </n>
      <n v="14830656" in="0">
        <tpls c="5">
          <tpl fld="1" item="8"/>
          <tpl hier="9" item="4294967295"/>
          <tpl hier="10" item="1"/>
          <tpl hier="11" item="10"/>
          <tpl fld="0" item="1"/>
        </tpls>
      </n>
      <m in="0">
        <tpls c="5">
          <tpl fld="1" item="1"/>
          <tpl fld="2" item="9"/>
          <tpl hier="10" item="1"/>
          <tpl hier="11" item="10"/>
          <tpl fld="0" item="0"/>
        </tpls>
      </m>
      <n v="-3023690" in="0">
        <tpls c="5">
          <tpl fld="1" item="2"/>
          <tpl fld="2" item="7"/>
          <tpl hier="10" item="1"/>
          <tpl hier="11" item="10"/>
          <tpl fld="0" item="1"/>
        </tpls>
      </n>
      <m in="0">
        <tpls c="5">
          <tpl fld="1" item="8"/>
          <tpl fld="2" item="2"/>
          <tpl hier="10" item="1"/>
          <tpl hier="11" item="10"/>
          <tpl fld="0" item="0"/>
        </tpls>
      </m>
      <n v="-11755" in="0">
        <tpls c="5">
          <tpl fld="1" item="6"/>
          <tpl fld="2" item="5"/>
          <tpl hier="10" item="1"/>
          <tpl hier="11" item="10"/>
          <tpl fld="0" item="1"/>
        </tpls>
      </n>
      <m in="0">
        <tpls c="5">
          <tpl fld="1" item="8"/>
          <tpl fld="2" item="7"/>
          <tpl hier="10" item="1"/>
          <tpl hier="11" item="10"/>
          <tpl fld="0" item="0"/>
        </tpls>
      </m>
      <m in="0">
        <tpls c="5">
          <tpl fld="1" item="4"/>
          <tpl fld="2" item="12"/>
          <tpl hier="10" item="1"/>
          <tpl hier="11" item="10"/>
          <tpl fld="0" item="0"/>
        </tpls>
      </m>
      <m in="0">
        <tpls c="5">
          <tpl fld="1" item="7"/>
          <tpl fld="2" item="7"/>
          <tpl hier="10" item="1"/>
          <tpl hier="11" item="10"/>
          <tpl fld="0" item="0"/>
        </tpls>
      </m>
      <n v="-12880" in="0">
        <tpls c="5">
          <tpl fld="1" item="4"/>
          <tpl fld="2" item="1"/>
          <tpl hier="10" item="1"/>
          <tpl hier="11" item="10"/>
          <tpl fld="0" item="1"/>
        </tpls>
      </n>
      <m in="0">
        <tpls c="5">
          <tpl fld="1" item="6"/>
          <tpl fld="2" item="11"/>
          <tpl hier="10" item="1"/>
          <tpl hier="11" item="10"/>
          <tpl fld="0" item="0"/>
        </tpls>
      </m>
      <m in="0">
        <tpls c="5">
          <tpl fld="1" item="2"/>
          <tpl fld="2" item="13"/>
          <tpl hier="10" item="1"/>
          <tpl hier="11" item="10"/>
          <tpl fld="0" item="0"/>
        </tpls>
      </m>
      <m in="0">
        <tpls c="5">
          <tpl fld="1" item="4"/>
          <tpl fld="2" item="5"/>
          <tpl hier="10" item="1"/>
          <tpl hier="11" item="10"/>
          <tpl fld="0" item="0"/>
        </tpls>
      </m>
      <n v="-843341" in="0">
        <tpls c="5">
          <tpl fld="1" item="10"/>
          <tpl fld="2" item="14"/>
          <tpl hier="10" item="1"/>
          <tpl hier="11" item="10"/>
          <tpl fld="0" item="1"/>
        </tpls>
      </n>
      <n v="-1966364" in="0">
        <tpls c="4">
          <tpl fld="2" item="6"/>
          <tpl hier="10" item="1"/>
          <tpl hier="11" item="10"/>
          <tpl fld="0" item="1"/>
        </tpls>
      </n>
      <n v="9189975" in="0">
        <tpls c="5">
          <tpl fld="1" item="6"/>
          <tpl hier="9" item="4294967295"/>
          <tpl hier="10" item="1"/>
          <tpl hier="11" item="10"/>
          <tpl fld="0" item="1"/>
        </tpls>
      </n>
      <m in="0">
        <tpls c="5">
          <tpl fld="1" item="11"/>
          <tpl fld="2" item="15"/>
          <tpl hier="10" item="1"/>
          <tpl hier="11" item="10"/>
          <tpl fld="0" item="0"/>
        </tpls>
      </m>
      <n v="-199915" in="0">
        <tpls c="5">
          <tpl fld="1" item="0"/>
          <tpl fld="2" item="10"/>
          <tpl hier="10" item="1"/>
          <tpl hier="11" item="10"/>
          <tpl fld="0" item="1"/>
        </tpls>
      </n>
      <m in="0">
        <tpls c="5">
          <tpl fld="1" item="7"/>
          <tpl fld="2" item="1"/>
          <tpl hier="10" item="1"/>
          <tpl hier="11" item="10"/>
          <tpl fld="0" item="0"/>
        </tpls>
      </m>
      <n v="-22697" in="0">
        <tpls c="5">
          <tpl fld="1" item="4"/>
          <tpl fld="2" item="3"/>
          <tpl hier="10" item="1"/>
          <tpl hier="11" item="10"/>
          <tpl fld="0" item="1"/>
        </tpls>
      </n>
      <m in="0">
        <tpls c="5">
          <tpl fld="1" item="6"/>
          <tpl fld="2" item="7"/>
          <tpl hier="10" item="1"/>
          <tpl hier="11" item="10"/>
          <tpl fld="0" item="0"/>
        </tpls>
      </m>
      <m in="0">
        <tpls c="5">
          <tpl fld="1" item="1"/>
          <tpl fld="2" item="13"/>
          <tpl hier="10" item="1"/>
          <tpl hier="11" item="10"/>
          <tpl fld="0" item="0"/>
        </tpls>
      </m>
      <n v="-485667" in="0">
        <tpls c="5">
          <tpl fld="1" item="4"/>
          <tpl fld="2" item="14"/>
          <tpl hier="10" item="1"/>
          <tpl hier="11" item="10"/>
          <tpl fld="0" item="1"/>
        </tpls>
      </n>
      <n v="82718055" in="0">
        <tpls c="4">
          <tpl hier="9" item="4294967295"/>
          <tpl hier="10" item="1"/>
          <tpl hier="11" item="10"/>
          <tpl fld="0" item="1"/>
        </tpls>
      </n>
      <n v="-4537" in="0">
        <tpls c="5">
          <tpl fld="1" item="0"/>
          <tpl fld="2" item="11"/>
          <tpl hier="10" item="1"/>
          <tpl hier="11" item="10"/>
          <tpl fld="0" item="1"/>
        </tpls>
      </n>
      <m in="0">
        <tpls c="5">
          <tpl fld="1" item="2"/>
          <tpl fld="2" item="7"/>
          <tpl hier="10" item="1"/>
          <tpl hier="11" item="10"/>
          <tpl fld="0" item="0"/>
        </tpls>
      </m>
      <n v="-231516" in="0">
        <tpls c="5">
          <tpl fld="1" item="4"/>
          <tpl fld="2" item="10"/>
          <tpl hier="10" item="1"/>
          <tpl hier="11" item="10"/>
          <tpl fld="0" item="1"/>
        </tpls>
      </n>
      <n v="-52548" in="0">
        <tpls c="5">
          <tpl fld="1" item="11"/>
          <tpl fld="2" item="12"/>
          <tpl hier="10" item="1"/>
          <tpl hier="11" item="10"/>
          <tpl fld="0" item="1"/>
        </tpls>
      </n>
      <n v="-4301413" in="0">
        <tpls c="5">
          <tpl fld="1" item="6"/>
          <tpl fld="2" item="7"/>
          <tpl hier="10" item="1"/>
          <tpl hier="11" item="10"/>
          <tpl fld="0" item="1"/>
        </tpls>
      </n>
      <n v="-58022" in="0">
        <tpls c="4">
          <tpl fld="2" item="11"/>
          <tpl hier="10" item="1"/>
          <tpl hier="11" item="10"/>
          <tpl fld="0" item="1"/>
        </tpls>
      </n>
      <m in="0">
        <tpls c="5">
          <tpl fld="1" item="4"/>
          <tpl fld="2" item="10"/>
          <tpl hier="10" item="1"/>
          <tpl hier="11" item="10"/>
          <tpl fld="0" item="0"/>
        </tpls>
      </m>
      <m in="0">
        <tpls c="4">
          <tpl fld="2" item="2"/>
          <tpl hier="10" item="1"/>
          <tpl hier="11" item="10"/>
          <tpl fld="0" item="0"/>
        </tpls>
      </m>
      <m in="0">
        <tpls c="5">
          <tpl fld="1" item="7"/>
          <tpl fld="2" item="14"/>
          <tpl hier="10" item="1"/>
          <tpl hier="11" item="10"/>
          <tpl fld="0" item="0"/>
        </tpls>
      </m>
      <m in="0">
        <tpls c="4">
          <tpl fld="2" item="7"/>
          <tpl hier="10" item="1"/>
          <tpl hier="11" item="10"/>
          <tpl fld="0" item="0"/>
        </tpls>
      </m>
      <m in="0">
        <tpls c="5">
          <tpl fld="1" item="5"/>
          <tpl fld="2" item="13"/>
          <tpl hier="10" item="1"/>
          <tpl hier="11" item="10"/>
          <tpl fld="0" item="0"/>
        </tpls>
      </m>
      <n v="-154750" in="0">
        <tpls c="4">
          <tpl fld="2" item="1"/>
          <tpl hier="10" item="1"/>
          <tpl hier="11" item="10"/>
          <tpl fld="0" item="1"/>
        </tpls>
      </n>
      <n v="-44119" in="0">
        <tpls c="5">
          <tpl fld="1" item="0"/>
          <tpl fld="2" item="12"/>
          <tpl hier="10" item="1"/>
          <tpl hier="11" item="10"/>
          <tpl fld="0" item="1"/>
        </tpls>
      </n>
      <n v="-309493" in="0">
        <tpls c="5">
          <tpl fld="1" item="2"/>
          <tpl fld="2" item="8"/>
          <tpl hier="10" item="1"/>
          <tpl hier="11" item="10"/>
          <tpl fld="0" item="1"/>
        </tpls>
      </n>
      <n v="-2013815" in="0">
        <tpls c="5">
          <tpl fld="1" item="7"/>
          <tpl fld="2" item="0"/>
          <tpl hier="10" item="1"/>
          <tpl hier="11" item="10"/>
          <tpl fld="0" item="1"/>
        </tpls>
      </n>
      <n v="-33461754" in="0">
        <tpls c="4">
          <tpl fld="2" item="7"/>
          <tpl hier="10" item="1"/>
          <tpl hier="11" item="10"/>
          <tpl fld="0" item="1"/>
        </tpls>
      </n>
      <n v="-47888" in="0">
        <tpls c="5">
          <tpl fld="1" item="5"/>
          <tpl fld="2" item="13"/>
          <tpl hier="10" item="1"/>
          <tpl hier="11" item="10"/>
          <tpl fld="0" item="1"/>
        </tpls>
      </n>
      <m in="0">
        <tpls c="4">
          <tpl fld="2" item="6"/>
          <tpl hier="10" item="1"/>
          <tpl hier="11" item="10"/>
          <tpl fld="0" item="0"/>
        </tpls>
      </m>
      <m in="0">
        <tpls c="5">
          <tpl fld="1" item="11"/>
          <tpl fld="2" item="11"/>
          <tpl hier="10" item="1"/>
          <tpl hier="11" item="10"/>
          <tpl fld="0" item="0"/>
        </tpls>
      </m>
      <n v="-22085" in="0">
        <tpls c="5">
          <tpl fld="1" item="11"/>
          <tpl fld="2" item="3"/>
          <tpl hier="10" item="1"/>
          <tpl hier="11" item="10"/>
          <tpl fld="0" item="1"/>
        </tpls>
      </n>
      <m in="0">
        <tpls c="4">
          <tpl fld="2" item="10"/>
          <tpl hier="10" item="1"/>
          <tpl hier="11" item="10"/>
          <tpl fld="0" item="0"/>
        </tpls>
      </m>
      <m in="0">
        <tpls c="5">
          <tpl fld="1" item="11"/>
          <tpl fld="2" item="9"/>
          <tpl hier="10" item="1"/>
          <tpl hier="11" item="10"/>
          <tpl fld="0" item="0"/>
        </tpls>
      </m>
      <m in="0">
        <tpls c="4">
          <tpl fld="2" item="0"/>
          <tpl hier="10" item="1"/>
          <tpl hier="11" item="10"/>
          <tpl fld="0" item="0"/>
        </tpls>
      </m>
      <n v="-12890" in="0">
        <tpls c="5">
          <tpl fld="1" item="8"/>
          <tpl fld="2" item="1"/>
          <tpl hier="10" item="1"/>
          <tpl hier="11" item="10"/>
          <tpl fld="0" item="1"/>
        </tpls>
      </n>
      <n v="-130343" in="0">
        <tpls c="4">
          <tpl fld="2" item="5"/>
          <tpl hier="10" item="1"/>
          <tpl hier="11" item="10"/>
          <tpl fld="0" item="1"/>
        </tpls>
      </n>
      <n v="-2208714" in="0">
        <tpls c="4">
          <tpl fld="2" item="10"/>
          <tpl hier="10" item="1"/>
          <tpl hier="11" item="10"/>
          <tpl fld="0" item="1"/>
        </tpls>
      </n>
      <m in="0">
        <tpls c="5">
          <tpl fld="1" item="11"/>
          <tpl fld="2" item="5"/>
          <tpl hier="10" item="1"/>
          <tpl hier="11" item="10"/>
          <tpl fld="0" item="0"/>
        </tpls>
      </m>
      <m in="0">
        <tpls c="4">
          <tpl fld="2" item="3"/>
          <tpl hier="10" item="1"/>
          <tpl hier="11" item="10"/>
          <tpl fld="0" item="0"/>
        </tpls>
      </m>
      <n v="-19823" in="0">
        <tpls c="5">
          <tpl fld="1" item="8"/>
          <tpl fld="2" item="4"/>
          <tpl hier="10" item="1"/>
          <tpl hier="11" item="10"/>
          <tpl fld="0" item="1"/>
        </tpls>
      </n>
      <m in="0">
        <tpls c="5">
          <tpl fld="1" item="11"/>
          <tpl fld="2" item="10"/>
          <tpl hier="10" item="1"/>
          <tpl hier="11" item="10"/>
          <tpl fld="0" item="0"/>
        </tpls>
      </m>
      <n v="10721573" in="0">
        <tpls c="5">
          <tpl fld="1" item="9"/>
          <tpl hier="9" item="4294967295"/>
          <tpl hier="10" item="1"/>
          <tpl hier="11" item="10"/>
          <tpl fld="0" item="1"/>
        </tpls>
      </n>
      <m in="0">
        <tpls c="5">
          <tpl fld="1" item="3"/>
          <tpl fld="2" item="3"/>
          <tpl hier="10" item="1"/>
          <tpl hier="11" item="10"/>
          <tpl fld="0" item="0"/>
        </tpls>
      </m>
      <m in="0">
        <tpls c="5">
          <tpl fld="1" item="9"/>
          <tpl fld="2" item="2"/>
          <tpl hier="10" item="1"/>
          <tpl hier="11" item="10"/>
          <tpl fld="0" item="0"/>
        </tpls>
      </m>
      <m in="0">
        <tpls c="5">
          <tpl fld="1" item="11"/>
          <tpl fld="2" item="2"/>
          <tpl hier="10" item="1"/>
          <tpl hier="11" item="10"/>
          <tpl fld="0" item="0"/>
        </tpls>
      </m>
      <m in="0">
        <tpls c="5">
          <tpl fld="1" item="10"/>
          <tpl fld="2" item="11"/>
          <tpl hier="10" item="1"/>
          <tpl hier="11" item="10"/>
          <tpl fld="0" item="0"/>
        </tpls>
      </m>
      <n v="-13716" in="0">
        <tpls c="5">
          <tpl fld="1" item="1"/>
          <tpl fld="2" item="3"/>
          <tpl hier="10" item="1"/>
          <tpl hier="11" item="10"/>
          <tpl fld="0" item="1"/>
        </tpls>
      </n>
      <n v="-39793" in="0">
        <tpls c="5">
          <tpl fld="1" item="2"/>
          <tpl fld="2" item="12"/>
          <tpl hier="10" item="1"/>
          <tpl hier="11" item="10"/>
          <tpl fld="0" item="1"/>
        </tpls>
      </n>
      <m in="0">
        <tpls c="4">
          <tpl fld="2" item="4"/>
          <tpl hier="10" item="1"/>
          <tpl hier="11" item="10"/>
          <tpl fld="0" item="0"/>
        </tpls>
      </m>
      <m in="0">
        <tpls c="5">
          <tpl fld="1" item="5"/>
          <tpl fld="2" item="8"/>
          <tpl hier="10" item="1"/>
          <tpl hier="11" item="10"/>
          <tpl fld="0" item="0"/>
        </tpls>
      </m>
      <m in="0">
        <tpls c="5">
          <tpl fld="1" item="1"/>
          <tpl fld="2" item="12"/>
          <tpl hier="10" item="1"/>
          <tpl hier="11" item="10"/>
          <tpl fld="0" item="0"/>
        </tpls>
      </m>
      <n v="7396807" in="0">
        <tpls c="5">
          <tpl fld="1" item="2"/>
          <tpl hier="9" item="4294967295"/>
          <tpl hier="10" item="1"/>
          <tpl hier="11" item="10"/>
          <tpl fld="0" item="1"/>
        </tpls>
      </n>
      <m in="0">
        <tpls c="5">
          <tpl fld="1" item="0"/>
          <tpl fld="2" item="15"/>
          <tpl hier="10" item="1"/>
          <tpl hier="11" item="10"/>
          <tpl fld="0" item="0"/>
        </tpls>
      </m>
      <n v="-422305" in="0">
        <tpls c="5">
          <tpl fld="1" item="10"/>
          <tpl fld="2" item="8"/>
          <tpl hier="10" item="1"/>
          <tpl hier="11" item="10"/>
          <tpl fld="0" item="1"/>
        </tpls>
      </n>
      <m in="0">
        <tpls c="5">
          <tpl fld="1" item="4"/>
          <tpl fld="2" item="11"/>
          <tpl hier="10" item="1"/>
          <tpl hier="11" item="10"/>
          <tpl fld="0" item="0"/>
        </tpls>
      </m>
      <m in="0">
        <tpls c="5">
          <tpl fld="1" item="11"/>
          <tpl fld="2" item="12"/>
          <tpl hier="10" item="1"/>
          <tpl hier="11" item="10"/>
          <tpl fld="0" item="0"/>
        </tpls>
      </m>
      <m in="0">
        <tpls c="5">
          <tpl fld="1" item="5"/>
          <tpl fld="2" item="12"/>
          <tpl hier="10" item="1"/>
          <tpl hier="11" item="10"/>
          <tpl fld="0" item="0"/>
        </tpls>
      </m>
      <n v="-38903" in="0">
        <tpls c="5">
          <tpl fld="1" item="2"/>
          <tpl fld="2" item="15"/>
          <tpl hier="10" item="1"/>
          <tpl hier="11" item="10"/>
          <tpl fld="0" item="1"/>
        </tpls>
      </n>
      <m in="0">
        <tpls c="5">
          <tpl fld="1" item="6"/>
          <tpl fld="2" item="6"/>
          <tpl hier="10" item="1"/>
          <tpl hier="11" item="10"/>
          <tpl fld="0" item="0"/>
        </tpls>
      </m>
      <m in="0">
        <tpls c="5">
          <tpl fld="1" item="8"/>
          <tpl fld="2" item="1"/>
          <tpl hier="10" item="1"/>
          <tpl hier="11" item="10"/>
          <tpl fld="0" item="0"/>
        </tpls>
      </m>
      <m in="0">
        <tpls c="5">
          <tpl fld="1" item="9"/>
          <tpl fld="2" item="9"/>
          <tpl hier="10" item="1"/>
          <tpl hier="11" item="10"/>
          <tpl fld="0" item="0"/>
        </tpls>
      </m>
      <m in="0">
        <tpls c="5">
          <tpl fld="1" item="9"/>
          <tpl fld="2" item="15"/>
          <tpl hier="10" item="1"/>
          <tpl hier="11" item="10"/>
          <tpl fld="0" item="0"/>
        </tpls>
      </m>
      <n v="-5097" in="0">
        <tpls c="5">
          <tpl fld="1" item="2"/>
          <tpl fld="2" item="11"/>
          <tpl hier="10" item="1"/>
          <tpl hier="11" item="10"/>
          <tpl fld="0" item="1"/>
        </tpls>
      </n>
      <m in="0">
        <tpls c="5">
          <tpl fld="1" item="4"/>
          <tpl fld="2" item="14"/>
          <tpl hier="10" item="1"/>
          <tpl hier="11" item="10"/>
          <tpl fld="0" item="0"/>
        </tpls>
      </m>
      <m in="0">
        <tpls c="5">
          <tpl fld="1" item="2"/>
          <tpl fld="2" item="0"/>
          <tpl hier="10" item="1"/>
          <tpl hier="11" item="10"/>
          <tpl fld="0" item="0"/>
        </tpls>
      </m>
      <n v="-12790" in="0">
        <tpls c="5">
          <tpl fld="1" item="11"/>
          <tpl fld="2" item="1"/>
          <tpl hier="10" item="1"/>
          <tpl hier="11" item="10"/>
          <tpl fld="0" item="1"/>
        </tpls>
      </n>
      <m in="0">
        <tpls c="5">
          <tpl fld="1" item="5"/>
          <tpl fld="2" item="0"/>
          <tpl hier="10" item="1"/>
          <tpl hier="11" item="10"/>
          <tpl fld="0" item="0"/>
        </tpls>
      </m>
      <n v="8040079" in="0">
        <tpls c="5">
          <tpl fld="1" item="11"/>
          <tpl fld="2" item="9"/>
          <tpl hier="10" item="1"/>
          <tpl hier="11" item="10"/>
          <tpl fld="0" item="1"/>
        </tpls>
      </n>
      <m in="0">
        <tpls c="5">
          <tpl fld="1" item="6"/>
          <tpl fld="2" item="4"/>
          <tpl hier="10" item="1"/>
          <tpl hier="11" item="10"/>
          <tpl fld="0" item="0"/>
        </tpls>
      </m>
      <n v="-27118" in="0">
        <tpls c="5">
          <tpl fld="1" item="4"/>
          <tpl fld="2" item="4"/>
          <tpl hier="10" item="1"/>
          <tpl hier="11" item="10"/>
          <tpl fld="0" item="1"/>
        </tpls>
      </n>
      <m in="0">
        <tpls c="5">
          <tpl fld="1" item="3"/>
          <tpl fld="2" item="12"/>
          <tpl hier="10" item="1"/>
          <tpl hier="11" item="10"/>
          <tpl fld="0" item="0"/>
        </tpls>
      </m>
      <m in="0">
        <tpls c="5">
          <tpl fld="1" item="2"/>
          <tpl fld="2" item="11"/>
          <tpl hier="10" item="1"/>
          <tpl hier="11" item="10"/>
          <tpl fld="0" item="0"/>
        </tpls>
      </m>
      <n v="-353412" in="0">
        <tpls c="5">
          <tpl fld="1" item="5"/>
          <tpl fld="2" item="8"/>
          <tpl hier="10" item="1"/>
          <tpl hier="11" item="10"/>
          <tpl fld="0" item="1"/>
        </tpls>
      </n>
      <m in="0">
        <tpls c="5">
          <tpl fld="1" item="7"/>
          <tpl fld="2" item="5"/>
          <tpl hier="10" item="1"/>
          <tpl hier="11" item="10"/>
          <tpl fld="0" item="0"/>
        </tpls>
      </m>
      <n v="-2815990" in="0">
        <tpls c="5">
          <tpl fld="1" item="7"/>
          <tpl fld="2" item="7"/>
          <tpl hier="10" item="1"/>
          <tpl hier="11" item="10"/>
          <tpl fld="0" item="1"/>
        </tpls>
      </n>
      <m in="0">
        <tpls c="5">
          <tpl fld="1" item="2"/>
          <tpl fld="2" item="10"/>
          <tpl hier="10" item="1"/>
          <tpl hier="11" item="10"/>
          <tpl fld="0" item="0"/>
        </tpls>
      </m>
      <n v="-4212" in="0">
        <tpls c="5">
          <tpl fld="1" item="6"/>
          <tpl fld="2" item="11"/>
          <tpl hier="10" item="1"/>
          <tpl hier="11" item="10"/>
          <tpl fld="0" item="1"/>
        </tpls>
      </n>
      <n v="-49616" in="0">
        <tpls c="5">
          <tpl fld="1" item="2"/>
          <tpl fld="2" item="13"/>
          <tpl hier="10" item="1"/>
          <tpl hier="11" item="10"/>
          <tpl fld="0" item="1"/>
        </tpls>
      </n>
      <m in="0">
        <tpls c="5">
          <tpl fld="1" item="4"/>
          <tpl fld="2" item="4"/>
          <tpl hier="10" item="1"/>
          <tpl hier="11" item="10"/>
          <tpl fld="0" item="0"/>
        </tpls>
      </m>
      <n v="-647881" in="0">
        <tpls c="5">
          <tpl fld="1" item="7"/>
          <tpl fld="2" item="14"/>
          <tpl hier="10" item="1"/>
          <tpl hier="11" item="10"/>
          <tpl fld="0" item="1"/>
        </tpls>
      </n>
      <n v="-5345940" in="0">
        <tpls c="4">
          <tpl fld="2" item="8"/>
          <tpl hier="10" item="1"/>
          <tpl hier="11" item="10"/>
          <tpl fld="0" item="1"/>
        </tpls>
      </n>
      <m in="0">
        <tpls c="4">
          <tpl hier="9" item="4294967295"/>
          <tpl hier="10" item="1"/>
          <tpl hier="11" item="10"/>
          <tpl fld="0" item="0"/>
        </tpls>
      </m>
      <m in="0">
        <tpls c="5">
          <tpl fld="1" item="10"/>
          <tpl fld="2" item="15"/>
          <tpl hier="10" item="1"/>
          <tpl hier="11" item="10"/>
          <tpl fld="0" item="0"/>
        </tpls>
      </m>
      <m in="0">
        <tpls c="5">
          <tpl fld="1" item="0"/>
          <tpl fld="2" item="10"/>
          <tpl hier="10" item="1"/>
          <tpl hier="11" item="10"/>
          <tpl fld="0" item="0"/>
        </tpls>
      </m>
      <m in="0">
        <tpls c="5">
          <tpl fld="1" item="2"/>
          <tpl fld="2" item="2"/>
          <tpl hier="10" item="1"/>
          <tpl hier="11" item="10"/>
          <tpl fld="0" item="0"/>
        </tpls>
      </m>
      <m in="0">
        <tpls c="5">
          <tpl fld="1" item="4"/>
          <tpl fld="2" item="13"/>
          <tpl hier="10" item="1"/>
          <tpl hier="11" item="10"/>
          <tpl fld="0" item="0"/>
        </tpls>
      </m>
      <n v="-196595" in="0">
        <tpls c="5">
          <tpl fld="1" item="1"/>
          <tpl fld="2" item="10"/>
          <tpl hier="10" item="1"/>
          <tpl hier="11" item="10"/>
          <tpl fld="0" item="1"/>
        </tpls>
      </n>
      <m in="0">
        <tpls c="4">
          <tpl fld="2" item="11"/>
          <tpl hier="10" item="1"/>
          <tpl hier="11" item="10"/>
          <tpl fld="0" item="0"/>
        </tpls>
      </m>
      <m in="0">
        <tpls c="5">
          <tpl fld="1" item="4"/>
          <tpl fld="2" item="9"/>
          <tpl hier="10" item="1"/>
          <tpl hier="11" item="10"/>
          <tpl fld="0" item="0"/>
        </tpls>
      </m>
      <n v="-236514" in="0">
        <tpls c="4">
          <tpl fld="2" item="3"/>
          <tpl hier="10" item="1"/>
          <tpl hier="11" item="10"/>
          <tpl fld="0" item="1"/>
        </tpls>
      </n>
      <n v="-32225" in="0">
        <tpls c="5">
          <tpl fld="1" item="10"/>
          <tpl fld="2" item="15"/>
          <tpl hier="10" item="1"/>
          <tpl hier="11" item="10"/>
          <tpl fld="0" item="1"/>
        </tpls>
      </n>
      <n v="-528042" in="0">
        <tpls c="5">
          <tpl fld="1" item="1"/>
          <tpl fld="2" item="8"/>
          <tpl hier="10" item="1"/>
          <tpl hier="11" item="10"/>
          <tpl fld="0" item="1"/>
        </tpls>
      </n>
      <n v="-18307" in="0">
        <tpls c="5">
          <tpl fld="1" item="6"/>
          <tpl fld="2" item="3"/>
          <tpl hier="10" item="1"/>
          <tpl hier="11" item="10"/>
          <tpl fld="0" item="1"/>
        </tpls>
      </n>
      <n v="-13069" in="0">
        <tpls c="5">
          <tpl fld="1" item="8"/>
          <tpl fld="2" item="5"/>
          <tpl hier="10" item="1"/>
          <tpl hier="11" item="10"/>
          <tpl fld="0" item="1"/>
        </tpls>
      </n>
      <n v="-239831" in="0">
        <tpls c="5">
          <tpl fld="1" item="5"/>
          <tpl fld="2" item="10"/>
          <tpl hier="10" item="1"/>
          <tpl hier="11" item="10"/>
          <tpl fld="0" item="1"/>
        </tpls>
      </n>
      <n v="-37692" in="0">
        <tpls c="5">
          <tpl fld="1" item="1"/>
          <tpl fld="2" item="13"/>
          <tpl hier="10" item="1"/>
          <tpl hier="11" item="10"/>
          <tpl fld="0" item="1"/>
        </tpls>
      </n>
      <m in="0">
        <tpls c="5">
          <tpl fld="1" item="9"/>
          <tpl fld="2" item="14"/>
          <tpl hier="10" item="1"/>
          <tpl hier="11" item="10"/>
          <tpl fld="0" item="0"/>
        </tpls>
      </m>
      <m in="0">
        <tpls c="5">
          <tpl fld="1" item="0"/>
          <tpl fld="2" item="11"/>
          <tpl hier="10" item="1"/>
          <tpl hier="11" item="10"/>
          <tpl fld="0" item="0"/>
        </tpls>
      </m>
      <n v="-4301" in="0">
        <tpls c="5">
          <tpl fld="1" item="7"/>
          <tpl fld="2" item="11"/>
          <tpl hier="10" item="1"/>
          <tpl hier="11" item="10"/>
          <tpl fld="0" item="1"/>
        </tpls>
      </n>
      <n v="-26947" in="0">
        <tpls c="5">
          <tpl fld="1" item="6"/>
          <tpl fld="2" item="13"/>
          <tpl hier="10" item="1"/>
          <tpl hier="11" item="10"/>
          <tpl fld="0" item="1"/>
        </tpls>
      </n>
      <m in="0">
        <tpls c="5">
          <tpl fld="1" item="6"/>
          <tpl fld="2" item="10"/>
          <tpl hier="10" item="1"/>
          <tpl hier="11" item="10"/>
          <tpl fld="0" item="0"/>
        </tpls>
      </m>
      <m in="0">
        <tpls c="5">
          <tpl fld="1" item="4"/>
          <tpl fld="2" item="0"/>
          <tpl hier="10" item="1"/>
          <tpl hier="11" item="10"/>
          <tpl fld="0" item="0"/>
        </tpls>
      </m>
      <m in="0">
        <tpls c="4">
          <tpl fld="2" item="13"/>
          <tpl hier="10" item="1"/>
          <tpl hier="11" item="10"/>
          <tpl fld="0" item="0"/>
        </tpls>
      </m>
      <n v="-4150" in="0">
        <tpls c="5">
          <tpl fld="1" item="3"/>
          <tpl fld="2" item="2"/>
          <tpl hier="10" item="1"/>
          <tpl hier="11" item="10"/>
          <tpl fld="0" item="1"/>
        </tpls>
      </n>
      <n v="-2765256" in="0">
        <tpls c="5">
          <tpl fld="1" item="1"/>
          <tpl fld="2" item="0"/>
          <tpl hier="10" item="1"/>
          <tpl hier="11" item="10"/>
          <tpl fld="0" item="1"/>
        </tpls>
      </n>
      <n v="-153196" in="0">
        <tpls c="5">
          <tpl fld="1" item="6"/>
          <tpl fld="2" item="10"/>
          <tpl hier="10" item="1"/>
          <tpl hier="11" item="10"/>
          <tpl fld="0" item="1"/>
        </tpls>
      </n>
      <m in="0">
        <tpls c="5">
          <tpl fld="1" item="4"/>
          <tpl fld="2" item="1"/>
          <tpl hier="10" item="1"/>
          <tpl hier="11" item="10"/>
          <tpl fld="0" item="0"/>
        </tpls>
      </m>
      <n v="-2138939" in="0">
        <tpls c="5">
          <tpl fld="1" item="3"/>
          <tpl fld="2" item="7"/>
          <tpl hier="10" item="1"/>
          <tpl hier="11" item="10"/>
          <tpl fld="0" item="1"/>
        </tpls>
      </n>
      <m in="0">
        <tpls c="5">
          <tpl fld="1" item="8"/>
          <tpl fld="2" item="8"/>
          <tpl hier="10" item="1"/>
          <tpl hier="11" item="10"/>
          <tpl fld="0" item="0"/>
        </tpls>
      </m>
      <m in="0">
        <tpls c="5">
          <tpl fld="1" item="9"/>
          <tpl fld="2" item="13"/>
          <tpl hier="10" item="1"/>
          <tpl hier="11" item="10"/>
          <tpl fld="0" item="0"/>
        </tpls>
      </m>
      <m in="0">
        <tpls c="5">
          <tpl fld="1" item="2"/>
          <tpl hier="9" item="4294967295"/>
          <tpl hier="10" item="1"/>
          <tpl hier="11" item="10"/>
          <tpl fld="0" item="0"/>
        </tpls>
      </m>
      <n v="-38533" in="0">
        <tpls c="5">
          <tpl fld="1" item="0"/>
          <tpl fld="2" item="13"/>
          <tpl hier="10" item="1"/>
          <tpl hier="11" item="10"/>
          <tpl fld="0" item="1"/>
        </tpls>
      </n>
      <n v="-12404" in="0">
        <tpls c="5">
          <tpl fld="1" item="1"/>
          <tpl fld="2" item="5"/>
          <tpl hier="10" item="1"/>
          <tpl hier="11" item="10"/>
          <tpl fld="0" item="1"/>
        </tpls>
      </n>
      <m in="0">
        <tpls c="5">
          <tpl fld="1" item="4"/>
          <tpl fld="2" item="2"/>
          <tpl hier="10" item="1"/>
          <tpl hier="11" item="10"/>
          <tpl fld="0" item="0"/>
        </tpls>
      </m>
      <n v="-52902" in="0">
        <tpls c="5">
          <tpl fld="1" item="9"/>
          <tpl fld="2" item="13"/>
          <tpl hier="10" item="1"/>
          <tpl hier="11" item="10"/>
          <tpl fld="0" item="1"/>
        </tpls>
      </n>
      <n v="9923912" in="0">
        <tpls c="5">
          <tpl fld="1" item="0"/>
          <tpl hier="9" item="4294967295"/>
          <tpl hier="10" item="1"/>
          <tpl hier="11" item="10"/>
          <tpl fld="0" item="1"/>
        </tpls>
      </n>
      <m in="0">
        <tpls c="5">
          <tpl fld="1" item="4"/>
          <tpl fld="2" item="6"/>
          <tpl hier="10" item="1"/>
          <tpl hier="11" item="10"/>
          <tpl fld="0" item="0"/>
        </tpls>
      </m>
      <n v="-5751" in="0">
        <tpls c="5">
          <tpl fld="1" item="4"/>
          <tpl fld="2" item="2"/>
          <tpl hier="10" item="1"/>
          <tpl hier="11" item="10"/>
          <tpl fld="0" item="1"/>
        </tpls>
      </n>
      <n v="-38067" in="0">
        <tpls c="5">
          <tpl fld="1" item="4"/>
          <tpl fld="2" item="12"/>
          <tpl hier="10" item="1"/>
          <tpl hier="11" item="10"/>
          <tpl fld="0" item="1"/>
        </tpls>
      </n>
      <m in="0">
        <tpls c="5">
          <tpl fld="1" item="6"/>
          <tpl fld="2" item="14"/>
          <tpl hier="10" item="1"/>
          <tpl hier="11" item="10"/>
          <tpl fld="0" item="0"/>
        </tpls>
      </m>
      <n v="-354202" in="0">
        <tpls c="5">
          <tpl fld="1" item="7"/>
          <tpl fld="2" item="8"/>
          <tpl hier="10" item="1"/>
          <tpl hier="11" item="10"/>
          <tpl fld="0" item="1"/>
        </tpls>
      </n>
      <n v="-298718" in="0">
        <tpls c="5">
          <tpl fld="1" item="6"/>
          <tpl fld="2" item="14"/>
          <tpl hier="10" item="1"/>
          <tpl hier="11" item="10"/>
          <tpl fld="0" item="1"/>
        </tpls>
      </n>
      <n v="-3702594" in="0">
        <tpls c="5">
          <tpl fld="1" item="11"/>
          <tpl fld="2" item="7"/>
          <tpl hier="10" item="1"/>
          <tpl hier="11" item="10"/>
          <tpl fld="0" item="1"/>
        </tpls>
      </n>
      <m in="0">
        <tpls c="5">
          <tpl fld="1" item="6"/>
          <tpl fld="2" item="8"/>
          <tpl hier="10" item="1"/>
          <tpl hier="11" item="10"/>
          <tpl fld="0" item="0"/>
        </tpls>
      </m>
      <m in="0">
        <tpls c="5">
          <tpl fld="1" item="10"/>
          <tpl fld="2" item="13"/>
          <tpl hier="10" item="1"/>
          <tpl hier="11" item="10"/>
          <tpl fld="0" item="0"/>
        </tpls>
      </m>
      <n v="-20222" in="0">
        <tpls c="5">
          <tpl fld="1" item="0"/>
          <tpl fld="2" item="15"/>
          <tpl hier="10" item="1"/>
          <tpl hier="11" item="10"/>
          <tpl fld="0" item="1"/>
        </tpls>
      </n>
      <n v="-2658131" in="0">
        <tpls c="5">
          <tpl fld="1" item="6"/>
          <tpl fld="2" item="0"/>
          <tpl hier="10" item="1"/>
          <tpl hier="11" item="10"/>
          <tpl fld="0" item="1"/>
        </tpls>
      </n>
      <m in="0">
        <tpls c="5">
          <tpl fld="1" item="5"/>
          <tpl fld="2" item="3"/>
          <tpl hier="10" item="1"/>
          <tpl hier="11" item="10"/>
          <tpl fld="0" item="0"/>
        </tpls>
      </m>
      <n v="-6129087" in="0">
        <tpls c="4">
          <tpl fld="2" item="14"/>
          <tpl hier="10" item="1"/>
          <tpl hier="11" item="10"/>
          <tpl fld="0" item="1"/>
        </tpls>
      </n>
      <n v="-21579" in="0">
        <tpls c="5">
          <tpl fld="1" item="8"/>
          <tpl fld="2" item="3"/>
          <tpl hier="10" item="1"/>
          <tpl hier="11" item="10"/>
          <tpl fld="0" item="1"/>
        </tpls>
      </n>
      <n v="-616504" in="0">
        <tpls c="5">
          <tpl fld="1" item="9"/>
          <tpl fld="2" item="8"/>
          <tpl hier="10" item="1"/>
          <tpl hier="11" item="10"/>
          <tpl fld="0" item="1"/>
        </tpls>
      </n>
      <m in="0">
        <tpls c="5">
          <tpl fld="1" item="6"/>
          <tpl fld="2" item="3"/>
          <tpl hier="10" item="1"/>
          <tpl hier="11" item="10"/>
          <tpl fld="0" item="0"/>
        </tpls>
      </m>
      <n v="159872424" in="0">
        <tpls c="4">
          <tpl fld="2" item="9"/>
          <tpl hier="10" item="1"/>
          <tpl hier="11" item="10"/>
          <tpl fld="0" item="1"/>
        </tpls>
      </n>
      <m in="0">
        <tpls c="5">
          <tpl fld="1" item="3"/>
          <tpl hier="9" item="4294967295"/>
          <tpl hier="10" item="1"/>
          <tpl hier="11" item="10"/>
          <tpl fld="0" item="0"/>
        </tpls>
      </m>
      <n v="-2246" in="0">
        <tpls c="5">
          <tpl fld="1" item="8"/>
          <tpl fld="2" item="2"/>
          <tpl hier="10" item="1"/>
          <tpl hier="11" item="10"/>
          <tpl fld="0" item="1"/>
        </tpls>
      </n>
      <n v="-39228" in="0">
        <tpls c="5">
          <tpl fld="1" item="10"/>
          <tpl fld="2" item="12"/>
          <tpl hier="10" item="1"/>
          <tpl hier="11" item="10"/>
          <tpl fld="0" item="1"/>
        </tpls>
      </n>
      <n v="-27134" in="0">
        <tpls c="5">
          <tpl fld="1" item="0"/>
          <tpl fld="2" item="3"/>
          <tpl hier="10" item="1"/>
          <tpl hier="11" item="10"/>
          <tpl fld="0" item="1"/>
        </tpls>
      </n>
      <n v="-5157" in="0">
        <tpls c="5">
          <tpl fld="1" item="11"/>
          <tpl fld="2" item="11"/>
          <tpl hier="10" item="1"/>
          <tpl hier="11" item="10"/>
          <tpl fld="0" item="1"/>
        </tpls>
      </n>
      <m in="0">
        <tpls c="5">
          <tpl fld="1" item="0"/>
          <tpl fld="2" item="6"/>
          <tpl hier="10" item="1"/>
          <tpl hier="11" item="10"/>
          <tpl fld="0" item="0"/>
        </tpls>
      </m>
      <n v="-121793" in="0">
        <tpls c="5">
          <tpl fld="1" item="6"/>
          <tpl fld="2" item="6"/>
          <tpl hier="10" item="1"/>
          <tpl hier="11" item="10"/>
          <tpl fld="0" item="1"/>
        </tpls>
      </n>
      <n v="-22750" in="0">
        <tpls c="5">
          <tpl fld="1" item="11"/>
          <tpl fld="2" item="4"/>
          <tpl hier="10" item="1"/>
          <tpl hier="11" item="10"/>
          <tpl fld="0" item="1"/>
        </tpls>
      </n>
      <n v="-22566" in="0">
        <tpls c="5">
          <tpl fld="1" item="7"/>
          <tpl fld="2" item="4"/>
          <tpl hier="10" item="1"/>
          <tpl hier="11" item="10"/>
          <tpl fld="0" item="1"/>
        </tpls>
      </n>
      <n v="-22263" in="0">
        <tpls c="5">
          <tpl fld="1" item="4"/>
          <tpl fld="2" item="15"/>
          <tpl hier="10" item="1"/>
          <tpl hier="11" item="10"/>
          <tpl fld="0" item="1"/>
        </tpls>
      </n>
      <m in="0">
        <tpls c="5">
          <tpl fld="1" item="11"/>
          <tpl fld="2" item="8"/>
          <tpl hier="10" item="1"/>
          <tpl hier="11" item="10"/>
          <tpl fld="0" item="0"/>
        </tpls>
      </m>
      <n v="-4644" in="0">
        <tpls c="5">
          <tpl fld="1" item="9"/>
          <tpl fld="2" item="11"/>
          <tpl hier="10" item="1"/>
          <tpl hier="11" item="10"/>
          <tpl fld="0" item="1"/>
        </tpls>
      </n>
      <m in="0">
        <tpls c="5">
          <tpl fld="1" item="0"/>
          <tpl hier="9" item="4294967295"/>
          <tpl hier="10" item="1"/>
          <tpl hier="11" item="10"/>
          <tpl fld="0" item="0"/>
        </tpls>
      </m>
      <m in="0">
        <tpls c="5">
          <tpl fld="1" item="9"/>
          <tpl fld="2" item="4"/>
          <tpl hier="10" item="1"/>
          <tpl hier="11" item="10"/>
          <tpl fld="0" item="0"/>
        </tpls>
      </m>
      <m in="0">
        <tpls c="5">
          <tpl fld="1" item="0"/>
          <tpl fld="2" item="13"/>
          <tpl hier="10" item="1"/>
          <tpl hier="11" item="10"/>
          <tpl fld="0" item="0"/>
        </tpls>
      </m>
      <m in="0">
        <tpls c="5">
          <tpl fld="1" item="7"/>
          <tpl fld="2" item="3"/>
          <tpl hier="10" item="1"/>
          <tpl hier="11" item="10"/>
          <tpl fld="0" item="0"/>
        </tpls>
      </m>
      <m in="0">
        <tpls c="5">
          <tpl fld="1" item="11"/>
          <tpl fld="2" item="13"/>
          <tpl hier="10" item="1"/>
          <tpl hier="11" item="10"/>
          <tpl fld="0" item="0"/>
        </tpls>
      </m>
      <n v="-509171" in="0">
        <tpls c="5">
          <tpl fld="1" item="0"/>
          <tpl fld="2" item="14"/>
          <tpl hier="10" item="1"/>
          <tpl hier="11" item="10"/>
          <tpl fld="0" item="1"/>
        </tpls>
      </n>
      <n v="-22150" in="0">
        <tpls c="5">
          <tpl fld="1" item="9"/>
          <tpl fld="2" item="3"/>
          <tpl hier="10" item="1"/>
          <tpl hier="11" item="10"/>
          <tpl fld="0" item="1"/>
        </tpls>
      </n>
      <n v="-3701" in="0">
        <tpls c="5">
          <tpl fld="1" item="1"/>
          <tpl fld="2" item="11"/>
          <tpl hier="10" item="1"/>
          <tpl hier="11" item="10"/>
          <tpl fld="0" item="1"/>
        </tpls>
      </n>
      <n v="-38445" in="0">
        <tpls c="5">
          <tpl fld="1" item="11"/>
          <tpl fld="2" item="13"/>
          <tpl hier="10" item="1"/>
          <tpl hier="11" item="10"/>
          <tpl fld="0" item="1"/>
        </tpls>
      </n>
      <m in="0">
        <tpls c="5">
          <tpl fld="1" item="0"/>
          <tpl fld="2" item="14"/>
          <tpl hier="10" item="1"/>
          <tpl hier="11" item="10"/>
          <tpl fld="0" item="0"/>
        </tpls>
      </m>
      <n v="-14892" in="0">
        <tpls c="5">
          <tpl fld="1" item="2"/>
          <tpl fld="2" item="3"/>
          <tpl hier="10" item="1"/>
          <tpl hier="11" item="10"/>
          <tpl fld="0" item="1"/>
        </tpls>
      </n>
      <n v="6072415" in="0">
        <tpls c="5">
          <tpl fld="1" item="3"/>
          <tpl hier="9" item="4294967295"/>
          <tpl hier="10" item="1"/>
          <tpl hier="11" item="10"/>
          <tpl fld="0" item="1"/>
        </tpls>
      </n>
      <n v="-28532" in="0">
        <tpls c="5">
          <tpl fld="1" item="5"/>
          <tpl fld="2" item="4"/>
          <tpl hier="10" item="1"/>
          <tpl hier="11" item="10"/>
          <tpl fld="0" item="1"/>
        </tpls>
      </n>
      <n v="-3716" in="0">
        <tpls c="5">
          <tpl fld="1" item="9"/>
          <tpl fld="2" item="2"/>
          <tpl hier="10" item="1"/>
          <tpl hier="11" item="10"/>
          <tpl fld="0" item="1"/>
        </tpls>
      </n>
      <m in="0">
        <tpls c="5">
          <tpl fld="1" item="10"/>
          <tpl fld="2" item="8"/>
          <tpl hier="10" item="1"/>
          <tpl hier="11" item="10"/>
          <tpl fld="0" item="0"/>
        </tpls>
      </m>
      <m in="0">
        <tpls c="5">
          <tpl fld="1" item="8"/>
          <tpl fld="2" item="10"/>
          <tpl hier="10" item="1"/>
          <tpl hier="11" item="10"/>
          <tpl fld="0" item="0"/>
        </tpls>
      </m>
      <m in="0">
        <tpls c="5">
          <tpl fld="1" item="2"/>
          <tpl fld="2" item="15"/>
          <tpl hier="10" item="1"/>
          <tpl hier="11" item="10"/>
          <tpl fld="0" item="0"/>
        </tpls>
      </m>
      <n v="-1999968" in="0">
        <tpls c="5">
          <tpl fld="1" item="9"/>
          <tpl fld="2" item="7"/>
          <tpl hier="10" item="1"/>
          <tpl hier="11" item="10"/>
          <tpl fld="0" item="1"/>
        </tpls>
      </n>
      <m in="0">
        <tpls c="5">
          <tpl fld="1" item="4"/>
          <tpl fld="2" item="3"/>
          <tpl hier="10" item="1"/>
          <tpl hier="11" item="10"/>
          <tpl fld="0" item="0"/>
        </tpls>
      </m>
      <n v="-26385" in="0">
        <tpls c="5">
          <tpl fld="1" item="10"/>
          <tpl fld="2" item="4"/>
          <tpl hier="10" item="1"/>
          <tpl hier="11" item="10"/>
          <tpl fld="0" item="1"/>
        </tpls>
      </n>
      <m in="0">
        <tpls c="5">
          <tpl fld="1" item="1"/>
          <tpl fld="2" item="8"/>
          <tpl hier="10" item="1"/>
          <tpl hier="11" item="10"/>
          <tpl fld="0" item="0"/>
        </tpls>
      </m>
      <n v="16729633" in="0">
        <tpls c="5">
          <tpl fld="1" item="9"/>
          <tpl fld="2" item="9"/>
          <tpl hier="10" item="1"/>
          <tpl hier="11" item="10"/>
          <tpl fld="0" item="1"/>
        </tpls>
      </n>
      <n v="-209945" in="0">
        <tpls c="5">
          <tpl fld="1" item="2"/>
          <tpl fld="2" item="14"/>
          <tpl hier="10" item="1"/>
          <tpl hier="11" item="10"/>
          <tpl fld="0" item="1"/>
        </tpls>
      </n>
      <m in="0">
        <tpls c="5">
          <tpl fld="1" item="9"/>
          <tpl fld="2" item="10"/>
          <tpl hier="10" item="1"/>
          <tpl hier="11" item="10"/>
          <tpl fld="0" item="0"/>
        </tpls>
      </m>
      <m in="0">
        <tpls c="5">
          <tpl fld="1" item="5"/>
          <tpl fld="2" item="1"/>
          <tpl hier="10" item="1"/>
          <tpl hier="11" item="10"/>
          <tpl fld="0" item="0"/>
        </tpls>
      </m>
      <m in="0">
        <tpls c="5">
          <tpl fld="1" item="10"/>
          <tpl fld="2" item="12"/>
          <tpl hier="10" item="1"/>
          <tpl hier="11" item="10"/>
          <tpl fld="0" item="0"/>
        </tpls>
      </m>
      <n v="-4227" in="0">
        <tpls c="5">
          <tpl fld="1" item="4"/>
          <tpl fld="2" item="11"/>
          <tpl hier="10" item="1"/>
          <tpl hier="11" item="10"/>
          <tpl fld="0" item="1"/>
        </tpls>
      </n>
      <m in="0">
        <tpls c="5">
          <tpl fld="1" item="8"/>
          <tpl hier="9" item="4294967295"/>
          <tpl hier="10" item="1"/>
          <tpl hier="11" item="10"/>
          <tpl fld="0" item="0"/>
        </tpls>
      </m>
      <m in="0">
        <tpls c="5">
          <tpl fld="1" item="1"/>
          <tpl fld="2" item="14"/>
          <tpl hier="10" item="1"/>
          <tpl hier="11" item="10"/>
          <tpl fld="0" item="0"/>
        </tpls>
      </m>
      <m in="0">
        <tpls c="5">
          <tpl fld="1" item="1"/>
          <tpl fld="2" item="2"/>
          <tpl hier="10" item="1"/>
          <tpl hier="11" item="10"/>
          <tpl fld="0" item="0"/>
        </tpls>
      </m>
      <m in="0">
        <tpls c="5">
          <tpl fld="1" item="2"/>
          <tpl fld="2" item="3"/>
          <tpl hier="10" item="1"/>
          <tpl hier="11" item="10"/>
          <tpl fld="0" item="0"/>
        </tpls>
      </m>
      <m in="0">
        <tpls c="5">
          <tpl fld="1" item="6"/>
          <tpl fld="2" item="5"/>
          <tpl hier="10" item="1"/>
          <tpl hier="11" item="10"/>
          <tpl fld="0" item="0"/>
        </tpls>
      </m>
      <n v="13708858" in="0">
        <tpls c="5">
          <tpl fld="1" item="2"/>
          <tpl fld="2" item="9"/>
          <tpl hier="10" item="1"/>
          <tpl hier="11" item="10"/>
          <tpl fld="0" item="1"/>
        </tpls>
      </n>
      <n v="-1929621" in="0">
        <tpls c="5">
          <tpl fld="1" item="8"/>
          <tpl fld="2" item="0"/>
          <tpl hier="10" item="1"/>
          <tpl hier="11" item="10"/>
          <tpl fld="0" item="1"/>
        </tpls>
      </n>
      <m in="0">
        <tpls c="5">
          <tpl fld="1" item="9"/>
          <tpl fld="2" item="7"/>
          <tpl hier="10" item="1"/>
          <tpl hier="11" item="10"/>
          <tpl fld="0" item="0"/>
        </tpls>
      </m>
      <m in="0">
        <tpls c="5">
          <tpl fld="1" item="3"/>
          <tpl fld="2" item="9"/>
          <tpl hier="10" item="1"/>
          <tpl hier="11" item="10"/>
          <tpl fld="0" item="0"/>
        </tpls>
      </m>
      <m in="0">
        <tpls c="5">
          <tpl fld="1" item="1"/>
          <tpl fld="2" item="0"/>
          <tpl hier="10" item="1"/>
          <tpl hier="11" item="10"/>
          <tpl fld="0" item="0"/>
        </tpls>
      </m>
      <n v="-16709" in="0">
        <tpls c="5">
          <tpl fld="1" item="2"/>
          <tpl fld="2" item="4"/>
          <tpl hier="10" item="1"/>
          <tpl hier="11" item="10"/>
          <tpl fld="0" item="1"/>
        </tpls>
      </n>
      <n v="11598976" in="0">
        <tpls c="5">
          <tpl fld="1" item="10"/>
          <tpl fld="2" item="9"/>
          <tpl hier="10" item="1"/>
          <tpl hier="11" item="10"/>
          <tpl fld="0" item="1"/>
        </tpls>
      </n>
      <n v="14418702" in="0">
        <tpls c="5">
          <tpl fld="1" item="5"/>
          <tpl fld="2" item="9"/>
          <tpl hier="10" item="1"/>
          <tpl hier="11" item="10"/>
          <tpl fld="0" item="1"/>
        </tpls>
      </n>
      <m in="0">
        <tpls c="5">
          <tpl fld="1" item="8"/>
          <tpl fld="2" item="12"/>
          <tpl hier="10" item="1"/>
          <tpl hier="11" item="10"/>
          <tpl fld="0" item="0"/>
        </tpls>
      </m>
      <m in="0">
        <tpls c="5">
          <tpl fld="1" item="8"/>
          <tpl fld="2" item="5"/>
          <tpl hier="10" item="1"/>
          <tpl hier="11" item="10"/>
          <tpl fld="0" item="0"/>
        </tpls>
      </m>
      <n v="-8730" in="0">
        <tpls c="5">
          <tpl fld="1" item="9"/>
          <tpl fld="2" item="5"/>
          <tpl hier="10" item="1"/>
          <tpl hier="11" item="10"/>
          <tpl fld="0" item="1"/>
        </tpls>
      </n>
      <n v="-11096" in="0">
        <tpls c="5">
          <tpl fld="1" item="10"/>
          <tpl fld="2" item="5"/>
          <tpl hier="10" item="1"/>
          <tpl hier="11" item="10"/>
          <tpl fld="0" item="1"/>
        </tpls>
      </n>
      <m in="0">
        <tpls c="5">
          <tpl fld="1" item="5"/>
          <tpl hier="9" item="4294967295"/>
          <tpl hier="10" item="1"/>
          <tpl hier="11" item="10"/>
          <tpl fld="0" item="0"/>
        </tpls>
      </m>
      <n v="-29129" in="0">
        <tpls c="5">
          <tpl fld="1" item="1"/>
          <tpl fld="2" item="15"/>
          <tpl hier="10" item="1"/>
          <tpl hier="11" item="10"/>
          <tpl fld="0" item="1"/>
        </tpls>
      </n>
      <m in="0">
        <tpls c="5">
          <tpl fld="1" item="0"/>
          <tpl fld="2" item="3"/>
          <tpl hier="10" item="1"/>
          <tpl hier="11" item="10"/>
          <tpl fld="0" item="0"/>
        </tpls>
      </m>
      <m in="0">
        <tpls c="5">
          <tpl fld="1" item="3"/>
          <tpl fld="2" item="4"/>
          <tpl hier="10" item="1"/>
          <tpl hier="11" item="10"/>
          <tpl fld="0" item="0"/>
        </tpls>
      </m>
      <m in="0">
        <tpls c="5">
          <tpl fld="1" item="2"/>
          <tpl fld="2" item="9"/>
          <tpl hier="10" item="1"/>
          <tpl hier="11" item="10"/>
          <tpl fld="0" item="0"/>
        </tpls>
      </m>
      <n v="-148970" in="0">
        <tpls c="5">
          <tpl fld="1" item="7"/>
          <tpl fld="2" item="6"/>
          <tpl hier="10" item="1"/>
          <tpl hier="11" item="10"/>
          <tpl fld="0" item="1"/>
        </tpls>
      </n>
      <n v="-3418" in="0">
        <tpls c="5">
          <tpl fld="1" item="6"/>
          <tpl fld="2" item="2"/>
          <tpl hier="10" item="1"/>
          <tpl hier="11" item="10"/>
          <tpl fld="0" item="1"/>
        </tpls>
      </n>
      <m in="0">
        <tpls c="5">
          <tpl fld="1" item="1"/>
          <tpl fld="2" item="4"/>
          <tpl hier="10" item="1"/>
          <tpl hier="11" item="10"/>
          <tpl fld="0" item="0"/>
        </tpls>
      </m>
      <m in="0">
        <tpls c="5">
          <tpl fld="1" item="8"/>
          <tpl fld="2" item="9"/>
          <tpl hier="10" item="1"/>
          <tpl hier="11" item="10"/>
          <tpl fld="0" item="0"/>
        </tpls>
      </m>
      <n v="-10832" in="0">
        <tpls c="5">
          <tpl fld="1" item="5"/>
          <tpl fld="2" item="5"/>
          <tpl hier="10" item="1"/>
          <tpl hier="11" item="10"/>
          <tpl fld="0" item="1"/>
        </tpls>
      </n>
      <n v="-40017" in="0">
        <tpls c="5">
          <tpl fld="1" item="8"/>
          <tpl fld="2" item="12"/>
          <tpl hier="10" item="1"/>
          <tpl hier="11" item="10"/>
          <tpl fld="0" item="1"/>
        </tpls>
      </n>
      <m in="0">
        <tpls c="5">
          <tpl fld="1" item="10"/>
          <tpl fld="2" item="1"/>
          <tpl hier="10" item="1"/>
          <tpl hier="11" item="10"/>
          <tpl fld="0" item="0"/>
        </tpls>
      </m>
      <n v="-122687" in="0">
        <tpls c="5">
          <tpl fld="1" item="9"/>
          <tpl fld="2" item="10"/>
          <tpl hier="10" item="1"/>
          <tpl hier="11" item="10"/>
          <tpl fld="0" item="1"/>
        </tpls>
      </n>
      <n v="-6496" in="0">
        <tpls c="5">
          <tpl fld="1" item="10"/>
          <tpl fld="2" item="2"/>
          <tpl hier="10" item="1"/>
          <tpl hier="11" item="10"/>
          <tpl fld="0" item="1"/>
        </tpls>
      </n>
      <n v="6722616" in="0">
        <tpls c="5">
          <tpl fld="1" item="5"/>
          <tpl hier="9" item="4294967295"/>
          <tpl hier="10" item="1"/>
          <tpl hier="11" item="10"/>
          <tpl fld="0" item="1"/>
        </tpls>
      </n>
      <m in="0">
        <tpls c="5">
          <tpl fld="1" item="5"/>
          <tpl fld="2" item="15"/>
          <tpl hier="10" item="1"/>
          <tpl hier="11" item="10"/>
          <tpl fld="0" item="0"/>
        </tpls>
      </m>
      <n v="-31821" in="0">
        <tpls c="5">
          <tpl fld="1" item="0"/>
          <tpl fld="2" item="4"/>
          <tpl hier="10" item="1"/>
          <tpl hier="11" item="10"/>
          <tpl fld="0" item="1"/>
        </tpls>
      </n>
      <m in="0">
        <tpls c="5">
          <tpl fld="1" item="3"/>
          <tpl fld="2" item="1"/>
          <tpl hier="10" item="1"/>
          <tpl hier="11" item="10"/>
          <tpl fld="0" item="0"/>
        </tpls>
      </m>
      <n v="-2210098" in="0">
        <tpls c="5">
          <tpl fld="1" item="5"/>
          <tpl fld="2" item="0"/>
          <tpl hier="10" item="1"/>
          <tpl hier="11" item="10"/>
          <tpl fld="0" item="1"/>
        </tpls>
      </n>
      <m in="0">
        <tpls c="5">
          <tpl fld="1" item="11"/>
          <tpl fld="2" item="3"/>
          <tpl hier="10" item="1"/>
          <tpl hier="11" item="10"/>
          <tpl fld="0" item="0"/>
        </tpls>
      </m>
      <n v="-21789" in="0">
        <tpls c="5">
          <tpl fld="1" item="1"/>
          <tpl fld="2" item="4"/>
          <tpl hier="10" item="1"/>
          <tpl hier="11" item="10"/>
          <tpl fld="0" item="1"/>
        </tpls>
      </n>
      <n v="20402679" in="0">
        <tpls c="5">
          <tpl fld="1" item="8"/>
          <tpl fld="2" item="9"/>
          <tpl hier="10" item="1"/>
          <tpl hier="11" item="10"/>
          <tpl fld="0" item="1"/>
        </tpls>
      </n>
      <n v="-4010312" in="0">
        <tpls c="5">
          <tpl fld="1" item="5"/>
          <tpl fld="2" item="7"/>
          <tpl hier="10" item="1"/>
          <tpl hier="11" item="10"/>
          <tpl fld="0" item="1"/>
        </tpls>
      </n>
      <m in="0">
        <tpls c="5">
          <tpl fld="1" item="7"/>
          <tpl fld="2" item="12"/>
          <tpl hier="10" item="1"/>
          <tpl hier="11" item="10"/>
          <tpl fld="0" item="0"/>
        </tpls>
      </m>
      <m in="0">
        <tpls c="5">
          <tpl fld="1" item="10"/>
          <tpl fld="2" item="4"/>
          <tpl hier="10" item="1"/>
          <tpl hier="11" item="10"/>
          <tpl fld="0" item="0"/>
        </tpls>
      </m>
      <n v="-2509717" in="0">
        <tpls c="5">
          <tpl fld="1" item="9"/>
          <tpl fld="2" item="0"/>
          <tpl hier="10" item="1"/>
          <tpl hier="11" item="10"/>
          <tpl fld="0" item="1"/>
        </tpls>
      </n>
      <m in="0">
        <tpls c="5">
          <tpl fld="1" item="5"/>
          <tpl fld="2" item="5"/>
          <tpl hier="10" item="1"/>
          <tpl hier="11" item="10"/>
          <tpl fld="0" item="0"/>
        </tpls>
      </m>
      <m in="0">
        <tpls c="5">
          <tpl fld="1" item="4"/>
          <tpl hier="9" item="4294967295"/>
          <tpl hier="10" item="1"/>
          <tpl hier="11" item="10"/>
          <tpl fld="0" item="0"/>
        </tpls>
      </m>
      <n v="-38416" in="0">
        <tpls c="5">
          <tpl fld="1" item="5"/>
          <tpl fld="2" item="15"/>
          <tpl hier="10" item="1"/>
          <tpl hier="11" item="10"/>
          <tpl fld="0" item="1"/>
        </tpls>
      </n>
      <m in="0">
        <tpls c="5">
          <tpl fld="1" item="0"/>
          <tpl fld="2" item="4"/>
          <tpl hier="10" item="1"/>
          <tpl hier="11" item="10"/>
          <tpl fld="0" item="0"/>
        </tpls>
      </m>
      <m in="0">
        <tpls c="5">
          <tpl fld="1" item="6"/>
          <tpl fld="2" item="1"/>
          <tpl hier="10" item="1"/>
          <tpl hier="11" item="10"/>
          <tpl fld="0" item="0"/>
        </tpls>
      </m>
      <m in="0">
        <tpls c="5">
          <tpl fld="1" item="9"/>
          <tpl fld="2" item="8"/>
          <tpl hier="10" item="1"/>
          <tpl hier="11" item="10"/>
          <tpl fld="0" item="0"/>
        </tpls>
      </m>
      <m in="0">
        <tpls c="5">
          <tpl fld="1" item="8"/>
          <tpl fld="2" item="0"/>
          <tpl hier="10" item="1"/>
          <tpl hier="11" item="10"/>
          <tpl fld="0" item="0"/>
        </tpls>
      </m>
      <n v="-12810" in="0">
        <tpls c="5">
          <tpl fld="1" item="1"/>
          <tpl fld="2" item="1"/>
          <tpl hier="10" item="1"/>
          <tpl hier="11" item="10"/>
          <tpl fld="0" item="1"/>
        </tpls>
      </n>
      <n v="-15115" in="0">
        <tpls c="5">
          <tpl fld="1" item="10"/>
          <tpl fld="2" item="3"/>
          <tpl hier="10" item="1"/>
          <tpl hier="11" item="10"/>
          <tpl fld="0" item="1"/>
        </tpls>
      </n>
      <n v="-156712" in="0">
        <tpls c="5">
          <tpl fld="1" item="11"/>
          <tpl fld="2" item="6"/>
          <tpl hier="10" item="1"/>
          <tpl hier="11" item="10"/>
          <tpl fld="0" item="1"/>
        </tpls>
      </n>
      <m in="0">
        <tpls c="5">
          <tpl fld="1" item="5"/>
          <tpl fld="2" item="4"/>
          <tpl hier="10" item="1"/>
          <tpl hier="11" item="10"/>
          <tpl fld="0" item="0"/>
        </tpls>
      </m>
      <m in="0">
        <tpls c="5">
          <tpl fld="1" item="7"/>
          <tpl fld="2" item="9"/>
          <tpl hier="10" item="1"/>
          <tpl hier="11" item="10"/>
          <tpl fld="0" item="0"/>
        </tpls>
      </m>
      <n v="-226371" in="0">
        <tpls c="5">
          <tpl fld="1" item="5"/>
          <tpl fld="2" item="6"/>
          <tpl hier="10" item="1"/>
          <tpl hier="11" item="10"/>
          <tpl fld="0" item="1"/>
        </tpls>
      </n>
      <n v="-32472" in="0">
        <tpls c="5">
          <tpl fld="1" item="7"/>
          <tpl fld="2" item="12"/>
          <tpl hier="10" item="1"/>
          <tpl hier="11" item="10"/>
          <tpl fld="0" item="1"/>
        </tpls>
      </n>
      <m in="0">
        <tpls c="5">
          <tpl fld="1" item="10"/>
          <tpl fld="2" item="5"/>
          <tpl hier="10" item="1"/>
          <tpl hier="11" item="10"/>
          <tpl fld="0" item="0"/>
        </tpls>
      </m>
      <m in="0">
        <tpls c="5">
          <tpl fld="1" item="3"/>
          <tpl fld="2" item="14"/>
          <tpl hier="10" item="1"/>
          <tpl hier="11" item="10"/>
          <tpl fld="0" item="0"/>
        </tpls>
      </m>
      <m in="0">
        <tpls c="5">
          <tpl fld="1" item="5"/>
          <tpl fld="2" item="10"/>
          <tpl hier="10" item="1"/>
          <tpl hier="11" item="10"/>
          <tpl fld="0" item="0"/>
        </tpls>
      </m>
      <n v="715465" in="0">
        <tpls c="5">
          <tpl fld="1" item="4"/>
          <tpl hier="9" item="4294967295"/>
          <tpl hier="10" item="1"/>
          <tpl hier="11" item="10"/>
          <tpl fld="0" item="1"/>
        </tpls>
      </n>
      <n v="-29964" in="0">
        <tpls c="5">
          <tpl fld="1" item="3"/>
          <tpl fld="2" item="15"/>
          <tpl hier="10" item="1"/>
          <tpl hier="11" item="10"/>
          <tpl fld="0" item="1"/>
        </tpls>
      </n>
      <n v="-14535" in="0">
        <tpls c="5">
          <tpl fld="1" item="0"/>
          <tpl fld="2" item="5"/>
          <tpl hier="10" item="1"/>
          <tpl hier="11" item="10"/>
          <tpl fld="0" item="1"/>
        </tpls>
      </n>
      <m in="0">
        <tpls c="5">
          <tpl fld="1" item="1"/>
          <tpl fld="2" item="7"/>
          <tpl hier="10" item="1"/>
          <tpl hier="11" item="10"/>
          <tpl fld="0" item="0"/>
        </tpls>
      </m>
      <m in="0">
        <tpls c="5">
          <tpl fld="1" item="7"/>
          <tpl fld="2" item="6"/>
          <tpl hier="10" item="1"/>
          <tpl hier="11" item="10"/>
          <tpl fld="0" item="0"/>
        </tpls>
      </m>
      <n v="-562912" in="0">
        <tpls c="5">
          <tpl fld="1" item="1"/>
          <tpl fld="2" item="14"/>
          <tpl hier="10" item="1"/>
          <tpl hier="11" item="10"/>
          <tpl fld="0" item="1"/>
        </tpls>
      </n>
      <m in="0">
        <tpls c="5">
          <tpl fld="1" item="8"/>
          <tpl fld="2" item="6"/>
          <tpl hier="10" item="1"/>
          <tpl hier="11" item="10"/>
          <tpl fld="0" item="0"/>
        </tpls>
      </m>
      <m in="0">
        <tpls c="5">
          <tpl fld="1" item="10"/>
          <tpl fld="2" item="7"/>
          <tpl hier="10" item="1"/>
          <tpl hier="11" item="10"/>
          <tpl fld="0" item="0"/>
        </tpls>
      </m>
      <m in="0">
        <tpls c="5">
          <tpl fld="1" item="3"/>
          <tpl fld="2" item="5"/>
          <tpl hier="10" item="1"/>
          <tpl hier="11" item="10"/>
          <tpl fld="0" item="0"/>
        </tpls>
      </m>
      <n v="14264165" in="0">
        <tpls c="5">
          <tpl fld="1" item="7"/>
          <tpl fld="2" item="9"/>
          <tpl hier="10" item="1"/>
          <tpl hier="11" item="10"/>
          <tpl fld="0" item="1"/>
        </tpls>
      </n>
      <n v="-12910" in="0">
        <tpls c="5">
          <tpl fld="1" item="5"/>
          <tpl fld="2" item="1"/>
          <tpl hier="10" item="1"/>
          <tpl hier="11" item="10"/>
          <tpl fld="0" item="1"/>
        </tpls>
      </n>
      <m in="0">
        <tpls c="5">
          <tpl fld="1" item="6"/>
          <tpl fld="2" item="12"/>
          <tpl hier="10" item="1"/>
          <tpl hier="11" item="10"/>
          <tpl fld="0" item="0"/>
        </tpls>
      </m>
      <m in="0">
        <tpls c="5">
          <tpl fld="1" item="10"/>
          <tpl fld="2" item="2"/>
          <tpl hier="10" item="1"/>
          <tpl hier="11" item="10"/>
          <tpl fld="0" item="0"/>
        </tpls>
      </m>
      <n v="-460141" in="0">
        <tpls c="5">
          <tpl fld="1" item="3"/>
          <tpl fld="2" item="14"/>
          <tpl hier="10" item="1"/>
          <tpl hier="11" item="10"/>
          <tpl fld="0" item="1"/>
        </tpls>
      </n>
      <m in="0">
        <tpls c="5">
          <tpl fld="1" item="5"/>
          <tpl fld="2" item="9"/>
          <tpl hier="10" item="1"/>
          <tpl hier="11" item="10"/>
          <tpl fld="0" item="0"/>
        </tpls>
      </m>
      <m in="0">
        <tpls c="5">
          <tpl fld="1" item="9"/>
          <tpl hier="9" item="4294967295"/>
          <tpl hier="10" item="1"/>
          <tpl hier="11" item="10"/>
          <tpl fld="0" item="0"/>
        </tpls>
      </m>
      <m in="0">
        <tpls c="5">
          <tpl fld="1" item="4"/>
          <tpl fld="2" item="15"/>
          <tpl hier="10" item="1"/>
          <tpl hier="11" item="10"/>
          <tpl fld="0" item="0"/>
        </tpls>
      </m>
      <m in="0">
        <tpls c="5">
          <tpl fld="1" item="0"/>
          <tpl fld="2" item="5"/>
          <tpl hier="10" item="1"/>
          <tpl hier="11" item="10"/>
          <tpl fld="0" item="0"/>
        </tpls>
      </m>
      <m in="0">
        <tpls c="5">
          <tpl fld="1" item="9"/>
          <tpl fld="2" item="3"/>
          <tpl hier="10" item="1"/>
          <tpl hier="11" item="10"/>
          <tpl fld="0" item="0"/>
        </tpls>
      </m>
      <m in="0">
        <tpls c="5">
          <tpl fld="1" item="1"/>
          <tpl fld="2" item="11"/>
          <tpl hier="10" item="1"/>
          <tpl hier="11" item="10"/>
          <tpl fld="0" item="0"/>
        </tpls>
      </m>
      <m in="0">
        <tpls c="5">
          <tpl fld="1" item="6"/>
          <tpl fld="2" item="0"/>
          <tpl hier="10" item="1"/>
          <tpl hier="11" item="10"/>
          <tpl fld="0" item="0"/>
        </tpls>
      </m>
      <n v="-5753" in="0">
        <tpls c="5">
          <tpl fld="1" item="5"/>
          <tpl fld="2" item="11"/>
          <tpl hier="10" item="1"/>
          <tpl hier="11" item="10"/>
          <tpl fld="0" item="1"/>
        </tpls>
      </n>
      <n v="-6501" in="0">
        <tpls c="5">
          <tpl fld="1" item="3"/>
          <tpl fld="2" item="5"/>
          <tpl hier="10" item="1"/>
          <tpl hier="11" item="10"/>
          <tpl fld="0" item="1"/>
        </tpls>
      </n>
      <m in="0">
        <tpls c="5">
          <tpl fld="1" item="6"/>
          <tpl fld="2" item="9"/>
          <tpl hier="10" item="1"/>
          <tpl hier="11" item="10"/>
          <tpl fld="0" item="0"/>
        </tpls>
      </m>
      <n v="-4513" in="0">
        <tpls c="5">
          <tpl fld="1" item="5"/>
          <tpl fld="2" item="2"/>
          <tpl hier="10" item="1"/>
          <tpl hier="11" item="10"/>
          <tpl fld="0" item="1"/>
        </tpls>
      </n>
      <n v="-38139" in="0">
        <tpls c="5">
          <tpl fld="1" item="6"/>
          <tpl fld="2" item="12"/>
          <tpl hier="10" item="1"/>
          <tpl hier="11" item="10"/>
          <tpl fld="0" item="1"/>
        </tpls>
      </n>
      <m in="0">
        <tpls c="5">
          <tpl fld="1" item="10"/>
          <tpl fld="2" item="0"/>
          <tpl hier="10" item="1"/>
          <tpl hier="11" item="10"/>
          <tpl fld="0" item="0"/>
        </tpls>
      </m>
      <m in="0">
        <tpls c="5">
          <tpl fld="1" item="2"/>
          <tpl fld="2" item="14"/>
          <tpl hier="10" item="1"/>
          <tpl hier="11" item="10"/>
          <tpl fld="0" item="0"/>
        </tpls>
      </m>
      <m in="0">
        <tpls c="5">
          <tpl fld="1" item="5"/>
          <tpl fld="2" item="7"/>
          <tpl hier="10" item="1"/>
          <tpl hier="11" item="10"/>
          <tpl fld="0" item="0"/>
        </tpls>
      </m>
      <m in="0">
        <tpls c="5">
          <tpl fld="1" item="11"/>
          <tpl hier="9" item="4294967295"/>
          <tpl hier="10" item="1"/>
          <tpl hier="11" item="10"/>
          <tpl fld="0" item="0"/>
        </tpls>
      </m>
      <m in="0">
        <tpls c="5">
          <tpl fld="1" item="3"/>
          <tpl fld="2" item="15"/>
          <tpl hier="10" item="1"/>
          <tpl hier="11" item="10"/>
          <tpl fld="0" item="0"/>
        </tpls>
      </m>
      <n v="-163023" in="0">
        <tpls c="5">
          <tpl fld="1" item="0"/>
          <tpl fld="2" item="6"/>
          <tpl hier="10" item="1"/>
          <tpl hier="11" item="10"/>
          <tpl fld="0" item="1"/>
        </tpls>
      </n>
      <n v="-12950" in="0">
        <tpls c="5">
          <tpl fld="1" item="7"/>
          <tpl fld="2" item="1"/>
          <tpl hier="10" item="1"/>
          <tpl hier="11" item="10"/>
          <tpl fld="0" item="1"/>
        </tpls>
      </n>
      <n v="-2174419" in="0">
        <tpls c="5">
          <tpl fld="1" item="2"/>
          <tpl fld="2" item="0"/>
          <tpl hier="10" item="1"/>
          <tpl hier="11" item="10"/>
          <tpl fld="0" item="1"/>
        </tpls>
      </n>
      <n v="9846021" in="0">
        <tpls c="5">
          <tpl fld="1" item="1"/>
          <tpl fld="2" item="9"/>
          <tpl hier="10" item="1"/>
          <tpl hier="11" item="10"/>
          <tpl fld="0" item="1"/>
        </tpls>
      </n>
      <m in="0">
        <tpls c="5">
          <tpl fld="1" item="11"/>
          <tpl fld="2" item="6"/>
          <tpl hier="10" item="1"/>
          <tpl hier="11" item="10"/>
          <tpl fld="0" item="0"/>
        </tpls>
      </m>
      <m in="0">
        <tpls c="4">
          <tpl fld="2" item="12"/>
          <tpl hier="10" item="1"/>
          <tpl hier="11" item="10"/>
          <tpl fld="0" item="0"/>
        </tpls>
      </m>
      <n v="-200602" in="0">
        <tpls c="5">
          <tpl fld="1" item="4"/>
          <tpl fld="2" item="6"/>
          <tpl hier="10" item="1"/>
          <tpl hier="11" item="10"/>
          <tpl fld="0" item="1"/>
        </tpls>
      </n>
      <n v="-6372" in="0">
        <tpls c="5">
          <tpl fld="1" item="8"/>
          <tpl fld="2" item="11"/>
          <tpl hier="10" item="1"/>
          <tpl hier="11" item="10"/>
          <tpl fld="0" item="1"/>
        </tpls>
      </n>
      <m in="0">
        <tpls c="5">
          <tpl fld="1" item="1"/>
          <tpl fld="2" item="6"/>
          <tpl hier="10" item="1"/>
          <tpl hier="11" item="10"/>
          <tpl fld="0" item="0"/>
        </tpls>
      </m>
      <n v="-45518" in="0">
        <tpls c="5">
          <tpl fld="1" item="7"/>
          <tpl fld="2" item="13"/>
          <tpl hier="10" item="1"/>
          <tpl hier="11" item="10"/>
          <tpl fld="0" item="1"/>
        </tpls>
      </n>
      <n v="-156649" in="0">
        <tpls c="5">
          <tpl fld="1" item="7"/>
          <tpl fld="2" item="10"/>
          <tpl hier="10" item="1"/>
          <tpl hier="11" item="10"/>
          <tpl fld="0" item="1"/>
        </tpls>
      </n>
      <m in="0">
        <tpls c="5">
          <tpl fld="1" item="9"/>
          <tpl fld="2" item="1"/>
          <tpl hier="10" item="1"/>
          <tpl hier="11" item="10"/>
          <tpl fld="0" item="0"/>
        </tpls>
      </m>
      <n v="-437091" in="0">
        <tpls c="5">
          <tpl fld="1" item="0"/>
          <tpl fld="2" item="8"/>
          <tpl hier="10" item="1"/>
          <tpl hier="11" item="10"/>
          <tpl fld="0" item="1"/>
        </tpls>
      </n>
      <m in="0">
        <tpls c="5">
          <tpl fld="1" item="9"/>
          <tpl fld="2" item="0"/>
          <tpl hier="10" item="1"/>
          <tpl hier="11" item="10"/>
          <tpl fld="0" item="0"/>
        </tpls>
      </m>
      <m in="0">
        <tpls c="5">
          <tpl fld="1" item="4"/>
          <tpl fld="2" item="9"/>
          <tpl hier="10" item="2"/>
          <tpl hier="11" item="9"/>
          <tpl fld="0" item="0"/>
        </tpls>
      </m>
      <m in="0">
        <tpls c="5">
          <tpl fld="1" item="1"/>
          <tpl fld="2" item="7"/>
          <tpl hier="10" item="2"/>
          <tpl hier="11" item="9"/>
          <tpl fld="0" item="1"/>
        </tpls>
      </m>
      <n v="-1976" in="0">
        <tpls c="5">
          <tpl fld="1" item="3"/>
          <tpl fld="2" item="2"/>
          <tpl hier="10" item="2"/>
          <tpl hier="11" item="9"/>
          <tpl fld="0" item="0"/>
        </tpls>
      </n>
      <m in="0">
        <tpls c="5">
          <tpl fld="1" item="2"/>
          <tpl fld="2" item="6"/>
          <tpl hier="10" item="2"/>
          <tpl hier="11" item="9"/>
          <tpl fld="0" item="1"/>
        </tpls>
      </m>
      <m in="0">
        <tpls c="5">
          <tpl fld="1" item="3"/>
          <tpl fld="2" item="11"/>
          <tpl hier="10" item="2"/>
          <tpl hier="11" item="9"/>
          <tpl fld="0" item="1"/>
        </tpls>
      </m>
      <n v="-13589.5" in="0">
        <tpls c="5">
          <tpl fld="1" item="3"/>
          <tpl fld="2" item="10"/>
          <tpl hier="10" item="2"/>
          <tpl hier="11" item="9"/>
          <tpl fld="0" item="0"/>
        </tpls>
      </n>
      <n v="-2997.5" in="0">
        <tpls c="5">
          <tpl fld="1" item="10"/>
          <tpl fld="2" item="3"/>
          <tpl hier="10" item="2"/>
          <tpl hier="11" item="9"/>
          <tpl fld="0" item="0"/>
        </tpls>
      </n>
      <m in="0">
        <tpls c="5">
          <tpl fld="1" item="11"/>
          <tpl fld="2" item="7"/>
          <tpl hier="10" item="2"/>
          <tpl hier="11" item="9"/>
          <tpl fld="0" item="0"/>
        </tpls>
      </m>
      <m in="0">
        <tpls c="5">
          <tpl fld="1" item="3"/>
          <tpl fld="2" item="6"/>
          <tpl hier="10" item="2"/>
          <tpl hier="11" item="9"/>
          <tpl fld="0" item="1"/>
        </tpls>
      </m>
      <m in="0">
        <tpls c="5">
          <tpl fld="1" item="4"/>
          <tpl fld="2" item="9"/>
          <tpl hier="10" item="2"/>
          <tpl hier="11" item="9"/>
          <tpl fld="0" item="1"/>
        </tpls>
      </m>
      <m in="0">
        <tpls c="5">
          <tpl fld="1" item="10"/>
          <tpl fld="2" item="11"/>
          <tpl hier="10" item="2"/>
          <tpl hier="11" item="9"/>
          <tpl fld="0" item="1"/>
        </tpls>
      </m>
      <n v="-3496.25" in="0">
        <tpls c="5">
          <tpl fld="1" item="7"/>
          <tpl fld="2" item="13"/>
          <tpl hier="10" item="2"/>
          <tpl hier="11" item="9"/>
          <tpl fld="0" item="0"/>
        </tpls>
      </n>
      <m in="0">
        <tpls c="5">
          <tpl fld="1" item="11"/>
          <tpl fld="2" item="5"/>
          <tpl hier="10" item="2"/>
          <tpl hier="11" item="9"/>
          <tpl fld="0" item="1"/>
        </tpls>
      </m>
      <m in="0">
        <tpls c="5">
          <tpl fld="1" item="5"/>
          <tpl fld="2" item="14"/>
          <tpl hier="10" item="2"/>
          <tpl hier="11" item="9"/>
          <tpl fld="0" item="0"/>
        </tpls>
      </m>
      <m in="0">
        <tpls c="4">
          <tpl fld="2" item="13"/>
          <tpl hier="10" item="2"/>
          <tpl hier="11" item="9"/>
          <tpl fld="0" item="1"/>
        </tpls>
      </m>
      <n v="-271850.5" in="0">
        <tpls c="5">
          <tpl fld="1" item="7"/>
          <tpl hier="9" item="4294967295"/>
          <tpl hier="10" item="2"/>
          <tpl hier="11" item="9"/>
          <tpl fld="0" item="0"/>
        </tpls>
      </n>
      <m in="0">
        <tpls c="5">
          <tpl fld="1" item="11"/>
          <tpl fld="2" item="15"/>
          <tpl hier="10" item="2"/>
          <tpl hier="11" item="9"/>
          <tpl fld="0" item="1"/>
        </tpls>
      </m>
      <m in="0">
        <tpls c="5">
          <tpl fld="1" item="0"/>
          <tpl fld="2" item="8"/>
          <tpl hier="10" item="2"/>
          <tpl hier="11" item="9"/>
          <tpl fld="0" item="0"/>
        </tpls>
      </m>
      <m in="0">
        <tpls c="5">
          <tpl fld="1" item="6"/>
          <tpl fld="2" item="1"/>
          <tpl hier="10" item="2"/>
          <tpl hier="11" item="9"/>
          <tpl fld="0" item="1"/>
        </tpls>
      </m>
      <m in="0">
        <tpls c="5">
          <tpl fld="1" item="3"/>
          <tpl fld="2" item="7"/>
          <tpl hier="10" item="2"/>
          <tpl hier="11" item="9"/>
          <tpl fld="0" item="0"/>
        </tpls>
      </m>
      <m in="0">
        <tpls c="5">
          <tpl fld="1" item="6"/>
          <tpl fld="2" item="9"/>
          <tpl hier="10" item="2"/>
          <tpl hier="11" item="9"/>
          <tpl fld="0" item="1"/>
        </tpls>
      </m>
      <m in="0">
        <tpls c="5">
          <tpl fld="1" item="3"/>
          <tpl fld="2" item="3"/>
          <tpl hier="10" item="2"/>
          <tpl hier="11" item="9"/>
          <tpl fld="0" item="1"/>
        </tpls>
      </m>
      <n v="-479.5" in="0">
        <tpls c="5">
          <tpl fld="1" item="9"/>
          <tpl fld="2" item="11"/>
          <tpl hier="10" item="2"/>
          <tpl hier="11" item="9"/>
          <tpl fld="0" item="0"/>
        </tpls>
      </n>
      <m in="0">
        <tpls c="5">
          <tpl fld="1" item="10"/>
          <tpl fld="2" item="6"/>
          <tpl hier="10" item="2"/>
          <tpl hier="11" item="9"/>
          <tpl fld="0" item="1"/>
        </tpls>
      </m>
      <m in="0">
        <tpls c="5">
          <tpl fld="1" item="3"/>
          <tpl fld="2" item="0"/>
          <tpl hier="10" item="2"/>
          <tpl hier="11" item="9"/>
          <tpl fld="0" item="1"/>
        </tpls>
      </m>
      <n v="-13390" in="0">
        <tpls c="5">
          <tpl fld="1" item="2"/>
          <tpl fld="2" item="6"/>
          <tpl hier="10" item="2"/>
          <tpl hier="11" item="9"/>
          <tpl fld="0" item="0"/>
        </tpls>
      </n>
      <m in="0">
        <tpls c="5">
          <tpl fld="1" item="4"/>
          <tpl fld="2" item="5"/>
          <tpl hier="10" item="2"/>
          <tpl hier="11" item="9"/>
          <tpl fld="0" item="1"/>
        </tpls>
      </m>
      <n v="-621.25" in="0">
        <tpls c="5">
          <tpl fld="1" item="8"/>
          <tpl fld="2" item="11"/>
          <tpl hier="10" item="2"/>
          <tpl hier="11" item="9"/>
          <tpl fld="0" item="0"/>
        </tpls>
      </n>
      <n v="-5075.75" in="0">
        <tpls c="5">
          <tpl fld="1" item="3"/>
          <tpl fld="2" item="13"/>
          <tpl hier="10" item="2"/>
          <tpl hier="11" item="9"/>
          <tpl fld="0" item="0"/>
        </tpls>
      </n>
      <m in="0">
        <tpls c="5">
          <tpl fld="1" item="11"/>
          <tpl fld="2" item="2"/>
          <tpl hier="10" item="2"/>
          <tpl hier="11" item="9"/>
          <tpl fld="0" item="1"/>
        </tpls>
      </m>
      <m in="0">
        <tpls c="5">
          <tpl fld="1" item="5"/>
          <tpl fld="2" item="14"/>
          <tpl hier="10" item="2"/>
          <tpl hier="11" item="9"/>
          <tpl fld="0" item="1"/>
        </tpls>
      </m>
      <m in="0">
        <tpls c="4">
          <tpl fld="2" item="12"/>
          <tpl hier="10" item="2"/>
          <tpl hier="11" item="9"/>
          <tpl fld="0" item="1"/>
        </tpls>
      </m>
      <m in="0">
        <tpls c="5">
          <tpl fld="1" item="7"/>
          <tpl hier="9" item="4294967295"/>
          <tpl hier="10" item="2"/>
          <tpl hier="11" item="9"/>
          <tpl fld="0" item="1"/>
        </tpls>
      </m>
      <n v="-74317.25" in="0">
        <tpls c="4">
          <tpl fld="2" item="15"/>
          <tpl hier="10" item="2"/>
          <tpl hier="11" item="9"/>
          <tpl fld="0" item="0"/>
        </tpls>
      </n>
      <m in="0">
        <tpls c="5">
          <tpl fld="1" item="0"/>
          <tpl fld="2" item="9"/>
          <tpl hier="10" item="2"/>
          <tpl hier="11" item="9"/>
          <tpl fld="0" item="1"/>
        </tpls>
      </m>
      <m in="0">
        <tpls c="5">
          <tpl fld="1" item="6"/>
          <tpl fld="2" item="4"/>
          <tpl hier="10" item="2"/>
          <tpl hier="11" item="9"/>
          <tpl fld="0" item="1"/>
        </tpls>
      </m>
      <m in="0">
        <tpls c="5">
          <tpl fld="1" item="2"/>
          <tpl fld="2" item="1"/>
          <tpl hier="10" item="2"/>
          <tpl hier="11" item="9"/>
          <tpl fld="0" item="1"/>
        </tpls>
      </m>
      <m in="0">
        <tpls c="5">
          <tpl fld="1" item="2"/>
          <tpl fld="2" item="2"/>
          <tpl hier="10" item="2"/>
          <tpl hier="11" item="9"/>
          <tpl fld="0" item="1"/>
        </tpls>
      </m>
      <m in="0">
        <tpls c="5">
          <tpl fld="1" item="3"/>
          <tpl fld="2" item="8"/>
          <tpl hier="10" item="2"/>
          <tpl hier="11" item="9"/>
          <tpl fld="0" item="1"/>
        </tpls>
      </m>
      <m in="0">
        <tpls c="5">
          <tpl fld="1" item="3"/>
          <tpl fld="2" item="9"/>
          <tpl hier="10" item="2"/>
          <tpl hier="11" item="9"/>
          <tpl fld="0" item="1"/>
        </tpls>
      </m>
      <n v="-463.75" in="0">
        <tpls c="5">
          <tpl fld="1" item="5"/>
          <tpl fld="2" item="11"/>
          <tpl hier="10" item="2"/>
          <tpl hier="11" item="9"/>
          <tpl fld="0" item="0"/>
        </tpls>
      </n>
      <n v="-18479.5" in="0">
        <tpls c="5">
          <tpl fld="1" item="9"/>
          <tpl fld="2" item="6"/>
          <tpl hier="10" item="2"/>
          <tpl hier="11" item="9"/>
          <tpl fld="0" item="0"/>
        </tpls>
      </n>
      <m in="0">
        <tpls c="5">
          <tpl fld="1" item="4"/>
          <tpl fld="2" item="7"/>
          <tpl hier="10" item="2"/>
          <tpl hier="11" item="9"/>
          <tpl fld="0" item="0"/>
        </tpls>
      </m>
      <m in="0">
        <tpls c="5">
          <tpl fld="1" item="4"/>
          <tpl fld="2" item="0"/>
          <tpl hier="10" item="2"/>
          <tpl hier="11" item="9"/>
          <tpl fld="0" item="1"/>
        </tpls>
      </m>
      <n v="-460" in="0">
        <tpls c="5">
          <tpl fld="1" item="7"/>
          <tpl fld="2" item="11"/>
          <tpl hier="10" item="2"/>
          <tpl hier="11" item="9"/>
          <tpl fld="0" item="0"/>
        </tpls>
      </n>
      <m in="0">
        <tpls c="5">
          <tpl fld="1" item="3"/>
          <tpl fld="2" item="13"/>
          <tpl hier="10" item="2"/>
          <tpl hier="11" item="9"/>
          <tpl fld="0" item="1"/>
        </tpls>
      </m>
      <m in="0">
        <tpls c="5">
          <tpl fld="1" item="11"/>
          <tpl fld="2" item="0"/>
          <tpl hier="10" item="2"/>
          <tpl hier="11" item="9"/>
          <tpl fld="0" item="1"/>
        </tpls>
      </m>
      <m in="0">
        <tpls c="5">
          <tpl fld="1" item="11"/>
          <tpl fld="2" item="14"/>
          <tpl hier="10" item="2"/>
          <tpl hier="11" item="9"/>
          <tpl fld="0" item="0"/>
        </tpls>
      </m>
      <m in="0">
        <tpls c="4">
          <tpl fld="2" item="0"/>
          <tpl hier="10" item="2"/>
          <tpl hier="11" item="9"/>
          <tpl fld="0" item="1"/>
        </tpls>
      </m>
      <n v="-333139.5" in="0">
        <tpls c="5">
          <tpl fld="1" item="6"/>
          <tpl hier="9" item="4294967295"/>
          <tpl hier="10" item="2"/>
          <tpl hier="11" item="9"/>
          <tpl fld="0" item="0"/>
        </tpls>
      </n>
      <m in="0">
        <tpls c="4">
          <tpl fld="2" item="15"/>
          <tpl hier="10" item="2"/>
          <tpl hier="11" item="9"/>
          <tpl fld="0" item="1"/>
        </tpls>
      </m>
      <m in="0">
        <tpls c="5">
          <tpl fld="1" item="0"/>
          <tpl fld="2" item="9"/>
          <tpl hier="10" item="2"/>
          <tpl hier="11" item="9"/>
          <tpl fld="0" item="0"/>
        </tpls>
      </m>
      <m in="0">
        <tpls c="4">
          <tpl fld="2" item="4"/>
          <tpl hier="10" item="2"/>
          <tpl hier="11" item="9"/>
          <tpl fld="0" item="1"/>
        </tpls>
      </m>
      <n v="-6094.5" in="0">
        <tpls c="5">
          <tpl fld="1" item="8"/>
          <tpl fld="2" item="15"/>
          <tpl hier="10" item="2"/>
          <tpl hier="11" item="9"/>
          <tpl fld="0" item="0"/>
        </tpls>
      </n>
      <m in="0">
        <tpls c="5">
          <tpl fld="1" item="3"/>
          <tpl fld="2" item="8"/>
          <tpl hier="10" item="2"/>
          <tpl hier="11" item="9"/>
          <tpl fld="0" item="0"/>
        </tpls>
      </m>
      <n v="-463" in="0">
        <tpls c="5">
          <tpl fld="1" item="3"/>
          <tpl fld="2" item="11"/>
          <tpl hier="10" item="2"/>
          <tpl hier="11" item="9"/>
          <tpl fld="0" item="0"/>
        </tpls>
      </n>
      <m in="0">
        <tpls c="5">
          <tpl fld="1" item="11"/>
          <tpl fld="2" item="14"/>
          <tpl hier="10" item="2"/>
          <tpl hier="11" item="9"/>
          <tpl fld="0" item="1"/>
        </tpls>
      </m>
      <m in="0">
        <tpls c="5">
          <tpl fld="1" item="8"/>
          <tpl fld="2" item="15"/>
          <tpl hier="10" item="2"/>
          <tpl hier="11" item="9"/>
          <tpl fld="0" item="1"/>
        </tpls>
      </m>
      <m in="0">
        <tpls c="5">
          <tpl fld="1" item="3"/>
          <tpl fld="2" item="1"/>
          <tpl hier="10" item="2"/>
          <tpl hier="11" item="9"/>
          <tpl fld="0" item="1"/>
        </tpls>
      </m>
      <m in="0">
        <tpls c="5">
          <tpl fld="1" item="9"/>
          <tpl fld="2" item="1"/>
          <tpl hier="10" item="2"/>
          <tpl hier="11" item="9"/>
          <tpl fld="0" item="1"/>
        </tpls>
      </m>
      <m in="0">
        <tpls c="5">
          <tpl fld="1" item="9"/>
          <tpl fld="2" item="12"/>
          <tpl hier="10" item="2"/>
          <tpl hier="11" item="9"/>
          <tpl fld="0" item="1"/>
        </tpls>
      </m>
      <m in="0">
        <tpls c="5">
          <tpl fld="1" item="10"/>
          <tpl fld="2" item="14"/>
          <tpl hier="10" item="2"/>
          <tpl hier="11" item="9"/>
          <tpl fld="0" item="0"/>
        </tpls>
      </m>
      <n v="-5229.25" in="0">
        <tpls c="5">
          <tpl fld="1" item="0"/>
          <tpl fld="2" item="12"/>
          <tpl hier="10" item="2"/>
          <tpl hier="11" item="9"/>
          <tpl fld="0" item="0"/>
        </tpls>
      </n>
      <m in="0">
        <tpls c="5">
          <tpl fld="1" item="7"/>
          <tpl fld="2" item="5"/>
          <tpl hier="10" item="2"/>
          <tpl hier="11" item="9"/>
          <tpl fld="0" item="1"/>
        </tpls>
      </m>
      <n v="-4805" in="0">
        <tpls c="5">
          <tpl fld="1" item="11"/>
          <tpl fld="2" item="1"/>
          <tpl hier="10" item="2"/>
          <tpl hier="11" item="9"/>
          <tpl fld="0" item="0"/>
        </tpls>
      </n>
      <n v="-4495.5" in="0">
        <tpls c="5">
          <tpl fld="1" item="2"/>
          <tpl fld="2" item="12"/>
          <tpl hier="10" item="2"/>
          <tpl hier="11" item="9"/>
          <tpl fld="0" item="0"/>
        </tpls>
      </n>
      <m in="0">
        <tpls c="5">
          <tpl fld="1" item="8"/>
          <tpl fld="2" item="14"/>
          <tpl hier="10" item="2"/>
          <tpl hier="11" item="9"/>
          <tpl fld="0" item="0"/>
        </tpls>
      </m>
      <m in="0">
        <tpls c="5">
          <tpl fld="1" item="7"/>
          <tpl fld="2" item="15"/>
          <tpl hier="10" item="2"/>
          <tpl hier="11" item="9"/>
          <tpl fld="0" item="1"/>
        </tpls>
      </m>
      <m in="0">
        <tpls c="5">
          <tpl fld="1" item="2"/>
          <tpl fld="2" item="8"/>
          <tpl hier="10" item="2"/>
          <tpl hier="11" item="9"/>
          <tpl fld="0" item="0"/>
        </tpls>
      </m>
      <n v="-275825.5" in="0">
        <tpls c="5">
          <tpl fld="1" item="3"/>
          <tpl fld="2" item="0"/>
          <tpl hier="10" item="2"/>
          <tpl hier="11" item="9"/>
          <tpl fld="0" item="0"/>
        </tpls>
      </n>
      <m in="0">
        <tpls c="5">
          <tpl fld="1" item="8"/>
          <tpl fld="2" item="8"/>
          <tpl hier="10" item="2"/>
          <tpl hier="11" item="9"/>
          <tpl fld="0" item="1"/>
        </tpls>
      </m>
      <m in="0">
        <tpls c="5">
          <tpl fld="1" item="5"/>
          <tpl fld="2" item="12"/>
          <tpl hier="10" item="2"/>
          <tpl hier="11" item="9"/>
          <tpl fld="0" item="1"/>
        </tpls>
      </m>
      <m in="0">
        <tpls c="5">
          <tpl fld="1" item="8"/>
          <tpl fld="2" item="14"/>
          <tpl hier="10" item="2"/>
          <tpl hier="11" item="9"/>
          <tpl fld="0" item="1"/>
        </tpls>
      </m>
      <n v="-6337" in="0">
        <tpls c="5">
          <tpl fld="1" item="6"/>
          <tpl fld="2" item="15"/>
          <tpl hier="10" item="2"/>
          <tpl hier="11" item="9"/>
          <tpl fld="0" item="0"/>
        </tpls>
      </n>
      <n v="-18921.75" in="0">
        <tpls c="5">
          <tpl fld="1" item="10"/>
          <tpl fld="2" item="6"/>
          <tpl hier="10" item="2"/>
          <tpl hier="11" item="9"/>
          <tpl fld="0" item="0"/>
        </tpls>
      </n>
      <m in="0">
        <tpls c="5">
          <tpl fld="1" item="11"/>
          <tpl fld="2" item="4"/>
          <tpl hier="10" item="2"/>
          <tpl hier="11" item="9"/>
          <tpl fld="0" item="0"/>
        </tpls>
      </m>
      <m in="0">
        <tpls c="5">
          <tpl fld="1" item="0"/>
          <tpl fld="2" item="0"/>
          <tpl hier="10" item="2"/>
          <tpl hier="11" item="9"/>
          <tpl fld="0" item="1"/>
        </tpls>
      </m>
      <m in="0">
        <tpls c="5">
          <tpl fld="1" item="1"/>
          <tpl fld="2" item="2"/>
          <tpl hier="10" item="2"/>
          <tpl hier="11" item="9"/>
          <tpl fld="0" item="1"/>
        </tpls>
      </m>
      <m in="0">
        <tpls c="5">
          <tpl fld="1" item="11"/>
          <tpl fld="2" item="10"/>
          <tpl hier="10" item="2"/>
          <tpl hier="11" item="9"/>
          <tpl fld="0" item="1"/>
        </tpls>
      </m>
      <m in="0">
        <tpls c="5">
          <tpl fld="1" item="11"/>
          <tpl hier="9" item="4294967295"/>
          <tpl hier="10" item="2"/>
          <tpl hier="11" item="9"/>
          <tpl fld="0" item="1"/>
        </tpls>
      </m>
      <n v="-2356.25" in="0">
        <tpls c="5">
          <tpl fld="1" item="8"/>
          <tpl fld="2" item="3"/>
          <tpl hier="10" item="2"/>
          <tpl hier="11" item="9"/>
          <tpl fld="0" item="0"/>
        </tpls>
      </n>
      <m in="0">
        <tpls c="5">
          <tpl fld="1" item="10"/>
          <tpl fld="2" item="7"/>
          <tpl hier="10" item="2"/>
          <tpl hier="11" item="9"/>
          <tpl fld="0" item="1"/>
        </tpls>
      </m>
      <n v="-10737.5" in="0">
        <tpls c="5">
          <tpl fld="1" item="10"/>
          <tpl fld="2" item="10"/>
          <tpl hier="10" item="2"/>
          <tpl hier="11" item="9"/>
          <tpl fld="0" item="0"/>
        </tpls>
      </n>
      <n v="-268894" in="0">
        <tpls c="5">
          <tpl fld="1" item="11"/>
          <tpl fld="2" item="0"/>
          <tpl hier="10" item="2"/>
          <tpl hier="11" item="9"/>
          <tpl fld="0" item="0"/>
        </tpls>
      </n>
      <m in="0">
        <tpls c="5">
          <tpl fld="1" item="3"/>
          <tpl fld="2" item="4"/>
          <tpl hier="10" item="2"/>
          <tpl hier="11" item="9"/>
          <tpl fld="0" item="1"/>
        </tpls>
      </m>
      <m in="0">
        <tpls c="5">
          <tpl fld="1" item="10"/>
          <tpl fld="2" item="13"/>
          <tpl hier="10" item="2"/>
          <tpl hier="11" item="9"/>
          <tpl fld="0" item="1"/>
        </tpls>
      </m>
      <m in="0">
        <tpls c="5">
          <tpl fld="1" item="5"/>
          <tpl fld="2" item="3"/>
          <tpl hier="10" item="2"/>
          <tpl hier="11" item="9"/>
          <tpl fld="0" item="1"/>
        </tpls>
      </m>
      <n v="-6570.5" in="0">
        <tpls c="5">
          <tpl fld="1" item="8"/>
          <tpl fld="2" item="13"/>
          <tpl hier="10" item="2"/>
          <tpl hier="11" item="9"/>
          <tpl fld="0" item="0"/>
        </tpls>
      </n>
      <m in="0">
        <tpls c="5">
          <tpl fld="1" item="0"/>
          <tpl fld="2" item="2"/>
          <tpl hier="10" item="2"/>
          <tpl hier="11" item="9"/>
          <tpl fld="0" item="1"/>
        </tpls>
      </m>
      <n v="-2289.25" in="0">
        <tpls c="5">
          <tpl fld="1" item="6"/>
          <tpl fld="2" item="2"/>
          <tpl hier="10" item="2"/>
          <tpl hier="11" item="9"/>
          <tpl fld="0" item="0"/>
        </tpls>
      </n>
      <m in="0">
        <tpls c="5">
          <tpl fld="1" item="8"/>
          <tpl fld="2" item="10"/>
          <tpl hier="10" item="2"/>
          <tpl hier="11" item="9"/>
          <tpl fld="0" item="1"/>
        </tpls>
      </m>
      <n v="-2312" in="0">
        <tpls c="5">
          <tpl fld="1" item="0"/>
          <tpl fld="2" item="2"/>
          <tpl hier="10" item="2"/>
          <tpl hier="11" item="9"/>
          <tpl fld="0" item="0"/>
        </tpls>
      </n>
      <n v="-3725.5" in="0">
        <tpls c="5">
          <tpl fld="1" item="6"/>
          <tpl fld="2" item="13"/>
          <tpl hier="10" item="2"/>
          <tpl hier="11" item="9"/>
          <tpl fld="0" item="0"/>
        </tpls>
      </n>
      <m in="0">
        <tpls c="5">
          <tpl fld="1" item="10"/>
          <tpl fld="2" item="9"/>
          <tpl hier="10" item="2"/>
          <tpl hier="11" item="9"/>
          <tpl fld="0" item="0"/>
        </tpls>
      </m>
      <m in="0">
        <tpls c="5">
          <tpl fld="1" item="10"/>
          <tpl fld="2" item="1"/>
          <tpl hier="10" item="2"/>
          <tpl hier="11" item="9"/>
          <tpl fld="0" item="1"/>
        </tpls>
      </m>
      <m in="0">
        <tpls c="5">
          <tpl fld="1" item="8"/>
          <tpl fld="2" item="7"/>
          <tpl hier="10" item="2"/>
          <tpl hier="11" item="9"/>
          <tpl fld="0" item="1"/>
        </tpls>
      </m>
      <n v="-21073.25" in="0">
        <tpls c="5">
          <tpl fld="1" item="5"/>
          <tpl fld="2" item="6"/>
          <tpl hier="10" item="2"/>
          <tpl hier="11" item="9"/>
          <tpl fld="0" item="0"/>
        </tpls>
      </n>
      <m in="0">
        <tpls c="5">
          <tpl fld="1" item="4"/>
          <tpl fld="2" item="8"/>
          <tpl hier="10" item="2"/>
          <tpl hier="11" item="9"/>
          <tpl fld="0" item="0"/>
        </tpls>
      </m>
      <n v="-1219.5" in="0">
        <tpls c="5">
          <tpl fld="1" item="9"/>
          <tpl fld="2" item="5"/>
          <tpl hier="10" item="2"/>
          <tpl hier="11" item="9"/>
          <tpl fld="0" item="0"/>
        </tpls>
      </n>
      <m in="0">
        <tpls c="5">
          <tpl fld="1" item="10"/>
          <tpl hier="9" item="4294967295"/>
          <tpl hier="10" item="2"/>
          <tpl hier="11" item="9"/>
          <tpl fld="0" item="1"/>
        </tpls>
      </m>
      <n v="-5395.5" in="0">
        <tpls c="5">
          <tpl fld="1" item="9"/>
          <tpl fld="2" item="12"/>
          <tpl hier="10" item="2"/>
          <tpl hier="11" item="9"/>
          <tpl fld="0" item="0"/>
        </tpls>
      </n>
      <n v="-1869.75" in="0">
        <tpls c="5">
          <tpl fld="1" item="5"/>
          <tpl fld="2" item="2"/>
          <tpl hier="10" item="2"/>
          <tpl hier="11" item="9"/>
          <tpl fld="0" item="0"/>
        </tpls>
      </n>
      <m in="0">
        <tpls c="5">
          <tpl fld="1" item="7"/>
          <tpl fld="2" item="4"/>
          <tpl hier="10" item="2"/>
          <tpl hier="11" item="9"/>
          <tpl fld="0" item="0"/>
        </tpls>
      </m>
      <n v="-14567.5" in="0">
        <tpls c="5">
          <tpl fld="1" item="3"/>
          <tpl fld="2" item="6"/>
          <tpl hier="10" item="2"/>
          <tpl hier="11" item="9"/>
          <tpl fld="0" item="0"/>
        </tpls>
      </n>
      <m in="0">
        <tpls c="5">
          <tpl fld="1" item="4"/>
          <tpl fld="2" item="13"/>
          <tpl hier="10" item="2"/>
          <tpl hier="11" item="9"/>
          <tpl fld="0" item="1"/>
        </tpls>
      </m>
      <m in="0">
        <tpls c="5">
          <tpl fld="1" item="9"/>
          <tpl fld="2" item="15"/>
          <tpl hier="10" item="2"/>
          <tpl hier="11" item="9"/>
          <tpl fld="0" item="1"/>
        </tpls>
      </m>
      <n v="-2253.25" in="0">
        <tpls c="5">
          <tpl fld="1" item="1"/>
          <tpl fld="2" item="3"/>
          <tpl hier="10" item="2"/>
          <tpl hier="11" item="9"/>
          <tpl fld="0" item="0"/>
        </tpls>
      </n>
      <m in="0">
        <tpls c="5">
          <tpl fld="1" item="7"/>
          <tpl fld="2" item="8"/>
          <tpl hier="10" item="2"/>
          <tpl hier="11" item="9"/>
          <tpl fld="0" item="0"/>
        </tpls>
      </m>
      <n v="-14368.5" in="0">
        <tpls c="4">
          <tpl fld="2" item="5"/>
          <tpl hier="10" item="2"/>
          <tpl hier="11" item="9"/>
          <tpl fld="0" item="0"/>
        </tpls>
      </n>
      <n v="-14566" in="0">
        <tpls c="5">
          <tpl fld="1" item="1"/>
          <tpl fld="2" item="10"/>
          <tpl hier="10" item="2"/>
          <tpl hier="11" item="9"/>
          <tpl fld="0" item="0"/>
        </tpls>
      </n>
      <m in="0">
        <tpls c="5">
          <tpl fld="1" item="10"/>
          <tpl fld="2" item="0"/>
          <tpl hier="10" item="2"/>
          <tpl hier="11" item="9"/>
          <tpl fld="0" item="1"/>
        </tpls>
      </m>
      <m in="0">
        <tpls c="5">
          <tpl fld="1" item="3"/>
          <tpl fld="2" item="12"/>
          <tpl hier="10" item="2"/>
          <tpl hier="11" item="9"/>
          <tpl fld="0" item="1"/>
        </tpls>
      </m>
      <m in="0">
        <tpls c="4">
          <tpl fld="2" item="9"/>
          <tpl hier="10" item="2"/>
          <tpl hier="11" item="9"/>
          <tpl fld="0" item="0"/>
        </tpls>
      </m>
      <n v="-5992.75" in="0">
        <tpls c="5">
          <tpl fld="1" item="2"/>
          <tpl fld="2" item="1"/>
          <tpl hier="10" item="2"/>
          <tpl hier="11" item="9"/>
          <tpl fld="0" item="0"/>
        </tpls>
      </n>
      <m in="0">
        <tpls c="4">
          <tpl fld="2" item="14"/>
          <tpl hier="10" item="2"/>
          <tpl hier="11" item="9"/>
          <tpl fld="0" item="0"/>
        </tpls>
      </m>
      <m in="0">
        <tpls c="5">
          <tpl fld="1" item="2"/>
          <tpl fld="2" item="10"/>
          <tpl hier="10" item="2"/>
          <tpl hier="11" item="9"/>
          <tpl fld="0" item="1"/>
        </tpls>
      </m>
      <m in="0">
        <tpls c="5">
          <tpl fld="1" item="6"/>
          <tpl fld="2" item="8"/>
          <tpl hier="10" item="2"/>
          <tpl hier="11" item="9"/>
          <tpl fld="0" item="1"/>
        </tpls>
      </m>
      <n v="-51858.75" in="0">
        <tpls c="4">
          <tpl fld="2" item="1"/>
          <tpl hier="10" item="2"/>
          <tpl hier="11" item="9"/>
          <tpl fld="0" item="0"/>
        </tpls>
      </n>
      <m in="0">
        <tpls c="5">
          <tpl fld="1" item="8"/>
          <tpl fld="2" item="6"/>
          <tpl hier="10" item="2"/>
          <tpl hier="11" item="9"/>
          <tpl fld="0" item="1"/>
        </tpls>
      </m>
      <m in="0">
        <tpls c="4">
          <tpl fld="2" item="8"/>
          <tpl hier="10" item="2"/>
          <tpl hier="11" item="9"/>
          <tpl fld="0" item="0"/>
        </tpls>
      </m>
      <m in="0">
        <tpls c="5">
          <tpl fld="1" item="1"/>
          <tpl hier="9" item="4294967295"/>
          <tpl hier="10" item="2"/>
          <tpl hier="11" item="9"/>
          <tpl fld="0" item="1"/>
        </tpls>
      </m>
      <m in="0">
        <tpls c="5">
          <tpl fld="1" item="8"/>
          <tpl fld="2" item="4"/>
          <tpl hier="10" item="2"/>
          <tpl hier="11" item="9"/>
          <tpl fld="0" item="0"/>
        </tpls>
      </m>
      <m in="0">
        <tpls c="5">
          <tpl fld="1" item="4"/>
          <tpl fld="2" item="8"/>
          <tpl hier="10" item="2"/>
          <tpl hier="11" item="9"/>
          <tpl fld="0" item="1"/>
        </tpls>
      </m>
      <n v="-10140.5" in="0">
        <tpls c="5">
          <tpl fld="1" item="7"/>
          <tpl fld="2" item="10"/>
          <tpl hier="10" item="2"/>
          <tpl hier="11" item="9"/>
          <tpl fld="0" item="0"/>
        </tpls>
      </n>
      <n v="-7386.5" in="0">
        <tpls c="5">
          <tpl fld="1" item="1"/>
          <tpl fld="2" item="15"/>
          <tpl hier="10" item="2"/>
          <tpl hier="11" item="9"/>
          <tpl fld="0" item="0"/>
        </tpls>
      </n>
      <n v="-1217.5" in="0">
        <tpls c="5">
          <tpl fld="1" item="2"/>
          <tpl fld="2" item="5"/>
          <tpl hier="10" item="2"/>
          <tpl hier="11" item="9"/>
          <tpl fld="0" item="0"/>
        </tpls>
      </n>
      <n v="-288106.5" in="0">
        <tpls c="5">
          <tpl fld="1" item="10"/>
          <tpl hier="9" item="4294967295"/>
          <tpl hier="10" item="2"/>
          <tpl hier="11" item="9"/>
          <tpl fld="0" item="0"/>
        </tpls>
      </n>
      <m in="0">
        <tpls c="5">
          <tpl fld="1" item="2"/>
          <tpl fld="2" item="5"/>
          <tpl hier="10" item="2"/>
          <tpl hier="11" item="9"/>
          <tpl fld="0" item="1"/>
        </tpls>
      </m>
      <m in="0">
        <tpls c="5">
          <tpl fld="1" item="8"/>
          <tpl fld="2" item="13"/>
          <tpl hier="10" item="2"/>
          <tpl hier="11" item="9"/>
          <tpl fld="0" item="1"/>
        </tpls>
      </m>
      <m in="0">
        <tpls c="5">
          <tpl fld="1" item="6"/>
          <tpl fld="2" item="15"/>
          <tpl hier="10" item="2"/>
          <tpl hier="11" item="9"/>
          <tpl fld="0" item="1"/>
        </tpls>
      </m>
      <m in="0">
        <tpls c="5">
          <tpl fld="1" item="7"/>
          <tpl fld="2" item="3"/>
          <tpl hier="10" item="2"/>
          <tpl hier="11" item="9"/>
          <tpl fld="0" item="1"/>
        </tpls>
      </m>
      <m in="0">
        <tpls c="5">
          <tpl fld="1" item="9"/>
          <tpl fld="2" item="14"/>
          <tpl hier="10" item="2"/>
          <tpl hier="11" item="9"/>
          <tpl fld="0" item="1"/>
        </tpls>
      </m>
      <n v="-2932.5" in="0">
        <tpls c="5">
          <tpl fld="1" item="7"/>
          <tpl fld="2" item="2"/>
          <tpl hier="10" item="2"/>
          <tpl hier="11" item="9"/>
          <tpl fld="0" item="0"/>
        </tpls>
      </n>
      <m in="0">
        <tpls c="4">
          <tpl fld="2" item="2"/>
          <tpl hier="10" item="2"/>
          <tpl hier="11" item="9"/>
          <tpl fld="0" item="1"/>
        </tpls>
      </m>
      <n v="-5556" in="0">
        <tpls c="5">
          <tpl fld="1" item="7"/>
          <tpl fld="2" item="15"/>
          <tpl hier="10" item="2"/>
          <tpl hier="11" item="9"/>
          <tpl fld="0" item="0"/>
        </tpls>
      </n>
      <n v="-184253" in="0">
        <tpls c="5">
          <tpl fld="1" item="0"/>
          <tpl fld="2" item="0"/>
          <tpl hier="10" item="2"/>
          <tpl hier="11" item="9"/>
          <tpl fld="0" item="0"/>
        </tpls>
      </n>
      <m in="0">
        <tpls c="5">
          <tpl fld="1" item="4"/>
          <tpl fld="2" item="7"/>
          <tpl hier="10" item="2"/>
          <tpl hier="11" item="9"/>
          <tpl fld="0" item="1"/>
        </tpls>
      </m>
      <m in="0">
        <tpls c="5">
          <tpl fld="1" item="0"/>
          <tpl fld="2" item="1"/>
          <tpl hier="10" item="2"/>
          <tpl hier="11" item="9"/>
          <tpl fld="0" item="1"/>
        </tpls>
      </m>
      <m in="0">
        <tpls c="5">
          <tpl fld="1" item="9"/>
          <tpl fld="2" item="6"/>
          <tpl hier="10" item="2"/>
          <tpl hier="11" item="9"/>
          <tpl fld="0" item="1"/>
        </tpls>
      </m>
      <m in="0">
        <tpls c="5">
          <tpl fld="1" item="10"/>
          <tpl fld="2" item="10"/>
          <tpl hier="10" item="2"/>
          <tpl hier="11" item="9"/>
          <tpl fld="0" item="1"/>
        </tpls>
      </m>
      <n v="-3682.25" in="0">
        <tpls c="5">
          <tpl fld="1" item="0"/>
          <tpl fld="2" item="1"/>
          <tpl hier="10" item="2"/>
          <tpl hier="11" item="9"/>
          <tpl fld="0" item="0"/>
        </tpls>
      </n>
      <n v="-4108.25" in="0">
        <tpls c="5">
          <tpl fld="1" item="1"/>
          <tpl fld="2" item="1"/>
          <tpl hier="10" item="2"/>
          <tpl hier="11" item="9"/>
          <tpl fld="0" item="0"/>
        </tpls>
      </n>
      <m in="0">
        <tpls c="5">
          <tpl fld="1" item="1"/>
          <tpl fld="2" item="12"/>
          <tpl hier="10" item="2"/>
          <tpl hier="11" item="9"/>
          <tpl fld="0" item="1"/>
        </tpls>
      </m>
      <n v="-221529.25" in="0">
        <tpls c="5">
          <tpl fld="1" item="7"/>
          <tpl fld="2" item="0"/>
          <tpl hier="10" item="2"/>
          <tpl hier="11" item="9"/>
          <tpl fld="0" item="0"/>
        </tpls>
      </n>
      <m in="0">
        <tpls c="5">
          <tpl fld="1" item="9"/>
          <tpl fld="2" item="4"/>
          <tpl hier="10" item="2"/>
          <tpl hier="11" item="9"/>
          <tpl fld="0" item="1"/>
        </tpls>
      </m>
      <m in="0">
        <tpls c="5">
          <tpl fld="1" item="3"/>
          <tpl fld="2" item="10"/>
          <tpl hier="10" item="2"/>
          <tpl hier="11" item="9"/>
          <tpl fld="0" item="1"/>
        </tpls>
      </m>
      <m in="0">
        <tpls c="5">
          <tpl fld="1" item="2"/>
          <tpl fld="2" item="4"/>
          <tpl hier="10" item="2"/>
          <tpl hier="11" item="9"/>
          <tpl fld="0" item="0"/>
        </tpls>
      </m>
      <n v="-259884.5" in="0">
        <tpls c="5">
          <tpl fld="1" item="1"/>
          <tpl hier="9" item="4294967295"/>
          <tpl hier="10" item="2"/>
          <tpl hier="11" item="9"/>
          <tpl fld="0" item="0"/>
        </tpls>
      </n>
      <m in="0">
        <tpls c="5">
          <tpl fld="1" item="11"/>
          <tpl fld="2" item="8"/>
          <tpl hier="10" item="2"/>
          <tpl hier="11" item="9"/>
          <tpl fld="0" item="1"/>
        </tpls>
      </m>
      <m in="0">
        <tpls c="5">
          <tpl fld="1" item="1"/>
          <tpl fld="2" item="6"/>
          <tpl hier="10" item="2"/>
          <tpl hier="11" item="9"/>
          <tpl fld="0" item="1"/>
        </tpls>
      </m>
      <m in="0">
        <tpls c="5">
          <tpl fld="1" item="0"/>
          <tpl fld="2" item="7"/>
          <tpl hier="10" item="2"/>
          <tpl hier="11" item="9"/>
          <tpl fld="0" item="1"/>
        </tpls>
      </m>
      <n v="-1266.75" in="0">
        <tpls c="5">
          <tpl fld="1" item="1"/>
          <tpl fld="2" item="5"/>
          <tpl hier="10" item="2"/>
          <tpl hier="11" item="9"/>
          <tpl fld="0" item="0"/>
        </tpls>
      </n>
      <m in="0">
        <tpls c="5">
          <tpl fld="1" item="0"/>
          <tpl fld="2" item="7"/>
          <tpl hier="10" item="2"/>
          <tpl hier="11" item="9"/>
          <tpl fld="0" item="0"/>
        </tpls>
      </m>
      <m in="0">
        <tpls c="5">
          <tpl fld="1" item="7"/>
          <tpl fld="2" item="2"/>
          <tpl hier="10" item="2"/>
          <tpl hier="11" item="9"/>
          <tpl fld="0" item="1"/>
        </tpls>
      </m>
      <m in="0">
        <tpls c="5">
          <tpl fld="1" item="8"/>
          <tpl hier="9" item="4294967295"/>
          <tpl hier="10" item="2"/>
          <tpl hier="11" item="9"/>
          <tpl fld="0" item="1"/>
        </tpls>
      </m>
      <m in="0">
        <tpls c="5">
          <tpl fld="1" item="1"/>
          <tpl fld="2" item="9"/>
          <tpl hier="10" item="2"/>
          <tpl hier="11" item="9"/>
          <tpl fld="0" item="0"/>
        </tpls>
      </m>
      <m in="0">
        <tpls c="5">
          <tpl fld="1" item="2"/>
          <tpl fld="2" item="7"/>
          <tpl hier="10" item="2"/>
          <tpl hier="11" item="9"/>
          <tpl fld="0" item="1"/>
        </tpls>
      </m>
      <n v="-1904" in="0">
        <tpls c="5">
          <tpl fld="1" item="8"/>
          <tpl fld="2" item="2"/>
          <tpl hier="10" item="2"/>
          <tpl hier="11" item="9"/>
          <tpl fld="0" item="0"/>
        </tpls>
      </n>
      <m in="0">
        <tpls c="5">
          <tpl fld="1" item="6"/>
          <tpl fld="2" item="5"/>
          <tpl hier="10" item="2"/>
          <tpl hier="11" item="9"/>
          <tpl fld="0" item="1"/>
        </tpls>
      </m>
      <m in="0">
        <tpls c="5">
          <tpl fld="1" item="8"/>
          <tpl fld="2" item="7"/>
          <tpl hier="10" item="2"/>
          <tpl hier="11" item="9"/>
          <tpl fld="0" item="0"/>
        </tpls>
      </m>
      <n v="-4049.5" in="0">
        <tpls c="5">
          <tpl fld="1" item="4"/>
          <tpl fld="2" item="12"/>
          <tpl hier="10" item="2"/>
          <tpl hier="11" item="9"/>
          <tpl fld="0" item="0"/>
        </tpls>
      </n>
      <m in="0">
        <tpls c="5">
          <tpl fld="1" item="7"/>
          <tpl fld="2" item="7"/>
          <tpl hier="10" item="2"/>
          <tpl hier="11" item="9"/>
          <tpl fld="0" item="0"/>
        </tpls>
      </m>
      <m in="0">
        <tpls c="5">
          <tpl fld="1" item="4"/>
          <tpl fld="2" item="1"/>
          <tpl hier="10" item="2"/>
          <tpl hier="11" item="9"/>
          <tpl fld="0" item="1"/>
        </tpls>
      </m>
      <n v="-503" in="0">
        <tpls c="5">
          <tpl fld="1" item="6"/>
          <tpl fld="2" item="11"/>
          <tpl hier="10" item="2"/>
          <tpl hier="11" item="9"/>
          <tpl fld="0" item="0"/>
        </tpls>
      </n>
      <n v="-6247.25" in="0">
        <tpls c="5">
          <tpl fld="1" item="2"/>
          <tpl fld="2" item="13"/>
          <tpl hier="10" item="2"/>
          <tpl hier="11" item="9"/>
          <tpl fld="0" item="0"/>
        </tpls>
      </n>
      <n v="-1269" in="0">
        <tpls c="5">
          <tpl fld="1" item="4"/>
          <tpl fld="2" item="5"/>
          <tpl hier="10" item="2"/>
          <tpl hier="11" item="9"/>
          <tpl fld="0" item="0"/>
        </tpls>
      </n>
      <m in="0">
        <tpls c="5">
          <tpl fld="1" item="10"/>
          <tpl fld="2" item="14"/>
          <tpl hier="10" item="2"/>
          <tpl hier="11" item="9"/>
          <tpl fld="0" item="1"/>
        </tpls>
      </m>
      <m in="0">
        <tpls c="4">
          <tpl fld="2" item="6"/>
          <tpl hier="10" item="2"/>
          <tpl hier="11" item="9"/>
          <tpl fld="0" item="1"/>
        </tpls>
      </m>
      <m in="0">
        <tpls c="5">
          <tpl fld="1" item="6"/>
          <tpl hier="9" item="4294967295"/>
          <tpl hier="10" item="2"/>
          <tpl hier="11" item="9"/>
          <tpl fld="0" item="1"/>
        </tpls>
      </m>
      <n v="-4646.5" in="0">
        <tpls c="5">
          <tpl fld="1" item="11"/>
          <tpl fld="2" item="15"/>
          <tpl hier="10" item="2"/>
          <tpl hier="11" item="9"/>
          <tpl fld="0" item="0"/>
        </tpls>
      </n>
      <m in="0">
        <tpls c="5">
          <tpl fld="1" item="0"/>
          <tpl fld="2" item="10"/>
          <tpl hier="10" item="2"/>
          <tpl hier="11" item="9"/>
          <tpl fld="0" item="1"/>
        </tpls>
      </m>
      <n v="-4083.5" in="0">
        <tpls c="5">
          <tpl fld="1" item="7"/>
          <tpl fld="2" item="1"/>
          <tpl hier="10" item="2"/>
          <tpl hier="11" item="9"/>
          <tpl fld="0" item="0"/>
        </tpls>
      </n>
      <m in="0">
        <tpls c="5">
          <tpl fld="1" item="4"/>
          <tpl fld="2" item="3"/>
          <tpl hier="10" item="2"/>
          <tpl hier="11" item="9"/>
          <tpl fld="0" item="1"/>
        </tpls>
      </m>
      <m in="0">
        <tpls c="5">
          <tpl fld="1" item="6"/>
          <tpl fld="2" item="7"/>
          <tpl hier="10" item="2"/>
          <tpl hier="11" item="9"/>
          <tpl fld="0" item="0"/>
        </tpls>
      </m>
      <n v="-5354.75" in="0">
        <tpls c="5">
          <tpl fld="1" item="1"/>
          <tpl fld="2" item="13"/>
          <tpl hier="10" item="2"/>
          <tpl hier="11" item="9"/>
          <tpl fld="0" item="0"/>
        </tpls>
      </n>
      <m in="0">
        <tpls c="5">
          <tpl fld="1" item="4"/>
          <tpl fld="2" item="14"/>
          <tpl hier="10" item="2"/>
          <tpl hier="11" item="9"/>
          <tpl fld="0" item="1"/>
        </tpls>
      </m>
      <m in="0">
        <tpls c="4">
          <tpl hier="9" item="4294967295"/>
          <tpl hier="10" item="2"/>
          <tpl hier="11" item="9"/>
          <tpl fld="0" item="1"/>
        </tpls>
      </m>
      <m in="0">
        <tpls c="5">
          <tpl fld="1" item="0"/>
          <tpl fld="2" item="11"/>
          <tpl hier="10" item="2"/>
          <tpl hier="11" item="9"/>
          <tpl fld="0" item="1"/>
        </tpls>
      </m>
      <m in="0">
        <tpls c="5">
          <tpl fld="1" item="2"/>
          <tpl fld="2" item="7"/>
          <tpl hier="10" item="2"/>
          <tpl hier="11" item="9"/>
          <tpl fld="0" item="0"/>
        </tpls>
      </m>
      <m in="0">
        <tpls c="5">
          <tpl fld="1" item="4"/>
          <tpl fld="2" item="10"/>
          <tpl hier="10" item="2"/>
          <tpl hier="11" item="9"/>
          <tpl fld="0" item="1"/>
        </tpls>
      </m>
      <m in="0">
        <tpls c="5">
          <tpl fld="1" item="11"/>
          <tpl fld="2" item="12"/>
          <tpl hier="10" item="2"/>
          <tpl hier="11" item="9"/>
          <tpl fld="0" item="1"/>
        </tpls>
      </m>
      <m in="0">
        <tpls c="5">
          <tpl fld="1" item="6"/>
          <tpl fld="2" item="7"/>
          <tpl hier="10" item="2"/>
          <tpl hier="11" item="9"/>
          <tpl fld="0" item="1"/>
        </tpls>
      </m>
      <m in="0">
        <tpls c="4">
          <tpl fld="2" item="11"/>
          <tpl hier="10" item="2"/>
          <tpl hier="11" item="9"/>
          <tpl fld="0" item="1"/>
        </tpls>
      </m>
      <n v="-13188.75" in="0">
        <tpls c="5">
          <tpl fld="1" item="4"/>
          <tpl fld="2" item="10"/>
          <tpl hier="10" item="2"/>
          <tpl hier="11" item="9"/>
          <tpl fld="0" item="0"/>
        </tpls>
      </n>
      <n v="-25797" in="0">
        <tpls c="4">
          <tpl fld="2" item="2"/>
          <tpl hier="10" item="2"/>
          <tpl hier="11" item="9"/>
          <tpl fld="0" item="0"/>
        </tpls>
      </n>
      <m in="0">
        <tpls c="5">
          <tpl fld="1" item="7"/>
          <tpl fld="2" item="14"/>
          <tpl hier="10" item="2"/>
          <tpl hier="11" item="9"/>
          <tpl fld="0" item="0"/>
        </tpls>
      </m>
      <m in="0">
        <tpls c="4">
          <tpl fld="2" item="7"/>
          <tpl hier="10" item="2"/>
          <tpl hier="11" item="9"/>
          <tpl fld="0" item="0"/>
        </tpls>
      </m>
      <n v="-3459.5" in="0">
        <tpls c="5">
          <tpl fld="1" item="5"/>
          <tpl fld="2" item="13"/>
          <tpl hier="10" item="2"/>
          <tpl hier="11" item="9"/>
          <tpl fld="0" item="0"/>
        </tpls>
      </n>
      <m in="0">
        <tpls c="4">
          <tpl fld="2" item="1"/>
          <tpl hier="10" item="2"/>
          <tpl hier="11" item="9"/>
          <tpl fld="0" item="1"/>
        </tpls>
      </m>
      <m in="0">
        <tpls c="5">
          <tpl fld="1" item="0"/>
          <tpl fld="2" item="12"/>
          <tpl hier="10" item="2"/>
          <tpl hier="11" item="9"/>
          <tpl fld="0" item="1"/>
        </tpls>
      </m>
      <m in="0">
        <tpls c="5">
          <tpl fld="1" item="2"/>
          <tpl fld="2" item="8"/>
          <tpl hier="10" item="2"/>
          <tpl hier="11" item="9"/>
          <tpl fld="0" item="1"/>
        </tpls>
      </m>
      <m in="0">
        <tpls c="5">
          <tpl fld="1" item="7"/>
          <tpl fld="2" item="0"/>
          <tpl hier="10" item="2"/>
          <tpl hier="11" item="9"/>
          <tpl fld="0" item="1"/>
        </tpls>
      </m>
      <m in="0">
        <tpls c="4">
          <tpl fld="2" item="7"/>
          <tpl hier="10" item="2"/>
          <tpl hier="11" item="9"/>
          <tpl fld="0" item="1"/>
        </tpls>
      </m>
      <m in="0">
        <tpls c="5">
          <tpl fld="1" item="5"/>
          <tpl fld="2" item="13"/>
          <tpl hier="10" item="2"/>
          <tpl hier="11" item="9"/>
          <tpl fld="0" item="1"/>
        </tpls>
      </m>
      <n v="-201374.25" in="0">
        <tpls c="4">
          <tpl fld="2" item="6"/>
          <tpl hier="10" item="2"/>
          <tpl hier="11" item="9"/>
          <tpl fld="0" item="0"/>
        </tpls>
      </n>
      <n v="-612.5" in="0">
        <tpls c="5">
          <tpl fld="1" item="11"/>
          <tpl fld="2" item="11"/>
          <tpl hier="10" item="2"/>
          <tpl hier="11" item="9"/>
          <tpl fld="0" item="0"/>
        </tpls>
      </n>
      <m in="0">
        <tpls c="5">
          <tpl fld="1" item="11"/>
          <tpl fld="2" item="3"/>
          <tpl hier="10" item="2"/>
          <tpl hier="11" item="9"/>
          <tpl fld="0" item="1"/>
        </tpls>
      </m>
      <n v="-153352.75" in="0">
        <tpls c="4">
          <tpl fld="2" item="10"/>
          <tpl hier="10" item="2"/>
          <tpl hier="11" item="9"/>
          <tpl fld="0" item="0"/>
        </tpls>
      </n>
      <m in="0">
        <tpls c="5">
          <tpl fld="1" item="11"/>
          <tpl fld="2" item="9"/>
          <tpl hier="10" item="2"/>
          <tpl hier="11" item="9"/>
          <tpl fld="0" item="0"/>
        </tpls>
      </m>
      <n v="-2877446" in="0">
        <tpls c="4">
          <tpl fld="2" item="0"/>
          <tpl hier="10" item="2"/>
          <tpl hier="11" item="9"/>
          <tpl fld="0" item="0"/>
        </tpls>
      </n>
      <m in="0">
        <tpls c="5">
          <tpl fld="1" item="8"/>
          <tpl fld="2" item="1"/>
          <tpl hier="10" item="2"/>
          <tpl hier="11" item="9"/>
          <tpl fld="0" item="1"/>
        </tpls>
      </m>
      <m in="0">
        <tpls c="4">
          <tpl fld="2" item="5"/>
          <tpl hier="10" item="2"/>
          <tpl hier="11" item="9"/>
          <tpl fld="0" item="1"/>
        </tpls>
      </m>
      <m in="0">
        <tpls c="4">
          <tpl fld="2" item="10"/>
          <tpl hier="10" item="2"/>
          <tpl hier="11" item="9"/>
          <tpl fld="0" item="1"/>
        </tpls>
      </m>
      <n v="-1010.5" in="0">
        <tpls c="5">
          <tpl fld="1" item="11"/>
          <tpl fld="2" item="5"/>
          <tpl hier="10" item="2"/>
          <tpl hier="11" item="9"/>
          <tpl fld="0" item="0"/>
        </tpls>
      </n>
      <n v="-27934.5" in="0">
        <tpls c="4">
          <tpl fld="2" item="3"/>
          <tpl hier="10" item="2"/>
          <tpl hier="11" item="9"/>
          <tpl fld="0" item="0"/>
        </tpls>
      </n>
      <m in="0">
        <tpls c="5">
          <tpl fld="1" item="8"/>
          <tpl fld="2" item="4"/>
          <tpl hier="10" item="2"/>
          <tpl hier="11" item="9"/>
          <tpl fld="0" item="1"/>
        </tpls>
      </m>
      <n v="-8425" in="0">
        <tpls c="5">
          <tpl fld="1" item="11"/>
          <tpl fld="2" item="10"/>
          <tpl hier="10" item="2"/>
          <tpl hier="11" item="9"/>
          <tpl fld="0" item="0"/>
        </tpls>
      </n>
      <m in="0">
        <tpls c="5">
          <tpl fld="1" item="9"/>
          <tpl hier="9" item="4294967295"/>
          <tpl hier="10" item="2"/>
          <tpl hier="11" item="9"/>
          <tpl fld="0" item="1"/>
        </tpls>
      </m>
      <n v="-1919.5" in="0">
        <tpls c="5">
          <tpl fld="1" item="3"/>
          <tpl fld="2" item="3"/>
          <tpl hier="10" item="2"/>
          <tpl hier="11" item="9"/>
          <tpl fld="0" item="0"/>
        </tpls>
      </n>
      <n v="-2099.5" in="0">
        <tpls c="5">
          <tpl fld="1" item="9"/>
          <tpl fld="2" item="2"/>
          <tpl hier="10" item="2"/>
          <tpl hier="11" item="9"/>
          <tpl fld="0" item="0"/>
        </tpls>
      </n>
      <n v="-2107.75" in="0">
        <tpls c="5">
          <tpl fld="1" item="11"/>
          <tpl fld="2" item="2"/>
          <tpl hier="10" item="2"/>
          <tpl hier="11" item="9"/>
          <tpl fld="0" item="0"/>
        </tpls>
      </n>
      <n v="-504.5" in="0">
        <tpls c="5">
          <tpl fld="1" item="10"/>
          <tpl fld="2" item="11"/>
          <tpl hier="10" item="2"/>
          <tpl hier="11" item="9"/>
          <tpl fld="0" item="0"/>
        </tpls>
      </n>
      <m in="0">
        <tpls c="5">
          <tpl fld="1" item="1"/>
          <tpl fld="2" item="3"/>
          <tpl hier="10" item="2"/>
          <tpl hier="11" item="9"/>
          <tpl fld="0" item="1"/>
        </tpls>
      </m>
      <m in="0">
        <tpls c="5">
          <tpl fld="1" item="2"/>
          <tpl fld="2" item="12"/>
          <tpl hier="10" item="2"/>
          <tpl hier="11" item="9"/>
          <tpl fld="0" item="1"/>
        </tpls>
      </m>
      <m in="0">
        <tpls c="4">
          <tpl fld="2" item="4"/>
          <tpl hier="10" item="2"/>
          <tpl hier="11" item="9"/>
          <tpl fld="0" item="0"/>
        </tpls>
      </m>
      <m in="0">
        <tpls c="5">
          <tpl fld="1" item="5"/>
          <tpl fld="2" item="8"/>
          <tpl hier="10" item="2"/>
          <tpl hier="11" item="9"/>
          <tpl fld="0" item="0"/>
        </tpls>
      </m>
      <n v="-4435" in="0">
        <tpls c="5">
          <tpl fld="1" item="1"/>
          <tpl fld="2" item="12"/>
          <tpl hier="10" item="2"/>
          <tpl hier="11" item="9"/>
          <tpl fld="0" item="0"/>
        </tpls>
      </n>
      <m in="0">
        <tpls c="5">
          <tpl fld="1" item="2"/>
          <tpl hier="9" item="4294967295"/>
          <tpl hier="10" item="2"/>
          <tpl hier="11" item="9"/>
          <tpl fld="0" item="1"/>
        </tpls>
      </m>
      <n v="-5118.75" in="0">
        <tpls c="5">
          <tpl fld="1" item="0"/>
          <tpl fld="2" item="15"/>
          <tpl hier="10" item="2"/>
          <tpl hier="11" item="9"/>
          <tpl fld="0" item="0"/>
        </tpls>
      </n>
      <m in="0">
        <tpls c="5">
          <tpl fld="1" item="10"/>
          <tpl fld="2" item="8"/>
          <tpl hier="10" item="2"/>
          <tpl hier="11" item="9"/>
          <tpl fld="0" item="1"/>
        </tpls>
      </m>
      <n v="-706.5" in="0">
        <tpls c="5">
          <tpl fld="1" item="4"/>
          <tpl fld="2" item="11"/>
          <tpl hier="10" item="2"/>
          <tpl hier="11" item="9"/>
          <tpl fld="0" item="0"/>
        </tpls>
      </n>
      <n v="-4595.25" in="0">
        <tpls c="5">
          <tpl fld="1" item="11"/>
          <tpl fld="2" item="12"/>
          <tpl hier="10" item="2"/>
          <tpl hier="11" item="9"/>
          <tpl fld="0" item="0"/>
        </tpls>
      </n>
      <n v="-5091.75" in="0">
        <tpls c="5">
          <tpl fld="1" item="5"/>
          <tpl fld="2" item="12"/>
          <tpl hier="10" item="2"/>
          <tpl hier="11" item="9"/>
          <tpl fld="0" item="0"/>
        </tpls>
      </n>
      <m in="0">
        <tpls c="5">
          <tpl fld="1" item="2"/>
          <tpl fld="2" item="15"/>
          <tpl hier="10" item="2"/>
          <tpl hier="11" item="9"/>
          <tpl fld="0" item="1"/>
        </tpls>
      </m>
      <n v="-13632" in="0">
        <tpls c="5">
          <tpl fld="1" item="6"/>
          <tpl fld="2" item="6"/>
          <tpl hier="10" item="2"/>
          <tpl hier="11" item="9"/>
          <tpl fld="0" item="0"/>
        </tpls>
      </n>
      <n v="-4168.75" in="0">
        <tpls c="5">
          <tpl fld="1" item="8"/>
          <tpl fld="2" item="1"/>
          <tpl hier="10" item="2"/>
          <tpl hier="11" item="9"/>
          <tpl fld="0" item="0"/>
        </tpls>
      </n>
      <m in="0">
        <tpls c="5">
          <tpl fld="1" item="9"/>
          <tpl fld="2" item="9"/>
          <tpl hier="10" item="2"/>
          <tpl hier="11" item="9"/>
          <tpl fld="0" item="0"/>
        </tpls>
      </m>
      <n v="-9027.75" in="0">
        <tpls c="5">
          <tpl fld="1" item="9"/>
          <tpl fld="2" item="15"/>
          <tpl hier="10" item="2"/>
          <tpl hier="11" item="9"/>
          <tpl fld="0" item="0"/>
        </tpls>
      </n>
      <m in="0">
        <tpls c="5">
          <tpl fld="1" item="2"/>
          <tpl fld="2" item="11"/>
          <tpl hier="10" item="2"/>
          <tpl hier="11" item="9"/>
          <tpl fld="0" item="1"/>
        </tpls>
      </m>
      <m in="0">
        <tpls c="5">
          <tpl fld="1" item="4"/>
          <tpl fld="2" item="14"/>
          <tpl hier="10" item="2"/>
          <tpl hier="11" item="9"/>
          <tpl fld="0" item="0"/>
        </tpls>
      </m>
      <n v="-232345.25" in="0">
        <tpls c="5">
          <tpl fld="1" item="2"/>
          <tpl fld="2" item="0"/>
          <tpl hier="10" item="2"/>
          <tpl hier="11" item="9"/>
          <tpl fld="0" item="0"/>
        </tpls>
      </n>
      <m in="0">
        <tpls c="5">
          <tpl fld="1" item="11"/>
          <tpl fld="2" item="1"/>
          <tpl hier="10" item="2"/>
          <tpl hier="11" item="9"/>
          <tpl fld="0" item="1"/>
        </tpls>
      </m>
      <n v="-268502.75" in="0">
        <tpls c="5">
          <tpl fld="1" item="5"/>
          <tpl fld="2" item="0"/>
          <tpl hier="10" item="2"/>
          <tpl hier="11" item="9"/>
          <tpl fld="0" item="0"/>
        </tpls>
      </n>
      <m in="0">
        <tpls c="5">
          <tpl fld="1" item="11"/>
          <tpl fld="2" item="9"/>
          <tpl hier="10" item="2"/>
          <tpl hier="11" item="9"/>
          <tpl fld="0" item="1"/>
        </tpls>
      </m>
      <m in="0">
        <tpls c="5">
          <tpl fld="1" item="6"/>
          <tpl fld="2" item="4"/>
          <tpl hier="10" item="2"/>
          <tpl hier="11" item="9"/>
          <tpl fld="0" item="0"/>
        </tpls>
      </m>
      <m in="0">
        <tpls c="5">
          <tpl fld="1" item="4"/>
          <tpl fld="2" item="4"/>
          <tpl hier="10" item="2"/>
          <tpl hier="11" item="9"/>
          <tpl fld="0" item="1"/>
        </tpls>
      </m>
      <n v="-4968.5" in="0">
        <tpls c="5">
          <tpl fld="1" item="3"/>
          <tpl fld="2" item="12"/>
          <tpl hier="10" item="2"/>
          <tpl hier="11" item="9"/>
          <tpl fld="0" item="0"/>
        </tpls>
      </n>
      <n v="-585.25" in="0">
        <tpls c="5">
          <tpl fld="1" item="2"/>
          <tpl fld="2" item="11"/>
          <tpl hier="10" item="2"/>
          <tpl hier="11" item="9"/>
          <tpl fld="0" item="0"/>
        </tpls>
      </n>
      <m in="0">
        <tpls c="5">
          <tpl fld="1" item="5"/>
          <tpl fld="2" item="8"/>
          <tpl hier="10" item="2"/>
          <tpl hier="11" item="9"/>
          <tpl fld="0" item="1"/>
        </tpls>
      </m>
      <n v="-1134.25" in="0">
        <tpls c="5">
          <tpl fld="1" item="7"/>
          <tpl fld="2" item="5"/>
          <tpl hier="10" item="2"/>
          <tpl hier="11" item="9"/>
          <tpl fld="0" item="0"/>
        </tpls>
      </n>
      <m in="0">
        <tpls c="5">
          <tpl fld="1" item="7"/>
          <tpl fld="2" item="7"/>
          <tpl hier="10" item="2"/>
          <tpl hier="11" item="9"/>
          <tpl fld="0" item="1"/>
        </tpls>
      </m>
      <n v="-11231" in="0">
        <tpls c="5">
          <tpl fld="1" item="2"/>
          <tpl fld="2" item="10"/>
          <tpl hier="10" item="2"/>
          <tpl hier="11" item="9"/>
          <tpl fld="0" item="0"/>
        </tpls>
      </n>
      <m in="0">
        <tpls c="5">
          <tpl fld="1" item="6"/>
          <tpl fld="2" item="11"/>
          <tpl hier="10" item="2"/>
          <tpl hier="11" item="9"/>
          <tpl fld="0" item="1"/>
        </tpls>
      </m>
      <m in="0">
        <tpls c="5">
          <tpl fld="1" item="2"/>
          <tpl fld="2" item="13"/>
          <tpl hier="10" item="2"/>
          <tpl hier="11" item="9"/>
          <tpl fld="0" item="1"/>
        </tpls>
      </m>
      <m in="0">
        <tpls c="5">
          <tpl fld="1" item="4"/>
          <tpl fld="2" item="4"/>
          <tpl hier="10" item="2"/>
          <tpl hier="11" item="9"/>
          <tpl fld="0" item="0"/>
        </tpls>
      </m>
      <m in="0">
        <tpls c="5">
          <tpl fld="1" item="7"/>
          <tpl fld="2" item="14"/>
          <tpl hier="10" item="2"/>
          <tpl hier="11" item="9"/>
          <tpl fld="0" item="1"/>
        </tpls>
      </m>
      <m in="0">
        <tpls c="4">
          <tpl fld="2" item="8"/>
          <tpl hier="10" item="2"/>
          <tpl hier="11" item="9"/>
          <tpl fld="0" item="1"/>
        </tpls>
      </m>
      <n v="-3547120.75" in="0">
        <tpls c="4">
          <tpl hier="9" item="4294967295"/>
          <tpl hier="10" item="2"/>
          <tpl hier="11" item="9"/>
          <tpl fld="0" item="0"/>
        </tpls>
      </n>
      <n v="-6498.5" in="0">
        <tpls c="5">
          <tpl fld="1" item="10"/>
          <tpl fld="2" item="15"/>
          <tpl hier="10" item="2"/>
          <tpl hier="11" item="9"/>
          <tpl fld="0" item="0"/>
        </tpls>
      </n>
      <n v="-16102.75" in="0">
        <tpls c="5">
          <tpl fld="1" item="0"/>
          <tpl fld="2" item="10"/>
          <tpl hier="10" item="2"/>
          <tpl hier="11" item="9"/>
          <tpl fld="0" item="0"/>
        </tpls>
      </n>
      <n v="-2092.25" in="0">
        <tpls c="5">
          <tpl fld="1" item="2"/>
          <tpl fld="2" item="2"/>
          <tpl hier="10" item="2"/>
          <tpl hier="11" item="9"/>
          <tpl fld="0" item="0"/>
        </tpls>
      </n>
      <n v="-3359" in="0">
        <tpls c="5">
          <tpl fld="1" item="4"/>
          <tpl fld="2" item="13"/>
          <tpl hier="10" item="2"/>
          <tpl hier="11" item="9"/>
          <tpl fld="0" item="0"/>
        </tpls>
      </n>
      <m in="0">
        <tpls c="5">
          <tpl fld="1" item="1"/>
          <tpl fld="2" item="10"/>
          <tpl hier="10" item="2"/>
          <tpl hier="11" item="9"/>
          <tpl fld="0" item="1"/>
        </tpls>
      </m>
      <n v="-6414" in="0">
        <tpls c="4">
          <tpl fld="2" item="11"/>
          <tpl hier="10" item="2"/>
          <tpl hier="11" item="9"/>
          <tpl fld="0" item="0"/>
        </tpls>
      </n>
      <m in="0">
        <tpls c="4">
          <tpl fld="2" item="3"/>
          <tpl hier="10" item="2"/>
          <tpl hier="11" item="9"/>
          <tpl fld="0" item="1"/>
        </tpls>
      </m>
      <m in="0">
        <tpls c="5">
          <tpl fld="1" item="10"/>
          <tpl fld="2" item="15"/>
          <tpl hier="10" item="2"/>
          <tpl hier="11" item="9"/>
          <tpl fld="0" item="1"/>
        </tpls>
      </m>
      <m in="0">
        <tpls c="5">
          <tpl fld="1" item="1"/>
          <tpl fld="2" item="8"/>
          <tpl hier="10" item="2"/>
          <tpl hier="11" item="9"/>
          <tpl fld="0" item="1"/>
        </tpls>
      </m>
      <m in="0">
        <tpls c="5">
          <tpl fld="1" item="6"/>
          <tpl fld="2" item="3"/>
          <tpl hier="10" item="2"/>
          <tpl hier="11" item="9"/>
          <tpl fld="0" item="1"/>
        </tpls>
      </m>
      <m in="0">
        <tpls c="5">
          <tpl fld="1" item="8"/>
          <tpl fld="2" item="5"/>
          <tpl hier="10" item="2"/>
          <tpl hier="11" item="9"/>
          <tpl fld="0" item="1"/>
        </tpls>
      </m>
      <m in="0">
        <tpls c="5">
          <tpl fld="1" item="5"/>
          <tpl fld="2" item="10"/>
          <tpl hier="10" item="2"/>
          <tpl hier="11" item="9"/>
          <tpl fld="0" item="1"/>
        </tpls>
      </m>
      <m in="0">
        <tpls c="5">
          <tpl fld="1" item="1"/>
          <tpl fld="2" item="13"/>
          <tpl hier="10" item="2"/>
          <tpl hier="11" item="9"/>
          <tpl fld="0" item="1"/>
        </tpls>
      </m>
      <m in="0">
        <tpls c="5">
          <tpl fld="1" item="9"/>
          <tpl fld="2" item="14"/>
          <tpl hier="10" item="2"/>
          <tpl hier="11" item="9"/>
          <tpl fld="0" item="0"/>
        </tpls>
      </m>
      <n v="-419.75" in="0">
        <tpls c="5">
          <tpl fld="1" item="0"/>
          <tpl fld="2" item="11"/>
          <tpl hier="10" item="2"/>
          <tpl hier="11" item="9"/>
          <tpl fld="0" item="0"/>
        </tpls>
      </n>
      <m in="0">
        <tpls c="5">
          <tpl fld="1" item="7"/>
          <tpl fld="2" item="11"/>
          <tpl hier="10" item="2"/>
          <tpl hier="11" item="9"/>
          <tpl fld="0" item="1"/>
        </tpls>
      </m>
      <m in="0">
        <tpls c="5">
          <tpl fld="1" item="6"/>
          <tpl fld="2" item="13"/>
          <tpl hier="10" item="2"/>
          <tpl hier="11" item="9"/>
          <tpl fld="0" item="1"/>
        </tpls>
      </m>
      <n v="-17308" in="0">
        <tpls c="5">
          <tpl fld="1" item="6"/>
          <tpl fld="2" item="10"/>
          <tpl hier="10" item="2"/>
          <tpl hier="11" item="9"/>
          <tpl fld="0" item="0"/>
        </tpls>
      </n>
      <n v="-233095.5" in="0">
        <tpls c="5">
          <tpl fld="1" item="4"/>
          <tpl fld="2" item="0"/>
          <tpl hier="10" item="2"/>
          <tpl hier="11" item="9"/>
          <tpl fld="0" item="0"/>
        </tpls>
      </n>
      <n v="-58497.75" in="0">
        <tpls c="4">
          <tpl fld="2" item="13"/>
          <tpl hier="10" item="2"/>
          <tpl hier="11" item="9"/>
          <tpl fld="0" item="0"/>
        </tpls>
      </n>
      <m in="0">
        <tpls c="5">
          <tpl fld="1" item="3"/>
          <tpl fld="2" item="2"/>
          <tpl hier="10" item="2"/>
          <tpl hier="11" item="9"/>
          <tpl fld="0" item="1"/>
        </tpls>
      </m>
      <m in="0">
        <tpls c="5">
          <tpl fld="1" item="1"/>
          <tpl fld="2" item="0"/>
          <tpl hier="10" item="2"/>
          <tpl hier="11" item="9"/>
          <tpl fld="0" item="1"/>
        </tpls>
      </m>
      <m in="0">
        <tpls c="5">
          <tpl fld="1" item="6"/>
          <tpl fld="2" item="10"/>
          <tpl hier="10" item="2"/>
          <tpl hier="11" item="9"/>
          <tpl fld="0" item="1"/>
        </tpls>
      </m>
      <n v="-4158.75" in="0">
        <tpls c="5">
          <tpl fld="1" item="4"/>
          <tpl fld="2" item="1"/>
          <tpl hier="10" item="2"/>
          <tpl hier="11" item="9"/>
          <tpl fld="0" item="0"/>
        </tpls>
      </n>
      <m in="0">
        <tpls c="5">
          <tpl fld="1" item="3"/>
          <tpl fld="2" item="7"/>
          <tpl hier="10" item="2"/>
          <tpl hier="11" item="9"/>
          <tpl fld="0" item="1"/>
        </tpls>
      </m>
      <m in="0">
        <tpls c="5">
          <tpl fld="1" item="8"/>
          <tpl fld="2" item="8"/>
          <tpl hier="10" item="2"/>
          <tpl hier="11" item="9"/>
          <tpl fld="0" item="0"/>
        </tpls>
      </m>
      <n v="-4693" in="0">
        <tpls c="5">
          <tpl fld="1" item="9"/>
          <tpl fld="2" item="13"/>
          <tpl hier="10" item="2"/>
          <tpl hier="11" item="9"/>
          <tpl fld="0" item="0"/>
        </tpls>
      </n>
      <n v="-286008.5" in="0">
        <tpls c="5">
          <tpl fld="1" item="2"/>
          <tpl hier="9" item="4294967295"/>
          <tpl hier="10" item="2"/>
          <tpl hier="11" item="9"/>
          <tpl fld="0" item="0"/>
        </tpls>
      </n>
      <m in="0">
        <tpls c="5">
          <tpl fld="1" item="0"/>
          <tpl fld="2" item="13"/>
          <tpl hier="10" item="2"/>
          <tpl hier="11" item="9"/>
          <tpl fld="0" item="1"/>
        </tpls>
      </m>
      <m in="0">
        <tpls c="5">
          <tpl fld="1" item="1"/>
          <tpl fld="2" item="5"/>
          <tpl hier="10" item="2"/>
          <tpl hier="11" item="9"/>
          <tpl fld="0" item="1"/>
        </tpls>
      </m>
      <n v="-2374" in="0">
        <tpls c="5">
          <tpl fld="1" item="4"/>
          <tpl fld="2" item="2"/>
          <tpl hier="10" item="2"/>
          <tpl hier="11" item="9"/>
          <tpl fld="0" item="0"/>
        </tpls>
      </n>
      <m in="0">
        <tpls c="5">
          <tpl fld="1" item="9"/>
          <tpl fld="2" item="13"/>
          <tpl hier="10" item="2"/>
          <tpl hier="11" item="9"/>
          <tpl fld="0" item="1"/>
        </tpls>
      </m>
      <m in="0">
        <tpls c="5">
          <tpl fld="1" item="0"/>
          <tpl hier="9" item="4294967295"/>
          <tpl hier="10" item="2"/>
          <tpl hier="11" item="9"/>
          <tpl fld="0" item="1"/>
        </tpls>
      </m>
      <n v="-20462.5" in="0">
        <tpls c="5">
          <tpl fld="1" item="4"/>
          <tpl fld="2" item="6"/>
          <tpl hier="10" item="2"/>
          <tpl hier="11" item="9"/>
          <tpl fld="0" item="0"/>
        </tpls>
      </n>
      <m in="0">
        <tpls c="5">
          <tpl fld="1" item="4"/>
          <tpl fld="2" item="2"/>
          <tpl hier="10" item="2"/>
          <tpl hier="11" item="9"/>
          <tpl fld="0" item="1"/>
        </tpls>
      </m>
      <m in="0">
        <tpls c="5">
          <tpl fld="1" item="4"/>
          <tpl fld="2" item="12"/>
          <tpl hier="10" item="2"/>
          <tpl hier="11" item="9"/>
          <tpl fld="0" item="1"/>
        </tpls>
      </m>
      <m in="0">
        <tpls c="5">
          <tpl fld="1" item="6"/>
          <tpl fld="2" item="14"/>
          <tpl hier="10" item="2"/>
          <tpl hier="11" item="9"/>
          <tpl fld="0" item="0"/>
        </tpls>
      </m>
      <m in="0">
        <tpls c="5">
          <tpl fld="1" item="7"/>
          <tpl fld="2" item="8"/>
          <tpl hier="10" item="2"/>
          <tpl hier="11" item="9"/>
          <tpl fld="0" item="1"/>
        </tpls>
      </m>
      <m in="0">
        <tpls c="5">
          <tpl fld="1" item="6"/>
          <tpl fld="2" item="14"/>
          <tpl hier="10" item="2"/>
          <tpl hier="11" item="9"/>
          <tpl fld="0" item="1"/>
        </tpls>
      </m>
      <m in="0">
        <tpls c="5">
          <tpl fld="1" item="11"/>
          <tpl fld="2" item="7"/>
          <tpl hier="10" item="2"/>
          <tpl hier="11" item="9"/>
          <tpl fld="0" item="1"/>
        </tpls>
      </m>
      <m in="0">
        <tpls c="5">
          <tpl fld="1" item="6"/>
          <tpl fld="2" item="8"/>
          <tpl hier="10" item="2"/>
          <tpl hier="11" item="9"/>
          <tpl fld="0" item="0"/>
        </tpls>
      </m>
      <n v="-3462" in="0">
        <tpls c="5">
          <tpl fld="1" item="10"/>
          <tpl fld="2" item="13"/>
          <tpl hier="10" item="2"/>
          <tpl hier="11" item="9"/>
          <tpl fld="0" item="0"/>
        </tpls>
      </n>
      <m in="0">
        <tpls c="5">
          <tpl fld="1" item="0"/>
          <tpl fld="2" item="15"/>
          <tpl hier="10" item="2"/>
          <tpl hier="11" item="9"/>
          <tpl fld="0" item="1"/>
        </tpls>
      </m>
      <m in="0">
        <tpls c="5">
          <tpl fld="1" item="6"/>
          <tpl fld="2" item="0"/>
          <tpl hier="10" item="2"/>
          <tpl hier="11" item="9"/>
          <tpl fld="0" item="1"/>
        </tpls>
      </m>
      <n v="-2354.5" in="0">
        <tpls c="5">
          <tpl fld="1" item="5"/>
          <tpl fld="2" item="3"/>
          <tpl hier="10" item="2"/>
          <tpl hier="11" item="9"/>
          <tpl fld="0" item="0"/>
        </tpls>
      </n>
      <m in="0">
        <tpls c="4">
          <tpl fld="2" item="14"/>
          <tpl hier="10" item="2"/>
          <tpl hier="11" item="9"/>
          <tpl fld="0" item="1"/>
        </tpls>
      </m>
      <m in="0">
        <tpls c="5">
          <tpl fld="1" item="8"/>
          <tpl fld="2" item="3"/>
          <tpl hier="10" item="2"/>
          <tpl hier="11" item="9"/>
          <tpl fld="0" item="1"/>
        </tpls>
      </m>
      <m in="0">
        <tpls c="5">
          <tpl fld="1" item="9"/>
          <tpl fld="2" item="8"/>
          <tpl hier="10" item="2"/>
          <tpl hier="11" item="9"/>
          <tpl fld="0" item="1"/>
        </tpls>
      </m>
      <n v="-2001.5" in="0">
        <tpls c="5">
          <tpl fld="1" item="6"/>
          <tpl fld="2" item="3"/>
          <tpl hier="10" item="2"/>
          <tpl hier="11" item="9"/>
          <tpl fld="0" item="0"/>
        </tpls>
      </n>
      <m in="0">
        <tpls c="4">
          <tpl fld="2" item="9"/>
          <tpl hier="10" item="2"/>
          <tpl hier="11" item="9"/>
          <tpl fld="0" item="1"/>
        </tpls>
      </m>
      <n v="-331227" in="0">
        <tpls c="5">
          <tpl fld="1" item="3"/>
          <tpl hier="9" item="4294967295"/>
          <tpl hier="10" item="2"/>
          <tpl hier="11" item="9"/>
          <tpl fld="0" item="0"/>
        </tpls>
      </n>
      <m in="0">
        <tpls c="5">
          <tpl fld="1" item="8"/>
          <tpl fld="2" item="2"/>
          <tpl hier="10" item="2"/>
          <tpl hier="11" item="9"/>
          <tpl fld="0" item="1"/>
        </tpls>
      </m>
      <m in="0">
        <tpls c="5">
          <tpl fld="1" item="10"/>
          <tpl fld="2" item="12"/>
          <tpl hier="10" item="2"/>
          <tpl hier="11" item="9"/>
          <tpl fld="0" item="1"/>
        </tpls>
      </m>
      <m in="0">
        <tpls c="5">
          <tpl fld="1" item="0"/>
          <tpl fld="2" item="3"/>
          <tpl hier="10" item="2"/>
          <tpl hier="11" item="9"/>
          <tpl fld="0" item="1"/>
        </tpls>
      </m>
      <m in="0">
        <tpls c="5">
          <tpl fld="1" item="11"/>
          <tpl fld="2" item="11"/>
          <tpl hier="10" item="2"/>
          <tpl hier="11" item="9"/>
          <tpl fld="0" item="1"/>
        </tpls>
      </m>
      <n v="-16068" in="0">
        <tpls c="5">
          <tpl fld="1" item="0"/>
          <tpl fld="2" item="6"/>
          <tpl hier="10" item="2"/>
          <tpl hier="11" item="9"/>
          <tpl fld="0" item="0"/>
        </tpls>
      </n>
      <m in="0">
        <tpls c="5">
          <tpl fld="1" item="6"/>
          <tpl fld="2" item="6"/>
          <tpl hier="10" item="2"/>
          <tpl hier="11" item="9"/>
          <tpl fld="0" item="1"/>
        </tpls>
      </m>
      <m in="0">
        <tpls c="5">
          <tpl fld="1" item="11"/>
          <tpl fld="2" item="4"/>
          <tpl hier="10" item="2"/>
          <tpl hier="11" item="9"/>
          <tpl fld="0" item="1"/>
        </tpls>
      </m>
      <m in="0">
        <tpls c="5">
          <tpl fld="1" item="7"/>
          <tpl fld="2" item="4"/>
          <tpl hier="10" item="2"/>
          <tpl hier="11" item="9"/>
          <tpl fld="0" item="1"/>
        </tpls>
      </m>
      <m in="0">
        <tpls c="5">
          <tpl fld="1" item="4"/>
          <tpl fld="2" item="15"/>
          <tpl hier="10" item="2"/>
          <tpl hier="11" item="9"/>
          <tpl fld="0" item="1"/>
        </tpls>
      </m>
      <m in="0">
        <tpls c="5">
          <tpl fld="1" item="11"/>
          <tpl fld="2" item="8"/>
          <tpl hier="10" item="2"/>
          <tpl hier="11" item="9"/>
          <tpl fld="0" item="0"/>
        </tpls>
      </m>
      <m in="0">
        <tpls c="5">
          <tpl fld="1" item="9"/>
          <tpl fld="2" item="11"/>
          <tpl hier="10" item="2"/>
          <tpl hier="11" item="9"/>
          <tpl fld="0" item="1"/>
        </tpls>
      </m>
      <n v="-242807.25" in="0">
        <tpls c="5">
          <tpl fld="1" item="0"/>
          <tpl hier="9" item="4294967295"/>
          <tpl hier="10" item="2"/>
          <tpl hier="11" item="9"/>
          <tpl fld="0" item="0"/>
        </tpls>
      </n>
      <m in="0">
        <tpls c="5">
          <tpl fld="1" item="9"/>
          <tpl fld="2" item="4"/>
          <tpl hier="10" item="2"/>
          <tpl hier="11" item="9"/>
          <tpl fld="0" item="0"/>
        </tpls>
      </m>
      <n v="-6080" in="0">
        <tpls c="5">
          <tpl fld="1" item="0"/>
          <tpl fld="2" item="13"/>
          <tpl hier="10" item="2"/>
          <tpl hier="11" item="9"/>
          <tpl fld="0" item="0"/>
        </tpls>
      </n>
      <n v="-2096" in="0">
        <tpls c="5">
          <tpl fld="1" item="7"/>
          <tpl fld="2" item="3"/>
          <tpl hier="10" item="2"/>
          <tpl hier="11" item="9"/>
          <tpl fld="0" item="0"/>
        </tpls>
      </n>
      <n v="-6974.25" in="0">
        <tpls c="5">
          <tpl fld="1" item="11"/>
          <tpl fld="2" item="13"/>
          <tpl hier="10" item="2"/>
          <tpl hier="11" item="9"/>
          <tpl fld="0" item="0"/>
        </tpls>
      </n>
      <m in="0">
        <tpls c="5">
          <tpl fld="1" item="0"/>
          <tpl fld="2" item="14"/>
          <tpl hier="10" item="2"/>
          <tpl hier="11" item="9"/>
          <tpl fld="0" item="1"/>
        </tpls>
      </m>
      <m in="0">
        <tpls c="5">
          <tpl fld="1" item="9"/>
          <tpl fld="2" item="3"/>
          <tpl hier="10" item="2"/>
          <tpl hier="11" item="9"/>
          <tpl fld="0" item="1"/>
        </tpls>
      </m>
      <m in="0">
        <tpls c="5">
          <tpl fld="1" item="1"/>
          <tpl fld="2" item="11"/>
          <tpl hier="10" item="2"/>
          <tpl hier="11" item="9"/>
          <tpl fld="0" item="1"/>
        </tpls>
      </m>
      <m in="0">
        <tpls c="5">
          <tpl fld="1" item="11"/>
          <tpl fld="2" item="13"/>
          <tpl hier="10" item="2"/>
          <tpl hier="11" item="9"/>
          <tpl fld="0" item="1"/>
        </tpls>
      </m>
      <m in="0">
        <tpls c="5">
          <tpl fld="1" item="0"/>
          <tpl fld="2" item="14"/>
          <tpl hier="10" item="2"/>
          <tpl hier="11" item="9"/>
          <tpl fld="0" item="0"/>
        </tpls>
      </m>
      <m in="0">
        <tpls c="5">
          <tpl fld="1" item="2"/>
          <tpl fld="2" item="3"/>
          <tpl hier="10" item="2"/>
          <tpl hier="11" item="9"/>
          <tpl fld="0" item="1"/>
        </tpls>
      </m>
      <m in="0">
        <tpls c="5">
          <tpl fld="1" item="3"/>
          <tpl hier="9" item="4294967295"/>
          <tpl hier="10" item="2"/>
          <tpl hier="11" item="9"/>
          <tpl fld="0" item="1"/>
        </tpls>
      </m>
      <m in="0">
        <tpls c="5">
          <tpl fld="1" item="5"/>
          <tpl fld="2" item="4"/>
          <tpl hier="10" item="2"/>
          <tpl hier="11" item="9"/>
          <tpl fld="0" item="1"/>
        </tpls>
      </m>
      <m in="0">
        <tpls c="5">
          <tpl fld="1" item="9"/>
          <tpl fld="2" item="2"/>
          <tpl hier="10" item="2"/>
          <tpl hier="11" item="9"/>
          <tpl fld="0" item="1"/>
        </tpls>
      </m>
      <m in="0">
        <tpls c="5">
          <tpl fld="1" item="10"/>
          <tpl fld="2" item="8"/>
          <tpl hier="10" item="2"/>
          <tpl hier="11" item="9"/>
          <tpl fld="0" item="0"/>
        </tpls>
      </m>
      <n v="-12835.5" in="0">
        <tpls c="5">
          <tpl fld="1" item="8"/>
          <tpl fld="2" item="10"/>
          <tpl hier="10" item="2"/>
          <tpl hier="11" item="9"/>
          <tpl fld="0" item="0"/>
        </tpls>
      </n>
      <n v="-5496" in="0">
        <tpls c="5">
          <tpl fld="1" item="2"/>
          <tpl fld="2" item="15"/>
          <tpl hier="10" item="2"/>
          <tpl hier="11" item="9"/>
          <tpl fld="0" item="0"/>
        </tpls>
      </n>
      <m in="0">
        <tpls c="5">
          <tpl fld="1" item="9"/>
          <tpl fld="2" item="7"/>
          <tpl hier="10" item="2"/>
          <tpl hier="11" item="9"/>
          <tpl fld="0" item="1"/>
        </tpls>
      </m>
      <n v="-2379.75" in="0">
        <tpls c="5">
          <tpl fld="1" item="4"/>
          <tpl fld="2" item="3"/>
          <tpl hier="10" item="2"/>
          <tpl hier="11" item="9"/>
          <tpl fld="0" item="0"/>
        </tpls>
      </n>
      <m in="0">
        <tpls c="5">
          <tpl fld="1" item="10"/>
          <tpl fld="2" item="4"/>
          <tpl hier="10" item="2"/>
          <tpl hier="11" item="9"/>
          <tpl fld="0" item="1"/>
        </tpls>
      </m>
      <m in="0">
        <tpls c="5">
          <tpl fld="1" item="1"/>
          <tpl fld="2" item="8"/>
          <tpl hier="10" item="2"/>
          <tpl hier="11" item="9"/>
          <tpl fld="0" item="0"/>
        </tpls>
      </m>
      <m in="0">
        <tpls c="5">
          <tpl fld="1" item="9"/>
          <tpl fld="2" item="9"/>
          <tpl hier="10" item="2"/>
          <tpl hier="11" item="9"/>
          <tpl fld="0" item="1"/>
        </tpls>
      </m>
      <m in="0">
        <tpls c="5">
          <tpl fld="1" item="2"/>
          <tpl fld="2" item="14"/>
          <tpl hier="10" item="2"/>
          <tpl hier="11" item="9"/>
          <tpl fld="0" item="1"/>
        </tpls>
      </m>
      <n v="-17329.5" in="0">
        <tpls c="5">
          <tpl fld="1" item="9"/>
          <tpl fld="2" item="10"/>
          <tpl hier="10" item="2"/>
          <tpl hier="11" item="9"/>
          <tpl fld="0" item="0"/>
        </tpls>
      </n>
      <n v="-4657" in="0">
        <tpls c="5">
          <tpl fld="1" item="5"/>
          <tpl fld="2" item="1"/>
          <tpl hier="10" item="2"/>
          <tpl hier="11" item="9"/>
          <tpl fld="0" item="0"/>
        </tpls>
      </n>
      <n v="-4133" in="0">
        <tpls c="5">
          <tpl fld="1" item="10"/>
          <tpl fld="2" item="12"/>
          <tpl hier="10" item="2"/>
          <tpl hier="11" item="9"/>
          <tpl fld="0" item="0"/>
        </tpls>
      </n>
      <m in="0">
        <tpls c="5">
          <tpl fld="1" item="4"/>
          <tpl fld="2" item="11"/>
          <tpl hier="10" item="2"/>
          <tpl hier="11" item="9"/>
          <tpl fld="0" item="1"/>
        </tpls>
      </m>
      <n v="-298666.25" in="0">
        <tpls c="5">
          <tpl fld="1" item="8"/>
          <tpl hier="9" item="4294967295"/>
          <tpl hier="10" item="2"/>
          <tpl hier="11" item="9"/>
          <tpl fld="0" item="0"/>
        </tpls>
      </n>
      <m in="0">
        <tpls c="5">
          <tpl fld="1" item="1"/>
          <tpl fld="2" item="14"/>
          <tpl hier="10" item="2"/>
          <tpl hier="11" item="9"/>
          <tpl fld="0" item="0"/>
        </tpls>
      </m>
      <n v="-1949" in="0">
        <tpls c="5">
          <tpl fld="1" item="1"/>
          <tpl fld="2" item="2"/>
          <tpl hier="10" item="2"/>
          <tpl hier="11" item="9"/>
          <tpl fld="0" item="0"/>
        </tpls>
      </n>
      <n v="-2915.75" in="0">
        <tpls c="5">
          <tpl fld="1" item="2"/>
          <tpl fld="2" item="3"/>
          <tpl hier="10" item="2"/>
          <tpl hier="11" item="9"/>
          <tpl fld="0" item="0"/>
        </tpls>
      </n>
      <n v="-1168" in="0">
        <tpls c="5">
          <tpl fld="1" item="6"/>
          <tpl fld="2" item="5"/>
          <tpl hier="10" item="2"/>
          <tpl hier="11" item="9"/>
          <tpl fld="0" item="0"/>
        </tpls>
      </n>
      <m in="0">
        <tpls c="5">
          <tpl fld="1" item="2"/>
          <tpl fld="2" item="9"/>
          <tpl hier="10" item="2"/>
          <tpl hier="11" item="9"/>
          <tpl fld="0" item="1"/>
        </tpls>
      </m>
      <m in="0">
        <tpls c="5">
          <tpl fld="1" item="8"/>
          <tpl fld="2" item="0"/>
          <tpl hier="10" item="2"/>
          <tpl hier="11" item="9"/>
          <tpl fld="0" item="1"/>
        </tpls>
      </m>
      <m in="0">
        <tpls c="5">
          <tpl fld="1" item="9"/>
          <tpl fld="2" item="7"/>
          <tpl hier="10" item="2"/>
          <tpl hier="11" item="9"/>
          <tpl fld="0" item="0"/>
        </tpls>
      </m>
      <m in="0">
        <tpls c="5">
          <tpl fld="1" item="3"/>
          <tpl fld="2" item="9"/>
          <tpl hier="10" item="2"/>
          <tpl hier="11" item="9"/>
          <tpl fld="0" item="0"/>
        </tpls>
      </m>
      <n v="-203521.5" in="0">
        <tpls c="5">
          <tpl fld="1" item="1"/>
          <tpl fld="2" item="0"/>
          <tpl hier="10" item="2"/>
          <tpl hier="11" item="9"/>
          <tpl fld="0" item="0"/>
        </tpls>
      </n>
      <m in="0">
        <tpls c="5">
          <tpl fld="1" item="2"/>
          <tpl fld="2" item="4"/>
          <tpl hier="10" item="2"/>
          <tpl hier="11" item="9"/>
          <tpl fld="0" item="1"/>
        </tpls>
      </m>
      <m in="0">
        <tpls c="5">
          <tpl fld="1" item="10"/>
          <tpl fld="2" item="9"/>
          <tpl hier="10" item="2"/>
          <tpl hier="11" item="9"/>
          <tpl fld="0" item="1"/>
        </tpls>
      </m>
      <m in="0">
        <tpls c="5">
          <tpl fld="1" item="5"/>
          <tpl fld="2" item="9"/>
          <tpl hier="10" item="2"/>
          <tpl hier="11" item="9"/>
          <tpl fld="0" item="1"/>
        </tpls>
      </m>
      <n v="-4838.25" in="0">
        <tpls c="5">
          <tpl fld="1" item="8"/>
          <tpl fld="2" item="12"/>
          <tpl hier="10" item="2"/>
          <tpl hier="11" item="9"/>
          <tpl fld="0" item="0"/>
        </tpls>
      </n>
      <n v="-1048.5" in="0">
        <tpls c="5">
          <tpl fld="1" item="8"/>
          <tpl fld="2" item="5"/>
          <tpl hier="10" item="2"/>
          <tpl hier="11" item="9"/>
          <tpl fld="0" item="0"/>
        </tpls>
      </n>
      <m in="0">
        <tpls c="5">
          <tpl fld="1" item="9"/>
          <tpl fld="2" item="5"/>
          <tpl hier="10" item="2"/>
          <tpl hier="11" item="9"/>
          <tpl fld="0" item="1"/>
        </tpls>
      </m>
      <m in="0">
        <tpls c="5">
          <tpl fld="1" item="10"/>
          <tpl fld="2" item="5"/>
          <tpl hier="10" item="2"/>
          <tpl hier="11" item="9"/>
          <tpl fld="0" item="1"/>
        </tpls>
      </m>
      <n v="-321421" in="0">
        <tpls c="5">
          <tpl fld="1" item="5"/>
          <tpl hier="9" item="4294967295"/>
          <tpl hier="10" item="2"/>
          <tpl hier="11" item="9"/>
          <tpl fld="0" item="0"/>
        </tpls>
      </n>
      <m in="0">
        <tpls c="5">
          <tpl fld="1" item="1"/>
          <tpl fld="2" item="15"/>
          <tpl hier="10" item="2"/>
          <tpl hier="11" item="9"/>
          <tpl fld="0" item="1"/>
        </tpls>
      </m>
      <n v="-2337.5" in="0">
        <tpls c="5">
          <tpl fld="1" item="0"/>
          <tpl fld="2" item="3"/>
          <tpl hier="10" item="2"/>
          <tpl hier="11" item="9"/>
          <tpl fld="0" item="0"/>
        </tpls>
      </n>
      <m in="0">
        <tpls c="5">
          <tpl fld="1" item="3"/>
          <tpl fld="2" item="4"/>
          <tpl hier="10" item="2"/>
          <tpl hier="11" item="9"/>
          <tpl fld="0" item="0"/>
        </tpls>
      </m>
      <m in="0">
        <tpls c="5">
          <tpl fld="1" item="2"/>
          <tpl fld="2" item="9"/>
          <tpl hier="10" item="2"/>
          <tpl hier="11" item="9"/>
          <tpl fld="0" item="0"/>
        </tpls>
      </m>
      <m in="0">
        <tpls c="5">
          <tpl fld="1" item="7"/>
          <tpl fld="2" item="6"/>
          <tpl hier="10" item="2"/>
          <tpl hier="11" item="9"/>
          <tpl fld="0" item="1"/>
        </tpls>
      </m>
      <m in="0">
        <tpls c="5">
          <tpl fld="1" item="6"/>
          <tpl fld="2" item="2"/>
          <tpl hier="10" item="2"/>
          <tpl hier="11" item="9"/>
          <tpl fld="0" item="1"/>
        </tpls>
      </m>
      <m in="0">
        <tpls c="5">
          <tpl fld="1" item="1"/>
          <tpl fld="2" item="4"/>
          <tpl hier="10" item="2"/>
          <tpl hier="11" item="9"/>
          <tpl fld="0" item="0"/>
        </tpls>
      </m>
      <m in="0">
        <tpls c="5">
          <tpl fld="1" item="8"/>
          <tpl fld="2" item="9"/>
          <tpl hier="10" item="2"/>
          <tpl hier="11" item="9"/>
          <tpl fld="0" item="0"/>
        </tpls>
      </m>
      <m in="0">
        <tpls c="5">
          <tpl fld="1" item="5"/>
          <tpl fld="2" item="5"/>
          <tpl hier="10" item="2"/>
          <tpl hier="11" item="9"/>
          <tpl fld="0" item="1"/>
        </tpls>
      </m>
      <m in="0">
        <tpls c="5">
          <tpl fld="1" item="8"/>
          <tpl fld="2" item="12"/>
          <tpl hier="10" item="2"/>
          <tpl hier="11" item="9"/>
          <tpl fld="0" item="1"/>
        </tpls>
      </m>
      <n v="-3624.5" in="0">
        <tpls c="5">
          <tpl fld="1" item="10"/>
          <tpl fld="2" item="1"/>
          <tpl hier="10" item="2"/>
          <tpl hier="11" item="9"/>
          <tpl fld="0" item="0"/>
        </tpls>
      </n>
      <m in="0">
        <tpls c="5">
          <tpl fld="1" item="9"/>
          <tpl fld="2" item="10"/>
          <tpl hier="10" item="2"/>
          <tpl hier="11" item="9"/>
          <tpl fld="0" item="1"/>
        </tpls>
      </m>
      <m in="0">
        <tpls c="5">
          <tpl fld="1" item="10"/>
          <tpl fld="2" item="2"/>
          <tpl hier="10" item="2"/>
          <tpl hier="11" item="9"/>
          <tpl fld="0" item="1"/>
        </tpls>
      </m>
      <m in="0">
        <tpls c="5">
          <tpl fld="1" item="5"/>
          <tpl hier="9" item="4294967295"/>
          <tpl hier="10" item="2"/>
          <tpl hier="11" item="9"/>
          <tpl fld="0" item="1"/>
        </tpls>
      </m>
      <n v="-4982" in="0">
        <tpls c="5">
          <tpl fld="1" item="5"/>
          <tpl fld="2" item="15"/>
          <tpl hier="10" item="2"/>
          <tpl hier="11" item="9"/>
          <tpl fld="0" item="0"/>
        </tpls>
      </n>
      <m in="0">
        <tpls c="5">
          <tpl fld="1" item="0"/>
          <tpl fld="2" item="4"/>
          <tpl hier="10" item="2"/>
          <tpl hier="11" item="9"/>
          <tpl fld="0" item="1"/>
        </tpls>
      </m>
      <n v="-4393.5" in="0">
        <tpls c="5">
          <tpl fld="1" item="3"/>
          <tpl fld="2" item="1"/>
          <tpl hier="10" item="2"/>
          <tpl hier="11" item="9"/>
          <tpl fld="0" item="0"/>
        </tpls>
      </n>
      <m in="0">
        <tpls c="5">
          <tpl fld="1" item="5"/>
          <tpl fld="2" item="0"/>
          <tpl hier="10" item="2"/>
          <tpl hier="11" item="9"/>
          <tpl fld="0" item="1"/>
        </tpls>
      </m>
      <n v="-2063.75" in="0">
        <tpls c="5">
          <tpl fld="1" item="11"/>
          <tpl fld="2" item="3"/>
          <tpl hier="10" item="2"/>
          <tpl hier="11" item="9"/>
          <tpl fld="0" item="0"/>
        </tpls>
      </n>
      <m in="0">
        <tpls c="5">
          <tpl fld="1" item="1"/>
          <tpl fld="2" item="4"/>
          <tpl hier="10" item="2"/>
          <tpl hier="11" item="9"/>
          <tpl fld="0" item="1"/>
        </tpls>
      </m>
      <m in="0">
        <tpls c="5">
          <tpl fld="1" item="8"/>
          <tpl fld="2" item="9"/>
          <tpl hier="10" item="2"/>
          <tpl hier="11" item="9"/>
          <tpl fld="0" item="1"/>
        </tpls>
      </m>
      <m in="0">
        <tpls c="5">
          <tpl fld="1" item="5"/>
          <tpl fld="2" item="7"/>
          <tpl hier="10" item="2"/>
          <tpl hier="11" item="9"/>
          <tpl fld="0" item="1"/>
        </tpls>
      </m>
      <n v="-4354.25" in="0">
        <tpls c="5">
          <tpl fld="1" item="7"/>
          <tpl fld="2" item="12"/>
          <tpl hier="10" item="2"/>
          <tpl hier="11" item="9"/>
          <tpl fld="0" item="0"/>
        </tpls>
      </n>
      <m in="0">
        <tpls c="5">
          <tpl fld="1" item="10"/>
          <tpl fld="2" item="4"/>
          <tpl hier="10" item="2"/>
          <tpl hier="11" item="9"/>
          <tpl fld="0" item="0"/>
        </tpls>
      </m>
      <m in="0">
        <tpls c="5">
          <tpl fld="1" item="9"/>
          <tpl fld="2" item="0"/>
          <tpl hier="10" item="2"/>
          <tpl hier="11" item="9"/>
          <tpl fld="0" item="1"/>
        </tpls>
      </m>
      <n v="-1068" in="0">
        <tpls c="5">
          <tpl fld="1" item="5"/>
          <tpl fld="2" item="5"/>
          <tpl hier="10" item="2"/>
          <tpl hier="11" item="9"/>
          <tpl fld="0" item="0"/>
        </tpls>
      </n>
      <n v="-290896.25" in="0">
        <tpls c="5">
          <tpl fld="1" item="4"/>
          <tpl hier="9" item="4294967295"/>
          <tpl hier="10" item="2"/>
          <tpl hier="11" item="9"/>
          <tpl fld="0" item="0"/>
        </tpls>
      </n>
      <m in="0">
        <tpls c="5">
          <tpl fld="1" item="5"/>
          <tpl fld="2" item="15"/>
          <tpl hier="10" item="2"/>
          <tpl hier="11" item="9"/>
          <tpl fld="0" item="1"/>
        </tpls>
      </m>
      <m in="0">
        <tpls c="5">
          <tpl fld="1" item="0"/>
          <tpl fld="2" item="4"/>
          <tpl hier="10" item="2"/>
          <tpl hier="11" item="9"/>
          <tpl fld="0" item="0"/>
        </tpls>
      </m>
      <n v="-3734.5" in="0">
        <tpls c="5">
          <tpl fld="1" item="6"/>
          <tpl fld="2" item="1"/>
          <tpl hier="10" item="2"/>
          <tpl hier="11" item="9"/>
          <tpl fld="0" item="0"/>
        </tpls>
      </n>
      <m in="0">
        <tpls c="5">
          <tpl fld="1" item="9"/>
          <tpl fld="2" item="8"/>
          <tpl hier="10" item="2"/>
          <tpl hier="11" item="9"/>
          <tpl fld="0" item="0"/>
        </tpls>
      </m>
      <n v="-242633.5" in="0">
        <tpls c="5">
          <tpl fld="1" item="8"/>
          <tpl fld="2" item="0"/>
          <tpl hier="10" item="2"/>
          <tpl hier="11" item="9"/>
          <tpl fld="0" item="0"/>
        </tpls>
      </n>
      <m in="0">
        <tpls c="5">
          <tpl fld="1" item="1"/>
          <tpl fld="2" item="1"/>
          <tpl hier="10" item="2"/>
          <tpl hier="11" item="9"/>
          <tpl fld="0" item="1"/>
        </tpls>
      </m>
      <m in="0">
        <tpls c="5">
          <tpl fld="1" item="10"/>
          <tpl fld="2" item="3"/>
          <tpl hier="10" item="2"/>
          <tpl hier="11" item="9"/>
          <tpl fld="0" item="1"/>
        </tpls>
      </m>
      <m in="0">
        <tpls c="5">
          <tpl fld="1" item="11"/>
          <tpl fld="2" item="6"/>
          <tpl hier="10" item="2"/>
          <tpl hier="11" item="9"/>
          <tpl fld="0" item="1"/>
        </tpls>
      </m>
      <m in="0">
        <tpls c="5">
          <tpl fld="1" item="5"/>
          <tpl fld="2" item="4"/>
          <tpl hier="10" item="2"/>
          <tpl hier="11" item="9"/>
          <tpl fld="0" item="0"/>
        </tpls>
      </m>
      <m in="0">
        <tpls c="5">
          <tpl fld="1" item="7"/>
          <tpl fld="2" item="9"/>
          <tpl hier="10" item="2"/>
          <tpl hier="11" item="9"/>
          <tpl fld="0" item="0"/>
        </tpls>
      </m>
      <m in="0">
        <tpls c="5">
          <tpl fld="1" item="5"/>
          <tpl fld="2" item="6"/>
          <tpl hier="10" item="2"/>
          <tpl hier="11" item="9"/>
          <tpl fld="0" item="1"/>
        </tpls>
      </m>
      <m in="0">
        <tpls c="5">
          <tpl fld="1" item="7"/>
          <tpl fld="2" item="12"/>
          <tpl hier="10" item="2"/>
          <tpl hier="11" item="9"/>
          <tpl fld="0" item="1"/>
        </tpls>
      </m>
      <n v="-1635" in="0">
        <tpls c="5">
          <tpl fld="1" item="10"/>
          <tpl fld="2" item="5"/>
          <tpl hier="10" item="2"/>
          <tpl hier="11" item="9"/>
          <tpl fld="0" item="0"/>
        </tpls>
      </n>
      <m in="0">
        <tpls c="5">
          <tpl fld="1" item="3"/>
          <tpl fld="2" item="14"/>
          <tpl hier="10" item="2"/>
          <tpl hier="11" item="9"/>
          <tpl fld="0" item="0"/>
        </tpls>
      </m>
      <n v="-7898.75" in="0">
        <tpls c="5">
          <tpl fld="1" item="5"/>
          <tpl fld="2" item="10"/>
          <tpl hier="10" item="2"/>
          <tpl hier="11" item="9"/>
          <tpl fld="0" item="0"/>
        </tpls>
      </n>
      <m in="0">
        <tpls c="5">
          <tpl fld="1" item="4"/>
          <tpl hier="9" item="4294967295"/>
          <tpl hier="10" item="2"/>
          <tpl hier="11" item="9"/>
          <tpl fld="0" item="1"/>
        </tpls>
      </m>
      <m in="0">
        <tpls c="5">
          <tpl fld="1" item="3"/>
          <tpl fld="2" item="15"/>
          <tpl hier="10" item="2"/>
          <tpl hier="11" item="9"/>
          <tpl fld="0" item="1"/>
        </tpls>
      </m>
      <m in="0">
        <tpls c="5">
          <tpl fld="1" item="0"/>
          <tpl fld="2" item="5"/>
          <tpl hier="10" item="2"/>
          <tpl hier="11" item="9"/>
          <tpl fld="0" item="1"/>
        </tpls>
      </m>
      <m in="0">
        <tpls c="5">
          <tpl fld="1" item="1"/>
          <tpl fld="2" item="7"/>
          <tpl hier="10" item="2"/>
          <tpl hier="11" item="9"/>
          <tpl fld="0" item="0"/>
        </tpls>
      </m>
      <n v="-16068" in="0">
        <tpls c="5">
          <tpl fld="1" item="7"/>
          <tpl fld="2" item="6"/>
          <tpl hier="10" item="2"/>
          <tpl hier="11" item="9"/>
          <tpl fld="0" item="0"/>
        </tpls>
      </n>
      <m in="0">
        <tpls c="5">
          <tpl fld="1" item="1"/>
          <tpl fld="2" item="14"/>
          <tpl hier="10" item="2"/>
          <tpl hier="11" item="9"/>
          <tpl fld="0" item="1"/>
        </tpls>
      </m>
      <n v="-15595.25" in="0">
        <tpls c="5">
          <tpl fld="1" item="8"/>
          <tpl fld="2" item="6"/>
          <tpl hier="10" item="2"/>
          <tpl hier="11" item="9"/>
          <tpl fld="0" item="0"/>
        </tpls>
      </n>
      <m in="0">
        <tpls c="5">
          <tpl fld="1" item="10"/>
          <tpl fld="2" item="7"/>
          <tpl hier="10" item="2"/>
          <tpl hier="11" item="9"/>
          <tpl fld="0" item="0"/>
        </tpls>
      </m>
      <n v="-1127.5" in="0">
        <tpls c="5">
          <tpl fld="1" item="3"/>
          <tpl fld="2" item="5"/>
          <tpl hier="10" item="2"/>
          <tpl hier="11" item="9"/>
          <tpl fld="0" item="0"/>
        </tpls>
      </n>
      <m in="0">
        <tpls c="5">
          <tpl fld="1" item="7"/>
          <tpl fld="2" item="9"/>
          <tpl hier="10" item="2"/>
          <tpl hier="11" item="9"/>
          <tpl fld="0" item="1"/>
        </tpls>
      </m>
      <m in="0">
        <tpls c="5">
          <tpl fld="1" item="5"/>
          <tpl fld="2" item="1"/>
          <tpl hier="10" item="2"/>
          <tpl hier="11" item="9"/>
          <tpl fld="0" item="1"/>
        </tpls>
      </m>
      <n v="-4174.25" in="0">
        <tpls c="5">
          <tpl fld="1" item="6"/>
          <tpl fld="2" item="12"/>
          <tpl hier="10" item="2"/>
          <tpl hier="11" item="9"/>
          <tpl fld="0" item="0"/>
        </tpls>
      </n>
      <n v="-1891" in="0">
        <tpls c="5">
          <tpl fld="1" item="10"/>
          <tpl fld="2" item="2"/>
          <tpl hier="10" item="2"/>
          <tpl hier="11" item="9"/>
          <tpl fld="0" item="0"/>
        </tpls>
      </n>
      <m in="0">
        <tpls c="5">
          <tpl fld="1" item="3"/>
          <tpl fld="2" item="14"/>
          <tpl hier="10" item="2"/>
          <tpl hier="11" item="9"/>
          <tpl fld="0" item="1"/>
        </tpls>
      </m>
      <m in="0">
        <tpls c="5">
          <tpl fld="1" item="5"/>
          <tpl fld="2" item="9"/>
          <tpl hier="10" item="2"/>
          <tpl hier="11" item="9"/>
          <tpl fld="0" item="0"/>
        </tpls>
      </m>
      <n v="-300311" in="0">
        <tpls c="5">
          <tpl fld="1" item="9"/>
          <tpl hier="9" item="4294967295"/>
          <tpl hier="10" item="2"/>
          <tpl hier="11" item="9"/>
          <tpl fld="0" item="0"/>
        </tpls>
      </n>
      <n v="-5853" in="0">
        <tpls c="5">
          <tpl fld="1" item="4"/>
          <tpl fld="2" item="15"/>
          <tpl hier="10" item="2"/>
          <tpl hier="11" item="9"/>
          <tpl fld="0" item="0"/>
        </tpls>
      </n>
      <n v="-1204" in="0">
        <tpls c="5">
          <tpl fld="1" item="0"/>
          <tpl fld="2" item="5"/>
          <tpl hier="10" item="2"/>
          <tpl hier="11" item="9"/>
          <tpl fld="0" item="0"/>
        </tpls>
      </n>
      <n v="-2259.25" in="0">
        <tpls c="5">
          <tpl fld="1" item="9"/>
          <tpl fld="2" item="3"/>
          <tpl hier="10" item="2"/>
          <tpl hier="11" item="9"/>
          <tpl fld="0" item="0"/>
        </tpls>
      </n>
      <n v="-595" in="0">
        <tpls c="5">
          <tpl fld="1" item="1"/>
          <tpl fld="2" item="11"/>
          <tpl hier="10" item="2"/>
          <tpl hier="11" item="9"/>
          <tpl fld="0" item="0"/>
        </tpls>
      </n>
      <n v="-278266.5" in="0">
        <tpls c="5">
          <tpl fld="1" item="6"/>
          <tpl fld="2" item="0"/>
          <tpl hier="10" item="2"/>
          <tpl hier="11" item="9"/>
          <tpl fld="0" item="0"/>
        </tpls>
      </n>
      <m in="0">
        <tpls c="5">
          <tpl fld="1" item="5"/>
          <tpl fld="2" item="11"/>
          <tpl hier="10" item="2"/>
          <tpl hier="11" item="9"/>
          <tpl fld="0" item="1"/>
        </tpls>
      </m>
      <m in="0">
        <tpls c="5">
          <tpl fld="1" item="3"/>
          <tpl fld="2" item="5"/>
          <tpl hier="10" item="2"/>
          <tpl hier="11" item="9"/>
          <tpl fld="0" item="1"/>
        </tpls>
      </m>
      <m in="0">
        <tpls c="5">
          <tpl fld="1" item="6"/>
          <tpl fld="2" item="9"/>
          <tpl hier="10" item="2"/>
          <tpl hier="11" item="9"/>
          <tpl fld="0" item="0"/>
        </tpls>
      </m>
      <m in="0">
        <tpls c="5">
          <tpl fld="1" item="5"/>
          <tpl fld="2" item="2"/>
          <tpl hier="10" item="2"/>
          <tpl hier="11" item="9"/>
          <tpl fld="0" item="1"/>
        </tpls>
      </m>
      <m in="0">
        <tpls c="5">
          <tpl fld="1" item="6"/>
          <tpl fld="2" item="12"/>
          <tpl hier="10" item="2"/>
          <tpl hier="11" item="9"/>
          <tpl fld="0" item="1"/>
        </tpls>
      </m>
      <n v="-233701.25" in="0">
        <tpls c="5">
          <tpl fld="1" item="10"/>
          <tpl fld="2" item="0"/>
          <tpl hier="10" item="2"/>
          <tpl hier="11" item="9"/>
          <tpl fld="0" item="0"/>
        </tpls>
      </n>
      <m in="0">
        <tpls c="5">
          <tpl fld="1" item="2"/>
          <tpl fld="2" item="14"/>
          <tpl hier="10" item="2"/>
          <tpl hier="11" item="9"/>
          <tpl fld="0" item="0"/>
        </tpls>
      </m>
      <m in="0">
        <tpls c="5">
          <tpl fld="1" item="5"/>
          <tpl fld="2" item="7"/>
          <tpl hier="10" item="2"/>
          <tpl hier="11" item="9"/>
          <tpl fld="0" item="0"/>
        </tpls>
      </m>
      <n v="-322802.5" in="0">
        <tpls c="5">
          <tpl fld="1" item="11"/>
          <tpl hier="9" item="4294967295"/>
          <tpl hier="10" item="2"/>
          <tpl hier="11" item="9"/>
          <tpl fld="0" item="0"/>
        </tpls>
      </n>
      <n v="-7320.75" in="0">
        <tpls c="5">
          <tpl fld="1" item="3"/>
          <tpl fld="2" item="15"/>
          <tpl hier="10" item="2"/>
          <tpl hier="11" item="9"/>
          <tpl fld="0" item="0"/>
        </tpls>
      </n>
      <m in="0">
        <tpls c="5">
          <tpl fld="1" item="0"/>
          <tpl fld="2" item="6"/>
          <tpl hier="10" item="2"/>
          <tpl hier="11" item="9"/>
          <tpl fld="0" item="1"/>
        </tpls>
      </m>
      <m in="0">
        <tpls c="5">
          <tpl fld="1" item="7"/>
          <tpl fld="2" item="1"/>
          <tpl hier="10" item="2"/>
          <tpl hier="11" item="9"/>
          <tpl fld="0" item="1"/>
        </tpls>
      </m>
      <m in="0">
        <tpls c="5">
          <tpl fld="1" item="2"/>
          <tpl fld="2" item="0"/>
          <tpl hier="10" item="2"/>
          <tpl hier="11" item="9"/>
          <tpl fld="0" item="1"/>
        </tpls>
      </m>
      <m in="0">
        <tpls c="5">
          <tpl fld="1" item="1"/>
          <tpl fld="2" item="9"/>
          <tpl hier="10" item="2"/>
          <tpl hier="11" item="9"/>
          <tpl fld="0" item="1"/>
        </tpls>
      </m>
      <n v="-18668" in="0">
        <tpls c="5">
          <tpl fld="1" item="11"/>
          <tpl fld="2" item="6"/>
          <tpl hier="10" item="2"/>
          <tpl hier="11" item="9"/>
          <tpl fld="0" item="0"/>
        </tpls>
      </n>
      <n v="-55760" in="0">
        <tpls c="4">
          <tpl fld="2" item="12"/>
          <tpl hier="10" item="2"/>
          <tpl hier="11" item="9"/>
          <tpl fld="0" item="0"/>
        </tpls>
      </n>
      <m in="0">
        <tpls c="5">
          <tpl fld="1" item="4"/>
          <tpl fld="2" item="6"/>
          <tpl hier="10" item="2"/>
          <tpl hier="11" item="9"/>
          <tpl fld="0" item="1"/>
        </tpls>
      </m>
      <m in="0">
        <tpls c="5">
          <tpl fld="1" item="8"/>
          <tpl fld="2" item="11"/>
          <tpl hier="10" item="2"/>
          <tpl hier="11" item="9"/>
          <tpl fld="0" item="1"/>
        </tpls>
      </m>
      <n v="-14448.5" in="0">
        <tpls c="5">
          <tpl fld="1" item="1"/>
          <tpl fld="2" item="6"/>
          <tpl hier="10" item="2"/>
          <tpl hier="11" item="9"/>
          <tpl fld="0" item="0"/>
        </tpls>
      </n>
      <m in="0">
        <tpls c="5">
          <tpl fld="1" item="7"/>
          <tpl fld="2" item="13"/>
          <tpl hier="10" item="2"/>
          <tpl hier="11" item="9"/>
          <tpl fld="0" item="1"/>
        </tpls>
      </m>
      <m in="0">
        <tpls c="5">
          <tpl fld="1" item="7"/>
          <tpl fld="2" item="10"/>
          <tpl hier="10" item="2"/>
          <tpl hier="11" item="9"/>
          <tpl fld="0" item="1"/>
        </tpls>
      </m>
      <n v="-4450" in="0">
        <tpls c="5">
          <tpl fld="1" item="9"/>
          <tpl fld="2" item="1"/>
          <tpl hier="10" item="2"/>
          <tpl hier="11" item="9"/>
          <tpl fld="0" item="0"/>
        </tpls>
      </n>
      <m in="0">
        <tpls c="5">
          <tpl fld="1" item="0"/>
          <tpl fld="2" item="8"/>
          <tpl hier="10" item="2"/>
          <tpl hier="11" item="9"/>
          <tpl fld="0" item="1"/>
        </tpls>
      </m>
      <n v="-234878" in="0">
        <tpls c="5">
          <tpl fld="1" item="9"/>
          <tpl fld="2" item="0"/>
          <tpl hier="10" item="2"/>
          <tpl hier="11" item="9"/>
          <tpl fld="0" item="0"/>
        </tpls>
      </n>
      <n v="8889625" in="0">
        <tpls c="5">
          <tpl fld="1" item="4"/>
          <tpl fld="2" item="9"/>
          <tpl hier="10" item="11"/>
          <tpl hier="11" item="0"/>
          <tpl fld="0" item="0"/>
        </tpls>
      </n>
      <n v="-2710779" in="0">
        <tpls c="5">
          <tpl fld="1" item="1"/>
          <tpl fld="2" item="7"/>
          <tpl hier="10" item="11"/>
          <tpl hier="11" item="0"/>
          <tpl fld="0" item="1"/>
        </tpls>
      </n>
      <n v="-1976" in="0">
        <tpls c="5">
          <tpl fld="1" item="3"/>
          <tpl fld="2" item="2"/>
          <tpl hier="10" item="11"/>
          <tpl hier="11" item="0"/>
          <tpl fld="0" item="0"/>
        </tpls>
      </n>
      <n v="-82046" in="0">
        <tpls c="5">
          <tpl fld="1" item="2"/>
          <tpl fld="2" item="6"/>
          <tpl hier="10" item="11"/>
          <tpl hier="11" item="0"/>
          <tpl fld="0" item="1"/>
        </tpls>
      </n>
      <n v="-2690" in="0">
        <tpls c="5">
          <tpl fld="1" item="3"/>
          <tpl fld="2" item="11"/>
          <tpl hier="10" item="11"/>
          <tpl hier="11" item="0"/>
          <tpl fld="0" item="1"/>
        </tpls>
      </n>
      <n v="-42371.25" in="0">
        <tpls c="5">
          <tpl fld="1" item="3"/>
          <tpl fld="2" item="10"/>
          <tpl hier="10" item="11"/>
          <tpl hier="11" item="0"/>
          <tpl fld="0" item="0"/>
        </tpls>
      </n>
      <n v="-8482.5" in="0">
        <tpls c="5">
          <tpl fld="1" item="10"/>
          <tpl fld="2" item="3"/>
          <tpl hier="10" item="11"/>
          <tpl hier="11" item="0"/>
          <tpl fld="0" item="0"/>
        </tpls>
      </n>
      <n v="-84058.083333333328" in="0">
        <tpls c="5">
          <tpl fld="1" item="11"/>
          <tpl fld="2" item="7"/>
          <tpl hier="10" item="11"/>
          <tpl hier="11" item="0"/>
          <tpl fld="0" item="0"/>
        </tpls>
      </n>
      <n v="-54235" in="0">
        <tpls c="5">
          <tpl fld="1" item="3"/>
          <tpl fld="2" item="6"/>
          <tpl hier="10" item="11"/>
          <tpl hier="11" item="0"/>
          <tpl fld="0" item="1"/>
        </tpls>
      </n>
      <n v="5842719" in="0">
        <tpls c="5">
          <tpl fld="1" item="4"/>
          <tpl fld="2" item="9"/>
          <tpl hier="10" item="11"/>
          <tpl hier="11" item="0"/>
          <tpl fld="0" item="1"/>
        </tpls>
      </n>
      <n v="-2066" in="0">
        <tpls c="5">
          <tpl fld="1" item="10"/>
          <tpl fld="2" item="11"/>
          <tpl hier="10" item="11"/>
          <tpl hier="11" item="0"/>
          <tpl fld="0" item="1"/>
        </tpls>
      </n>
      <n v="-15313.5" in="0">
        <tpls c="5">
          <tpl fld="1" item="7"/>
          <tpl fld="2" item="13"/>
          <tpl hier="10" item="11"/>
          <tpl hier="11" item="0"/>
          <tpl fld="0" item="0"/>
        </tpls>
      </n>
      <n v="-7123" in="0">
        <tpls c="5">
          <tpl fld="1" item="11"/>
          <tpl fld="2" item="5"/>
          <tpl hier="10" item="11"/>
          <tpl hier="11" item="0"/>
          <tpl fld="0" item="1"/>
        </tpls>
      </n>
      <n v="-22100" in="0">
        <tpls c="5">
          <tpl fld="1" item="5"/>
          <tpl fld="2" item="14"/>
          <tpl hier="10" item="11"/>
          <tpl hier="11" item="0"/>
          <tpl fld="0" item="0"/>
        </tpls>
      </n>
      <n v="-261100" in="0">
        <tpls c="4">
          <tpl fld="2" item="13"/>
          <tpl hier="10" item="11"/>
          <tpl hier="11" item="0"/>
          <tpl fld="0" item="1"/>
        </tpls>
      </n>
      <n v="8766416.666666666" in="0">
        <tpls c="5">
          <tpl fld="1" item="7"/>
          <tpl hier="9" item="4294967295"/>
          <tpl hier="10" item="11"/>
          <tpl hier="11" item="0"/>
          <tpl fld="0" item="0"/>
        </tpls>
      </n>
      <n v="-13757" in="0">
        <tpls c="5">
          <tpl fld="1" item="11"/>
          <tpl fld="2" item="15"/>
          <tpl hier="10" item="11"/>
          <tpl hier="11" item="0"/>
          <tpl fld="0" item="1"/>
        </tpls>
      </n>
      <n v="-996.5" in="0">
        <tpls c="5">
          <tpl fld="1" item="0"/>
          <tpl fld="2" item="8"/>
          <tpl hier="10" item="11"/>
          <tpl hier="11" item="0"/>
          <tpl fld="0" item="0"/>
        </tpls>
      </n>
      <n v="-5080" in="0">
        <tpls c="5">
          <tpl fld="1" item="6"/>
          <tpl fld="2" item="1"/>
          <tpl hier="10" item="11"/>
          <tpl hier="11" item="0"/>
          <tpl fld="0" item="1"/>
        </tpls>
      </n>
      <n v="-125065.08333333333" in="0">
        <tpls c="5">
          <tpl fld="1" item="3"/>
          <tpl fld="2" item="7"/>
          <tpl hier="10" item="11"/>
          <tpl hier="11" item="0"/>
          <tpl fld="0" item="0"/>
        </tpls>
      </n>
      <n v="17358279" in="0">
        <tpls c="5">
          <tpl fld="1" item="6"/>
          <tpl fld="2" item="9"/>
          <tpl hier="10" item="11"/>
          <tpl hier="11" item="0"/>
          <tpl fld="0" item="1"/>
        </tpls>
      </n>
      <n v="-12898" in="0">
        <tpls c="5">
          <tpl fld="1" item="3"/>
          <tpl fld="2" item="3"/>
          <tpl hier="10" item="11"/>
          <tpl hier="11" item="0"/>
          <tpl fld="0" item="1"/>
        </tpls>
      </n>
      <n v="-1639.5" in="0">
        <tpls c="5">
          <tpl fld="1" item="9"/>
          <tpl fld="2" item="11"/>
          <tpl hier="10" item="11"/>
          <tpl hier="11" item="0"/>
          <tpl fld="0" item="0"/>
        </tpls>
      </n>
      <n v="-71716" in="0">
        <tpls c="5">
          <tpl fld="1" item="10"/>
          <tpl fld="2" item="6"/>
          <tpl hier="10" item="11"/>
          <tpl hier="11" item="0"/>
          <tpl fld="0" item="1"/>
        </tpls>
      </n>
      <n v="-552357" in="0">
        <tpls c="5">
          <tpl fld="1" item="3"/>
          <tpl fld="2" item="0"/>
          <tpl hier="10" item="11"/>
          <tpl hier="11" item="0"/>
          <tpl fld="0" item="1"/>
        </tpls>
      </n>
      <n v="-41589.25" in="0">
        <tpls c="5">
          <tpl fld="1" item="2"/>
          <tpl fld="2" item="6"/>
          <tpl hier="10" item="11"/>
          <tpl hier="11" item="0"/>
          <tpl fld="0" item="0"/>
        </tpls>
      </n>
      <n v="-6319" in="0">
        <tpls c="5">
          <tpl fld="1" item="4"/>
          <tpl fld="2" item="5"/>
          <tpl hier="10" item="11"/>
          <tpl hier="11" item="0"/>
          <tpl fld="0" item="1"/>
        </tpls>
      </n>
      <n v="-1637.25" in="0">
        <tpls c="5">
          <tpl fld="1" item="8"/>
          <tpl fld="2" item="11"/>
          <tpl hier="10" item="11"/>
          <tpl hier="11" item="0"/>
          <tpl fld="0" item="0"/>
        </tpls>
      </n>
      <n v="-17464.25" in="0">
        <tpls c="5">
          <tpl fld="1" item="3"/>
          <tpl fld="2" item="13"/>
          <tpl hier="10" item="11"/>
          <tpl hier="11" item="0"/>
          <tpl fld="0" item="0"/>
        </tpls>
      </n>
      <n v="-4024" in="0">
        <tpls c="5">
          <tpl fld="1" item="11"/>
          <tpl fld="2" item="2"/>
          <tpl hier="10" item="11"/>
          <tpl hier="11" item="0"/>
          <tpl fld="0" item="1"/>
        </tpls>
      </n>
      <n v="-435411" in="0">
        <tpls c="5">
          <tpl fld="1" item="5"/>
          <tpl fld="2" item="14"/>
          <tpl hier="10" item="11"/>
          <tpl hier="11" item="0"/>
          <tpl fld="0" item="1"/>
        </tpls>
      </n>
      <n v="-291916" in="0">
        <tpls c="4">
          <tpl fld="2" item="12"/>
          <tpl hier="10" item="11"/>
          <tpl hier="11" item="0"/>
          <tpl fld="0" item="1"/>
        </tpls>
      </n>
      <n v="9174585" in="0">
        <tpls c="5">
          <tpl fld="1" item="7"/>
          <tpl hier="9" item="4294967295"/>
          <tpl hier="10" item="11"/>
          <tpl hier="11" item="0"/>
          <tpl fld="0" item="1"/>
        </tpls>
      </n>
      <n v="-228532.5" in="0">
        <tpls c="4">
          <tpl fld="2" item="15"/>
          <tpl hier="10" item="11"/>
          <tpl hier="11" item="0"/>
          <tpl fld="0" item="0"/>
        </tpls>
      </n>
      <n v="16447053" in="0">
        <tpls c="5">
          <tpl fld="1" item="0"/>
          <tpl fld="2" item="9"/>
          <tpl hier="10" item="11"/>
          <tpl hier="11" item="0"/>
          <tpl fld="0" item="1"/>
        </tpls>
      </n>
      <n v="-25282" in="0">
        <tpls c="5">
          <tpl fld="1" item="6"/>
          <tpl fld="2" item="4"/>
          <tpl hier="10" item="11"/>
          <tpl hier="11" item="0"/>
          <tpl fld="0" item="1"/>
        </tpls>
      </n>
      <n v="-5040" in="0">
        <tpls c="5">
          <tpl fld="1" item="2"/>
          <tpl fld="2" item="1"/>
          <tpl hier="10" item="11"/>
          <tpl hier="11" item="0"/>
          <tpl fld="0" item="1"/>
        </tpls>
      </n>
      <n v="-2019" in="0">
        <tpls c="5">
          <tpl fld="1" item="2"/>
          <tpl fld="2" item="2"/>
          <tpl hier="10" item="11"/>
          <tpl hier="11" item="0"/>
          <tpl fld="0" item="1"/>
        </tpls>
      </n>
      <n v="-457968" in="0">
        <tpls c="5">
          <tpl fld="1" item="3"/>
          <tpl fld="2" item="8"/>
          <tpl hier="10" item="11"/>
          <tpl hier="11" item="0"/>
          <tpl fld="0" item="1"/>
        </tpls>
      </n>
      <n v="11215260" in="0">
        <tpls c="5">
          <tpl fld="1" item="3"/>
          <tpl fld="2" item="9"/>
          <tpl hier="10" item="11"/>
          <tpl hier="11" item="0"/>
          <tpl fld="0" item="1"/>
        </tpls>
      </n>
      <n v="-1563.75" in="0">
        <tpls c="5">
          <tpl fld="1" item="5"/>
          <tpl fld="2" item="11"/>
          <tpl hier="10" item="11"/>
          <tpl hier="11" item="0"/>
          <tpl fld="0" item="0"/>
        </tpls>
      </n>
      <n v="-60342.5" in="0">
        <tpls c="5">
          <tpl fld="1" item="9"/>
          <tpl fld="2" item="6"/>
          <tpl hier="10" item="11"/>
          <tpl hier="11" item="0"/>
          <tpl fld="0" item="0"/>
        </tpls>
      </n>
      <n v="-141101.58333333334" in="0">
        <tpls c="5">
          <tpl fld="1" item="4"/>
          <tpl fld="2" item="7"/>
          <tpl hier="10" item="11"/>
          <tpl hier="11" item="0"/>
          <tpl fld="0" item="0"/>
        </tpls>
      </n>
      <n v="-929161" in="0">
        <tpls c="5">
          <tpl fld="1" item="4"/>
          <tpl fld="2" item="0"/>
          <tpl hier="10" item="11"/>
          <tpl hier="11" item="0"/>
          <tpl fld="0" item="1"/>
        </tpls>
      </n>
      <n v="-1515.25" in="0">
        <tpls c="5">
          <tpl fld="1" item="7"/>
          <tpl fld="2" item="11"/>
          <tpl hier="10" item="11"/>
          <tpl hier="11" item="0"/>
          <tpl fld="0" item="0"/>
        </tpls>
      </n>
      <n v="-24039" in="0">
        <tpls c="5">
          <tpl fld="1" item="3"/>
          <tpl fld="2" item="13"/>
          <tpl hier="10" item="11"/>
          <tpl hier="11" item="0"/>
          <tpl fld="0" item="1"/>
        </tpls>
      </n>
      <n v="-867836" in="0">
        <tpls c="5">
          <tpl fld="1" item="11"/>
          <tpl fld="2" item="0"/>
          <tpl hier="10" item="11"/>
          <tpl hier="11" item="0"/>
          <tpl fld="0" item="1"/>
        </tpls>
      </n>
      <n v="-31272.5" in="0">
        <tpls c="5">
          <tpl fld="1" item="11"/>
          <tpl fld="2" item="14"/>
          <tpl hier="10" item="11"/>
          <tpl hier="11" item="0"/>
          <tpl fld="0" item="0"/>
        </tpls>
      </n>
      <n v="-13754309" in="0">
        <tpls c="4">
          <tpl fld="2" item="0"/>
          <tpl hier="10" item="11"/>
          <tpl hier="11" item="0"/>
          <tpl fld="0" item="1"/>
        </tpls>
      </n>
      <n v="8495319.5" in="0">
        <tpls c="5">
          <tpl fld="1" item="6"/>
          <tpl hier="9" item="4294967295"/>
          <tpl hier="10" item="11"/>
          <tpl hier="11" item="0"/>
          <tpl fld="0" item="0"/>
        </tpls>
      </n>
      <n v="-189617" in="0">
        <tpls c="4">
          <tpl fld="2" item="15"/>
          <tpl hier="10" item="11"/>
          <tpl hier="11" item="0"/>
          <tpl fld="0" item="1"/>
        </tpls>
      </n>
      <n v="7995921" in="0">
        <tpls c="5">
          <tpl fld="1" item="0"/>
          <tpl fld="2" item="9"/>
          <tpl hier="10" item="11"/>
          <tpl hier="11" item="0"/>
          <tpl fld="0" item="0"/>
        </tpls>
      </n>
      <n v="-285944" in="0">
        <tpls c="4">
          <tpl fld="2" item="4"/>
          <tpl hier="10" item="11"/>
          <tpl hier="11" item="0"/>
          <tpl fld="0" item="1"/>
        </tpls>
      </n>
      <n v="-19649" in="0">
        <tpls c="5">
          <tpl fld="1" item="8"/>
          <tpl fld="2" item="15"/>
          <tpl hier="10" item="11"/>
          <tpl hier="11" item="0"/>
          <tpl fld="0" item="0"/>
        </tpls>
      </n>
      <n v="-3523.75" in="0">
        <tpls c="5">
          <tpl fld="1" item="3"/>
          <tpl fld="2" item="8"/>
          <tpl hier="10" item="11"/>
          <tpl hier="11" item="0"/>
          <tpl fld="0" item="0"/>
        </tpls>
      </n>
      <n v="-1558.5" in="0">
        <tpls c="5">
          <tpl fld="1" item="3"/>
          <tpl fld="2" item="11"/>
          <tpl hier="10" item="11"/>
          <tpl hier="11" item="0"/>
          <tpl fld="0" item="0"/>
        </tpls>
      </n>
      <n v="-561851" in="0">
        <tpls c="5">
          <tpl fld="1" item="11"/>
          <tpl fld="2" item="14"/>
          <tpl hier="10" item="11"/>
          <tpl hier="11" item="0"/>
          <tpl fld="0" item="1"/>
        </tpls>
      </n>
      <n v="-16088" in="0">
        <tpls c="5">
          <tpl fld="1" item="8"/>
          <tpl fld="2" item="15"/>
          <tpl hier="10" item="11"/>
          <tpl hier="11" item="0"/>
          <tpl fld="0" item="1"/>
        </tpls>
      </n>
      <n v="-5020" in="0">
        <tpls c="5">
          <tpl fld="1" item="3"/>
          <tpl fld="2" item="1"/>
          <tpl hier="10" item="11"/>
          <tpl hier="11" item="0"/>
          <tpl fld="0" item="1"/>
        </tpls>
      </n>
      <n v="-5030" in="0">
        <tpls c="5">
          <tpl fld="1" item="9"/>
          <tpl fld="2" item="1"/>
          <tpl hier="10" item="11"/>
          <tpl hier="11" item="0"/>
          <tpl fld="0" item="1"/>
        </tpls>
      </n>
      <n v="-24831" in="0">
        <tpls c="5">
          <tpl fld="1" item="9"/>
          <tpl fld="2" item="12"/>
          <tpl hier="10" item="11"/>
          <tpl hier="11" item="0"/>
          <tpl fld="0" item="1"/>
        </tpls>
      </n>
      <n v="-36502.5" in="0">
        <tpls c="5">
          <tpl fld="1" item="10"/>
          <tpl fld="2" item="14"/>
          <tpl hier="10" item="11"/>
          <tpl hier="11" item="0"/>
          <tpl fld="0" item="0"/>
        </tpls>
      </n>
      <n v="-14827" in="0">
        <tpls c="5">
          <tpl fld="1" item="0"/>
          <tpl fld="2" item="12"/>
          <tpl hier="10" item="11"/>
          <tpl hier="11" item="0"/>
          <tpl fld="0" item="0"/>
        </tpls>
      </n>
      <n v="-4594" in="0">
        <tpls c="5">
          <tpl fld="1" item="7"/>
          <tpl fld="2" item="5"/>
          <tpl hier="10" item="11"/>
          <tpl hier="11" item="0"/>
          <tpl fld="0" item="1"/>
        </tpls>
      </n>
      <n v="-12234.25" in="0">
        <tpls c="5">
          <tpl fld="1" item="11"/>
          <tpl fld="2" item="1"/>
          <tpl hier="10" item="11"/>
          <tpl hier="11" item="0"/>
          <tpl fld="0" item="0"/>
        </tpls>
      </n>
      <n v="-13829" in="0">
        <tpls c="5">
          <tpl fld="1" item="2"/>
          <tpl fld="2" item="12"/>
          <tpl hier="10" item="11"/>
          <tpl hier="11" item="0"/>
          <tpl fld="0" item="0"/>
        </tpls>
      </n>
      <n v="-35856.5" in="0">
        <tpls c="5">
          <tpl fld="1" item="8"/>
          <tpl fld="2" item="14"/>
          <tpl hier="10" item="11"/>
          <tpl hier="11" item="0"/>
          <tpl fld="0" item="0"/>
        </tpls>
      </n>
      <n v="-15982" in="0">
        <tpls c="5">
          <tpl fld="1" item="7"/>
          <tpl fld="2" item="15"/>
          <tpl hier="10" item="11"/>
          <tpl hier="11" item="0"/>
          <tpl fld="0" item="1"/>
        </tpls>
      </n>
      <n v="-751.75" in="0">
        <tpls c="5">
          <tpl fld="1" item="2"/>
          <tpl fld="2" item="8"/>
          <tpl hier="10" item="11"/>
          <tpl hier="11" item="0"/>
          <tpl fld="0" item="0"/>
        </tpls>
      </n>
      <n v="-709680.25" in="0">
        <tpls c="5">
          <tpl fld="1" item="3"/>
          <tpl fld="2" item="0"/>
          <tpl hier="10" item="11"/>
          <tpl hier="11" item="0"/>
          <tpl fld="0" item="0"/>
        </tpls>
      </n>
      <n v="-498296" in="0">
        <tpls c="5">
          <tpl fld="1" item="8"/>
          <tpl fld="2" item="8"/>
          <tpl hier="10" item="11"/>
          <tpl hier="11" item="0"/>
          <tpl fld="0" item="1"/>
        </tpls>
      </n>
      <n v="-33532" in="0">
        <tpls c="5">
          <tpl fld="1" item="5"/>
          <tpl fld="2" item="12"/>
          <tpl hier="10" item="11"/>
          <tpl hier="11" item="0"/>
          <tpl fld="0" item="1"/>
        </tpls>
      </n>
      <n v="-705345" in="0">
        <tpls c="5">
          <tpl fld="1" item="8"/>
          <tpl fld="2" item="14"/>
          <tpl hier="10" item="11"/>
          <tpl hier="11" item="0"/>
          <tpl fld="0" item="1"/>
        </tpls>
      </n>
      <n v="-17422.75" in="0">
        <tpls c="5">
          <tpl fld="1" item="6"/>
          <tpl fld="2" item="15"/>
          <tpl hier="10" item="11"/>
          <tpl hier="11" item="0"/>
          <tpl fld="0" item="0"/>
        </tpls>
      </n>
      <n v="-51682.75" in="0">
        <tpls c="5">
          <tpl fld="1" item="10"/>
          <tpl fld="2" item="6"/>
          <tpl hier="10" item="11"/>
          <tpl hier="11" item="0"/>
          <tpl fld="0" item="0"/>
        </tpls>
      </n>
      <n v="-1933" in="0">
        <tpls c="5">
          <tpl fld="1" item="11"/>
          <tpl fld="2" item="4"/>
          <tpl hier="10" item="11"/>
          <tpl hier="11" item="0"/>
          <tpl fld="0" item="0"/>
        </tpls>
      </n>
      <n v="-1471751" in="0">
        <tpls c="5">
          <tpl fld="1" item="0"/>
          <tpl fld="2" item="0"/>
          <tpl hier="10" item="11"/>
          <tpl hier="11" item="0"/>
          <tpl fld="0" item="1"/>
        </tpls>
      </n>
      <m in="0">
        <tpls c="5">
          <tpl fld="1" item="1"/>
          <tpl fld="2" item="2"/>
          <tpl hier="10" item="11"/>
          <tpl hier="11" item="0"/>
          <tpl fld="0" item="1"/>
        </tpls>
      </m>
      <n v="-165879" in="0">
        <tpls c="5">
          <tpl fld="1" item="11"/>
          <tpl fld="2" item="10"/>
          <tpl hier="10" item="11"/>
          <tpl hier="11" item="0"/>
          <tpl fld="0" item="1"/>
        </tpls>
      </n>
      <n v="2018588" in="0">
        <tpls c="5">
          <tpl fld="1" item="11"/>
          <tpl hier="9" item="4294967295"/>
          <tpl hier="10" item="11"/>
          <tpl hier="11" item="0"/>
          <tpl fld="0" item="1"/>
        </tpls>
      </n>
      <n v="-6962.5" in="0">
        <tpls c="5">
          <tpl fld="1" item="8"/>
          <tpl fld="2" item="3"/>
          <tpl hier="10" item="11"/>
          <tpl hier="11" item="0"/>
          <tpl fld="0" item="0"/>
        </tpls>
      </n>
      <n v="-1910083" in="0">
        <tpls c="5">
          <tpl fld="1" item="10"/>
          <tpl fld="2" item="7"/>
          <tpl hier="10" item="11"/>
          <tpl hier="11" item="0"/>
          <tpl fld="0" item="1"/>
        </tpls>
      </n>
      <n v="-32612.5" in="0">
        <tpls c="5">
          <tpl fld="1" item="10"/>
          <tpl fld="2" item="10"/>
          <tpl hier="10" item="11"/>
          <tpl hier="11" item="0"/>
          <tpl fld="0" item="0"/>
        </tpls>
      </n>
      <n v="-684837.25" in="0">
        <tpls c="5">
          <tpl fld="1" item="11"/>
          <tpl fld="2" item="0"/>
          <tpl hier="10" item="11"/>
          <tpl hier="11" item="0"/>
          <tpl fld="0" item="0"/>
        </tpls>
      </n>
      <n v="-21642" in="0">
        <tpls c="5">
          <tpl fld="1" item="3"/>
          <tpl fld="2" item="4"/>
          <tpl hier="10" item="11"/>
          <tpl hier="11" item="0"/>
          <tpl fld="0" item="1"/>
        </tpls>
      </n>
      <n v="-20361" in="0">
        <tpls c="5">
          <tpl fld="1" item="10"/>
          <tpl fld="2" item="13"/>
          <tpl hier="10" item="11"/>
          <tpl hier="11" item="0"/>
          <tpl fld="0" item="1"/>
        </tpls>
      </n>
      <n v="-10679" in="0">
        <tpls c="5">
          <tpl fld="1" item="5"/>
          <tpl fld="2" item="3"/>
          <tpl hier="10" item="11"/>
          <tpl hier="11" item="0"/>
          <tpl fld="0" item="1"/>
        </tpls>
      </n>
      <n v="-19291.75" in="0">
        <tpls c="5">
          <tpl fld="1" item="8"/>
          <tpl fld="2" item="13"/>
          <tpl hier="10" item="11"/>
          <tpl hier="11" item="0"/>
          <tpl fld="0" item="0"/>
        </tpls>
      </n>
      <n v="-1700" in="0">
        <tpls c="5">
          <tpl fld="1" item="0"/>
          <tpl fld="2" item="2"/>
          <tpl hier="10" item="11"/>
          <tpl hier="11" item="0"/>
          <tpl fld="0" item="1"/>
        </tpls>
      </n>
      <n v="-2289.25" in="0">
        <tpls c="5">
          <tpl fld="1" item="6"/>
          <tpl fld="2" item="2"/>
          <tpl hier="10" item="11"/>
          <tpl hier="11" item="0"/>
          <tpl fld="0" item="0"/>
        </tpls>
      </n>
      <n v="-117860" in="0">
        <tpls c="5">
          <tpl fld="1" item="8"/>
          <tpl fld="2" item="10"/>
          <tpl hier="10" item="11"/>
          <tpl hier="11" item="0"/>
          <tpl fld="0" item="1"/>
        </tpls>
      </n>
      <n v="-2312" in="0">
        <tpls c="5">
          <tpl fld="1" item="0"/>
          <tpl fld="2" item="2"/>
          <tpl hier="10" item="11"/>
          <tpl hier="11" item="0"/>
          <tpl fld="0" item="0"/>
        </tpls>
      </n>
      <n v="-11923" in="0">
        <tpls c="5">
          <tpl fld="1" item="6"/>
          <tpl fld="2" item="13"/>
          <tpl hier="10" item="11"/>
          <tpl hier="11" item="0"/>
          <tpl fld="0" item="0"/>
        </tpls>
      </n>
      <n v="9118441" in="0">
        <tpls c="5">
          <tpl fld="1" item="10"/>
          <tpl fld="2" item="9"/>
          <tpl hier="10" item="11"/>
          <tpl hier="11" item="0"/>
          <tpl fld="0" item="0"/>
        </tpls>
      </n>
      <n v="-5020" in="0">
        <tpls c="5">
          <tpl fld="1" item="10"/>
          <tpl fld="2" item="1"/>
          <tpl hier="10" item="11"/>
          <tpl hier="11" item="0"/>
          <tpl fld="0" item="1"/>
        </tpls>
      </n>
      <n v="-1953148" in="0">
        <tpls c="5">
          <tpl fld="1" item="8"/>
          <tpl fld="2" item="7"/>
          <tpl hier="10" item="11"/>
          <tpl hier="11" item="0"/>
          <tpl fld="0" item="1"/>
        </tpls>
      </n>
      <n v="-52657" in="0">
        <tpls c="5">
          <tpl fld="1" item="5"/>
          <tpl fld="2" item="6"/>
          <tpl hier="10" item="11"/>
          <tpl hier="11" item="0"/>
          <tpl fld="0" item="0"/>
        </tpls>
      </n>
      <n v="-41" in="0">
        <tpls c="5">
          <tpl fld="1" item="4"/>
          <tpl fld="2" item="8"/>
          <tpl hier="10" item="11"/>
          <tpl hier="11" item="0"/>
          <tpl fld="0" item="0"/>
        </tpls>
      </n>
      <n v="-3861.25" in="0">
        <tpls c="5">
          <tpl fld="1" item="9"/>
          <tpl fld="2" item="5"/>
          <tpl hier="10" item="11"/>
          <tpl hier="11" item="0"/>
          <tpl fld="0" item="0"/>
        </tpls>
      </n>
      <n v="6706490" in="0">
        <tpls c="5">
          <tpl fld="1" item="10"/>
          <tpl hier="9" item="4294967295"/>
          <tpl hier="10" item="11"/>
          <tpl hier="11" item="0"/>
          <tpl fld="0" item="1"/>
        </tpls>
      </n>
      <n v="-14355.25" in="0">
        <tpls c="5">
          <tpl fld="1" item="9"/>
          <tpl fld="2" item="12"/>
          <tpl hier="10" item="11"/>
          <tpl hier="11" item="0"/>
          <tpl fld="0" item="0"/>
        </tpls>
      </n>
      <n v="-1869.75" in="0">
        <tpls c="5">
          <tpl fld="1" item="5"/>
          <tpl fld="2" item="2"/>
          <tpl hier="10" item="11"/>
          <tpl hier="11" item="0"/>
          <tpl fld="0" item="0"/>
        </tpls>
      </n>
      <n v="-1184.5" in="0">
        <tpls c="5">
          <tpl fld="1" item="7"/>
          <tpl fld="2" item="4"/>
          <tpl hier="10" item="11"/>
          <tpl hier="11" item="0"/>
          <tpl fld="0" item="0"/>
        </tpls>
      </n>
      <n v="-43109.5" in="0">
        <tpls c="5">
          <tpl fld="1" item="3"/>
          <tpl fld="2" item="6"/>
          <tpl hier="10" item="11"/>
          <tpl hier="11" item="0"/>
          <tpl fld="0" item="0"/>
        </tpls>
      </n>
      <n v="-19344" in="0">
        <tpls c="5">
          <tpl fld="1" item="4"/>
          <tpl fld="2" item="13"/>
          <tpl hier="10" item="11"/>
          <tpl hier="11" item="0"/>
          <tpl fld="0" item="1"/>
        </tpls>
      </n>
      <n v="-16579" in="0">
        <tpls c="5">
          <tpl fld="1" item="9"/>
          <tpl fld="2" item="15"/>
          <tpl hier="10" item="11"/>
          <tpl hier="11" item="0"/>
          <tpl fld="0" item="1"/>
        </tpls>
      </n>
      <n v="-7351.75" in="0">
        <tpls c="5">
          <tpl fld="1" item="1"/>
          <tpl fld="2" item="3"/>
          <tpl hier="10" item="11"/>
          <tpl hier="11" item="0"/>
          <tpl fld="0" item="0"/>
        </tpls>
      </n>
      <n v="-31728.75" in="0">
        <tpls c="5">
          <tpl fld="1" item="7"/>
          <tpl fld="2" item="8"/>
          <tpl hier="10" item="11"/>
          <tpl hier="11" item="0"/>
          <tpl fld="0" item="0"/>
        </tpls>
      </n>
      <n v="-43659.25" in="0">
        <tpls c="4">
          <tpl fld="2" item="5"/>
          <tpl hier="10" item="11"/>
          <tpl hier="11" item="0"/>
          <tpl fld="0" item="0"/>
        </tpls>
      </n>
      <n v="-36974.25" in="0">
        <tpls c="5">
          <tpl fld="1" item="1"/>
          <tpl fld="2" item="10"/>
          <tpl hier="10" item="11"/>
          <tpl hier="11" item="0"/>
          <tpl fld="0" item="0"/>
        </tpls>
      </n>
      <n v="-1374830" in="0">
        <tpls c="5">
          <tpl fld="1" item="10"/>
          <tpl fld="2" item="0"/>
          <tpl hier="10" item="11"/>
          <tpl hier="11" item="0"/>
          <tpl fld="0" item="1"/>
        </tpls>
      </n>
      <n v="-20531" in="0">
        <tpls c="5">
          <tpl fld="1" item="3"/>
          <tpl fld="2" item="12"/>
          <tpl hier="10" item="11"/>
          <tpl hier="11" item="0"/>
          <tpl fld="0" item="1"/>
        </tpls>
      </n>
      <n v="105300402" in="0">
        <tpls c="4">
          <tpl fld="2" item="9"/>
          <tpl hier="10" item="11"/>
          <tpl hier="11" item="0"/>
          <tpl fld="0" item="0"/>
        </tpls>
      </n>
      <n v="-14439" in="0">
        <tpls c="5">
          <tpl fld="1" item="2"/>
          <tpl fld="2" item="1"/>
          <tpl hier="10" item="11"/>
          <tpl hier="11" item="0"/>
          <tpl fld="0" item="0"/>
        </tpls>
      </n>
      <n v="-471142" in="0">
        <tpls c="4">
          <tpl fld="2" item="14"/>
          <tpl hier="10" item="11"/>
          <tpl hier="11" item="0"/>
          <tpl fld="0" item="0"/>
        </tpls>
      </n>
      <n v="-190356" in="0">
        <tpls c="5">
          <tpl fld="1" item="2"/>
          <tpl fld="2" item="10"/>
          <tpl hier="10" item="11"/>
          <tpl hier="11" item="0"/>
          <tpl fld="0" item="1"/>
        </tpls>
      </n>
      <n v="-461449" in="0">
        <tpls c="5">
          <tpl fld="1" item="6"/>
          <tpl fld="2" item="8"/>
          <tpl hier="10" item="11"/>
          <tpl hier="11" item="0"/>
          <tpl fld="0" item="1"/>
        </tpls>
      </n>
      <n v="-159774" in="0">
        <tpls c="4">
          <tpl fld="2" item="1"/>
          <tpl hier="10" item="11"/>
          <tpl hier="11" item="0"/>
          <tpl fld="0" item="0"/>
        </tpls>
      </n>
      <n v="-75034" in="0">
        <tpls c="5">
          <tpl fld="1" item="8"/>
          <tpl fld="2" item="6"/>
          <tpl hier="10" item="11"/>
          <tpl hier="11" item="0"/>
          <tpl fld="0" item="1"/>
        </tpls>
      </n>
      <n v="-89075.5" in="0">
        <tpls c="4">
          <tpl fld="2" item="8"/>
          <tpl hier="10" item="11"/>
          <tpl hier="11" item="0"/>
          <tpl fld="0" item="0"/>
        </tpls>
      </n>
      <n v="4071941" in="0">
        <tpls c="5">
          <tpl fld="1" item="1"/>
          <tpl hier="9" item="4294967295"/>
          <tpl hier="10" item="11"/>
          <tpl hier="11" item="0"/>
          <tpl fld="0" item="1"/>
        </tpls>
      </n>
      <n v="-1468.75" in="0">
        <tpls c="5">
          <tpl fld="1" item="8"/>
          <tpl fld="2" item="4"/>
          <tpl hier="10" item="11"/>
          <tpl hier="11" item="0"/>
          <tpl fld="0" item="0"/>
        </tpls>
      </n>
      <n v="-367663" in="0">
        <tpls c="5">
          <tpl fld="1" item="4"/>
          <tpl fld="2" item="8"/>
          <tpl hier="10" item="11"/>
          <tpl hier="11" item="0"/>
          <tpl fld="0" item="1"/>
        </tpls>
      </n>
      <n v="-41557.5" in="0">
        <tpls c="5">
          <tpl fld="1" item="7"/>
          <tpl fld="2" item="10"/>
          <tpl hier="10" item="11"/>
          <tpl hier="11" item="0"/>
          <tpl fld="0" item="0"/>
        </tpls>
      </n>
      <n v="-19705" in="0">
        <tpls c="5">
          <tpl fld="1" item="1"/>
          <tpl fld="2" item="15"/>
          <tpl hier="10" item="11"/>
          <tpl hier="11" item="0"/>
          <tpl fld="0" item="0"/>
        </tpls>
      </n>
      <n v="-3946.25" in="0">
        <tpls c="5">
          <tpl fld="1" item="2"/>
          <tpl fld="2" item="5"/>
          <tpl hier="10" item="11"/>
          <tpl hier="11" item="0"/>
          <tpl fld="0" item="0"/>
        </tpls>
      </n>
      <n v="8028851.25" in="0">
        <tpls c="5">
          <tpl fld="1" item="10"/>
          <tpl hier="9" item="4294967295"/>
          <tpl hier="10" item="11"/>
          <tpl hier="11" item="0"/>
          <tpl fld="0" item="0"/>
        </tpls>
      </n>
      <n v="-3449" in="0">
        <tpls c="5">
          <tpl fld="1" item="2"/>
          <tpl fld="2" item="5"/>
          <tpl hier="10" item="11"/>
          <tpl hier="11" item="0"/>
          <tpl fld="0" item="1"/>
        </tpls>
      </n>
      <n v="-26151" in="0">
        <tpls c="5">
          <tpl fld="1" item="8"/>
          <tpl fld="2" item="13"/>
          <tpl hier="10" item="11"/>
          <tpl hier="11" item="0"/>
          <tpl fld="0" item="1"/>
        </tpls>
      </n>
      <n v="-15426" in="0">
        <tpls c="5">
          <tpl fld="1" item="6"/>
          <tpl fld="2" item="15"/>
          <tpl hier="10" item="11"/>
          <tpl hier="11" item="0"/>
          <tpl fld="0" item="1"/>
        </tpls>
      </n>
      <n v="-7129" in="0">
        <tpls c="5">
          <tpl fld="1" item="7"/>
          <tpl fld="2" item="3"/>
          <tpl hier="10" item="11"/>
          <tpl hier="11" item="0"/>
          <tpl fld="0" item="1"/>
        </tpls>
      </n>
      <n v="-408704" in="0">
        <tpls c="5">
          <tpl fld="1" item="9"/>
          <tpl fld="2" item="14"/>
          <tpl hier="10" item="11"/>
          <tpl hier="11" item="0"/>
          <tpl fld="0" item="1"/>
        </tpls>
      </n>
      <n v="-2932.5" in="0">
        <tpls c="5">
          <tpl fld="1" item="7"/>
          <tpl fld="2" item="2"/>
          <tpl hier="10" item="11"/>
          <tpl hier="11" item="0"/>
          <tpl fld="0" item="0"/>
        </tpls>
      </n>
      <n v="-26037" in="0">
        <tpls c="4">
          <tpl fld="2" item="2"/>
          <tpl hier="10" item="11"/>
          <tpl hier="11" item="0"/>
          <tpl fld="0" item="1"/>
        </tpls>
      </n>
      <n v="-17090.25" in="0">
        <tpls c="5">
          <tpl fld="1" item="7"/>
          <tpl fld="2" item="15"/>
          <tpl hier="10" item="11"/>
          <tpl hier="11" item="0"/>
          <tpl fld="0" item="0"/>
        </tpls>
      </n>
      <n v="-630606.25" in="0">
        <tpls c="5">
          <tpl fld="1" item="0"/>
          <tpl fld="2" item="0"/>
          <tpl hier="10" item="11"/>
          <tpl hier="11" item="0"/>
          <tpl fld="0" item="0"/>
        </tpls>
      </n>
      <n v="-2118947" in="0">
        <tpls c="5">
          <tpl fld="1" item="4"/>
          <tpl fld="2" item="7"/>
          <tpl hier="10" item="11"/>
          <tpl hier="11" item="0"/>
          <tpl fld="0" item="1"/>
        </tpls>
      </n>
      <n v="-5010" in="0">
        <tpls c="5">
          <tpl fld="1" item="0"/>
          <tpl fld="2" item="1"/>
          <tpl hier="10" item="11"/>
          <tpl hier="11" item="0"/>
          <tpl fld="0" item="1"/>
        </tpls>
      </n>
      <n v="-97179" in="0">
        <tpls c="5">
          <tpl fld="1" item="9"/>
          <tpl fld="2" item="6"/>
          <tpl hier="10" item="11"/>
          <tpl hier="11" item="0"/>
          <tpl fld="0" item="1"/>
        </tpls>
      </n>
      <n v="-163621" in="0">
        <tpls c="5">
          <tpl fld="1" item="10"/>
          <tpl fld="2" item="10"/>
          <tpl hier="10" item="11"/>
          <tpl hier="11" item="0"/>
          <tpl fld="0" item="1"/>
        </tpls>
      </n>
      <n v="-13444" in="0">
        <tpls c="5">
          <tpl fld="1" item="0"/>
          <tpl fld="2" item="1"/>
          <tpl hier="10" item="11"/>
          <tpl hier="11" item="0"/>
          <tpl fld="0" item="0"/>
        </tpls>
      </n>
      <n v="-12422.25" in="0">
        <tpls c="5">
          <tpl fld="1" item="1"/>
          <tpl fld="2" item="1"/>
          <tpl hier="10" item="11"/>
          <tpl hier="11" item="0"/>
          <tpl fld="0" item="0"/>
        </tpls>
      </n>
      <n v="-15744" in="0">
        <tpls c="5">
          <tpl fld="1" item="1"/>
          <tpl fld="2" item="12"/>
          <tpl hier="10" item="11"/>
          <tpl hier="11" item="0"/>
          <tpl fld="0" item="1"/>
        </tpls>
      </n>
      <n v="-708483.75" in="0">
        <tpls c="5">
          <tpl fld="1" item="7"/>
          <tpl fld="2" item="0"/>
          <tpl hier="10" item="11"/>
          <tpl hier="11" item="0"/>
          <tpl fld="0" item="0"/>
        </tpls>
      </n>
      <n v="-21527" in="0">
        <tpls c="5">
          <tpl fld="1" item="9"/>
          <tpl fld="2" item="4"/>
          <tpl hier="10" item="11"/>
          <tpl hier="11" item="0"/>
          <tpl fld="0" item="1"/>
        </tpls>
      </n>
      <n v="-126648" in="0">
        <tpls c="5">
          <tpl fld="1" item="3"/>
          <tpl fld="2" item="10"/>
          <tpl hier="10" item="11"/>
          <tpl hier="11" item="0"/>
          <tpl fld="0" item="1"/>
        </tpls>
      </n>
      <n v="-2581.75" in="0">
        <tpls c="5">
          <tpl fld="1" item="2"/>
          <tpl fld="2" item="4"/>
          <tpl hier="10" item="11"/>
          <tpl hier="11" item="0"/>
          <tpl fld="0" item="0"/>
        </tpls>
      </n>
      <n v="7737550.5" in="0">
        <tpls c="5">
          <tpl fld="1" item="1"/>
          <tpl hier="9" item="4294967295"/>
          <tpl hier="10" item="11"/>
          <tpl hier="11" item="0"/>
          <tpl fld="0" item="0"/>
        </tpls>
      </n>
      <n v="-539515" in="0">
        <tpls c="5">
          <tpl fld="1" item="11"/>
          <tpl fld="2" item="8"/>
          <tpl hier="10" item="11"/>
          <tpl hier="11" item="0"/>
          <tpl fld="0" item="1"/>
        </tpls>
      </n>
      <n v="-128076" in="0">
        <tpls c="5">
          <tpl fld="1" item="1"/>
          <tpl fld="2" item="6"/>
          <tpl hier="10" item="11"/>
          <tpl hier="11" item="0"/>
          <tpl fld="0" item="1"/>
        </tpls>
      </n>
      <n v="-2775891" in="0">
        <tpls c="5">
          <tpl fld="1" item="0"/>
          <tpl fld="2" item="7"/>
          <tpl hier="10" item="11"/>
          <tpl hier="11" item="0"/>
          <tpl fld="0" item="1"/>
        </tpls>
      </n>
      <n v="-3700.5" in="0">
        <tpls c="5">
          <tpl fld="1" item="1"/>
          <tpl fld="2" item="5"/>
          <tpl hier="10" item="11"/>
          <tpl hier="11" item="0"/>
          <tpl fld="0" item="0"/>
        </tpls>
      </n>
      <n v="-97133.833333333328" in="0">
        <tpls c="5">
          <tpl fld="1" item="0"/>
          <tpl fld="2" item="7"/>
          <tpl hier="10" item="11"/>
          <tpl hier="11" item="0"/>
          <tpl fld="0" item="0"/>
        </tpls>
      </n>
      <n v="-2472" in="0">
        <tpls c="5">
          <tpl fld="1" item="7"/>
          <tpl fld="2" item="2"/>
          <tpl hier="10" item="11"/>
          <tpl hier="11" item="0"/>
          <tpl fld="0" item="1"/>
        </tpls>
      </n>
      <n v="15869002" in="0">
        <tpls c="5">
          <tpl fld="1" item="8"/>
          <tpl hier="9" item="4294967295"/>
          <tpl hier="10" item="11"/>
          <tpl hier="11" item="0"/>
          <tpl fld="0" item="1"/>
        </tpls>
      </n>
      <n v="8716551" in="0">
        <tpls c="5">
          <tpl fld="1" item="1"/>
          <tpl fld="2" item="9"/>
          <tpl hier="10" item="11"/>
          <tpl hier="11" item="0"/>
          <tpl fld="0" item="0"/>
        </tpls>
      </n>
      <n v="-3023690" in="0">
        <tpls c="5">
          <tpl fld="1" item="2"/>
          <tpl fld="2" item="7"/>
          <tpl hier="10" item="11"/>
          <tpl hier="11" item="0"/>
          <tpl fld="0" item="1"/>
        </tpls>
      </n>
      <n v="-1904" in="0">
        <tpls c="5">
          <tpl fld="1" item="8"/>
          <tpl fld="2" item="2"/>
          <tpl hier="10" item="11"/>
          <tpl hier="11" item="0"/>
          <tpl fld="0" item="0"/>
        </tpls>
      </n>
      <n v="-6445" in="0">
        <tpls c="5">
          <tpl fld="1" item="6"/>
          <tpl fld="2" item="5"/>
          <tpl hier="10" item="11"/>
          <tpl hier="11" item="0"/>
          <tpl fld="0" item="1"/>
        </tpls>
      </n>
      <n v="-196676.25" in="0">
        <tpls c="5">
          <tpl fld="1" item="8"/>
          <tpl fld="2" item="7"/>
          <tpl hier="10" item="11"/>
          <tpl hier="11" item="0"/>
          <tpl fld="0" item="0"/>
        </tpls>
      </n>
      <n v="-12375.5" in="0">
        <tpls c="5">
          <tpl fld="1" item="4"/>
          <tpl fld="2" item="12"/>
          <tpl hier="10" item="11"/>
          <tpl hier="11" item="0"/>
          <tpl fld="0" item="0"/>
        </tpls>
      </n>
      <n v="-106007.58333333333" in="0">
        <tpls c="5">
          <tpl fld="1" item="7"/>
          <tpl fld="2" item="7"/>
          <tpl hier="10" item="11"/>
          <tpl hier="11" item="0"/>
          <tpl fld="0" item="0"/>
        </tpls>
      </n>
      <n v="-5040" in="0">
        <tpls c="5">
          <tpl fld="1" item="4"/>
          <tpl fld="2" item="1"/>
          <tpl hier="10" item="11"/>
          <tpl hier="11" item="0"/>
          <tpl fld="0" item="1"/>
        </tpls>
      </n>
      <n v="-1716.5" in="0">
        <tpls c="5">
          <tpl fld="1" item="6"/>
          <tpl fld="2" item="11"/>
          <tpl hier="10" item="11"/>
          <tpl hier="11" item="0"/>
          <tpl fld="0" item="0"/>
        </tpls>
      </n>
      <n v="-15026.25" in="0">
        <tpls c="5">
          <tpl fld="1" item="2"/>
          <tpl fld="2" item="13"/>
          <tpl hier="10" item="11"/>
          <tpl hier="11" item="0"/>
          <tpl fld="0" item="0"/>
        </tpls>
      </n>
      <n v="-3255" in="0">
        <tpls c="5">
          <tpl fld="1" item="4"/>
          <tpl fld="2" item="5"/>
          <tpl hier="10" item="11"/>
          <tpl hier="11" item="0"/>
          <tpl fld="0" item="0"/>
        </tpls>
      </n>
      <n v="-843341" in="0">
        <tpls c="5">
          <tpl fld="1" item="10"/>
          <tpl fld="2" item="14"/>
          <tpl hier="10" item="11"/>
          <tpl hier="11" item="0"/>
          <tpl fld="0" item="1"/>
        </tpls>
      </n>
      <n v="-1103812" in="0">
        <tpls c="4">
          <tpl fld="2" item="6"/>
          <tpl hier="10" item="11"/>
          <tpl hier="11" item="0"/>
          <tpl fld="0" item="1"/>
        </tpls>
      </n>
      <n v="10542031" in="0">
        <tpls c="5">
          <tpl fld="1" item="6"/>
          <tpl hier="9" item="4294967295"/>
          <tpl hier="10" item="11"/>
          <tpl hier="11" item="0"/>
          <tpl fld="0" item="1"/>
        </tpls>
      </n>
      <n v="-15745.25" in="0">
        <tpls c="5">
          <tpl fld="1" item="11"/>
          <tpl fld="2" item="15"/>
          <tpl hier="10" item="11"/>
          <tpl hier="11" item="0"/>
          <tpl fld="0" item="0"/>
        </tpls>
      </n>
      <n v="-180012" in="0">
        <tpls c="5">
          <tpl fld="1" item="0"/>
          <tpl fld="2" item="10"/>
          <tpl hier="10" item="11"/>
          <tpl hier="11" item="0"/>
          <tpl fld="0" item="1"/>
        </tpls>
      </n>
      <n v="-14188.5" in="0">
        <tpls c="5">
          <tpl fld="1" item="7"/>
          <tpl fld="2" item="1"/>
          <tpl hier="10" item="11"/>
          <tpl hier="11" item="0"/>
          <tpl fld="0" item="0"/>
        </tpls>
      </n>
      <n v="-15301" in="0">
        <tpls c="5">
          <tpl fld="1" item="4"/>
          <tpl fld="2" item="3"/>
          <tpl hier="10" item="11"/>
          <tpl hier="11" item="0"/>
          <tpl fld="0" item="1"/>
        </tpls>
      </n>
      <n v="-88593.75" in="0">
        <tpls c="5">
          <tpl fld="1" item="6"/>
          <tpl fld="2" item="7"/>
          <tpl hier="10" item="11"/>
          <tpl hier="11" item="0"/>
          <tpl fld="0" item="0"/>
        </tpls>
      </n>
      <n v="-17595" in="0">
        <tpls c="5">
          <tpl fld="1" item="1"/>
          <tpl fld="2" item="13"/>
          <tpl hier="10" item="11"/>
          <tpl hier="11" item="0"/>
          <tpl fld="0" item="0"/>
        </tpls>
      </n>
      <n v="-485667" in="0">
        <tpls c="5">
          <tpl fld="1" item="4"/>
          <tpl fld="2" item="14"/>
          <tpl hier="10" item="11"/>
          <tpl hier="11" item="0"/>
          <tpl fld="0" item="1"/>
        </tpls>
      </n>
      <n v="96847723" in="0">
        <tpls c="4">
          <tpl hier="9" item="4294967295"/>
          <tpl hier="10" item="11"/>
          <tpl hier="11" item="0"/>
          <tpl fld="0" item="1"/>
        </tpls>
      </n>
      <n v="-2806" in="0">
        <tpls c="5">
          <tpl fld="1" item="0"/>
          <tpl fld="2" item="11"/>
          <tpl hier="10" item="11"/>
          <tpl hier="11" item="0"/>
          <tpl fld="0" item="1"/>
        </tpls>
      </n>
      <n v="-101243.16666666667" in="0">
        <tpls c="5">
          <tpl fld="1" item="2"/>
          <tpl fld="2" item="7"/>
          <tpl hier="10" item="11"/>
          <tpl hier="11" item="0"/>
          <tpl fld="0" item="0"/>
        </tpls>
      </n>
      <n v="-200380" in="0">
        <tpls c="5">
          <tpl fld="1" item="4"/>
          <tpl fld="2" item="10"/>
          <tpl hier="10" item="11"/>
          <tpl hier="11" item="0"/>
          <tpl fld="0" item="1"/>
        </tpls>
      </n>
      <n v="-34074" in="0">
        <tpls c="5">
          <tpl fld="1" item="11"/>
          <tpl fld="2" item="12"/>
          <tpl hier="10" item="11"/>
          <tpl hier="11" item="0"/>
          <tpl fld="0" item="1"/>
        </tpls>
      </n>
      <n v="-4301413" in="0">
        <tpls c="5">
          <tpl fld="1" item="6"/>
          <tpl fld="2" item="7"/>
          <tpl hier="10" item="11"/>
          <tpl hier="11" item="0"/>
          <tpl fld="0" item="1"/>
        </tpls>
      </n>
      <n v="-30078" in="0">
        <tpls c="4">
          <tpl fld="2" item="11"/>
          <tpl hier="10" item="11"/>
          <tpl hier="11" item="0"/>
          <tpl fld="0" item="1"/>
        </tpls>
      </n>
      <n v="-40041" in="0">
        <tpls c="5">
          <tpl fld="1" item="4"/>
          <tpl fld="2" item="10"/>
          <tpl hier="10" item="11"/>
          <tpl hier="11" item="0"/>
          <tpl fld="0" item="0"/>
        </tpls>
      </n>
      <n v="-25797" in="0">
        <tpls c="4">
          <tpl fld="2" item="2"/>
          <tpl hier="10" item="11"/>
          <tpl hier="11" item="0"/>
          <tpl fld="0" item="0"/>
        </tpls>
      </n>
      <n v="-59957.25" in="0">
        <tpls c="5">
          <tpl fld="1" item="7"/>
          <tpl fld="2" item="14"/>
          <tpl hier="10" item="11"/>
          <tpl hier="11" item="0"/>
          <tpl fld="0" item="0"/>
        </tpls>
      </n>
      <n v="-1554236" in="0">
        <tpls c="4">
          <tpl fld="2" item="7"/>
          <tpl hier="10" item="11"/>
          <tpl hier="11" item="0"/>
          <tpl fld="0" item="0"/>
        </tpls>
      </n>
      <n v="-15521.5" in="0">
        <tpls c="5">
          <tpl fld="1" item="5"/>
          <tpl fld="2" item="13"/>
          <tpl hier="10" item="11"/>
          <tpl hier="11" item="0"/>
          <tpl fld="0" item="0"/>
        </tpls>
      </n>
      <n v="-60320" in="0">
        <tpls c="4">
          <tpl fld="2" item="1"/>
          <tpl hier="10" item="11"/>
          <tpl hier="11" item="0"/>
          <tpl fld="0" item="1"/>
        </tpls>
      </n>
      <n v="-18735" in="0">
        <tpls c="5">
          <tpl fld="1" item="0"/>
          <tpl fld="2" item="12"/>
          <tpl hier="10" item="11"/>
          <tpl hier="11" item="0"/>
          <tpl fld="0" item="1"/>
        </tpls>
      </n>
      <n v="-309493" in="0">
        <tpls c="5">
          <tpl fld="1" item="2"/>
          <tpl fld="2" item="8"/>
          <tpl hier="10" item="11"/>
          <tpl hier="11" item="0"/>
          <tpl fld="0" item="1"/>
        </tpls>
      </n>
      <n v="-936186" in="0">
        <tpls c="5">
          <tpl fld="1" item="7"/>
          <tpl fld="2" item="0"/>
          <tpl hier="10" item="11"/>
          <tpl hier="11" item="0"/>
          <tpl fld="0" item="1"/>
        </tpls>
      </n>
      <n v="-33461754" in="0">
        <tpls c="4">
          <tpl fld="2" item="7"/>
          <tpl hier="10" item="11"/>
          <tpl hier="11" item="0"/>
          <tpl fld="0" item="1"/>
        </tpls>
      </n>
      <n v="-23153" in="0">
        <tpls c="5">
          <tpl fld="1" item="5"/>
          <tpl fld="2" item="13"/>
          <tpl hier="10" item="11"/>
          <tpl hier="11" item="0"/>
          <tpl fld="0" item="1"/>
        </tpls>
      </n>
      <n v="-624166.5" in="0">
        <tpls c="4">
          <tpl fld="2" item="6"/>
          <tpl hier="10" item="11"/>
          <tpl hier="11" item="0"/>
          <tpl fld="0" item="0"/>
        </tpls>
      </n>
      <n v="-1874.5" in="0">
        <tpls c="5">
          <tpl fld="1" item="11"/>
          <tpl fld="2" item="11"/>
          <tpl hier="10" item="11"/>
          <tpl hier="11" item="0"/>
          <tpl fld="0" item="0"/>
        </tpls>
      </n>
      <n v="-10472" in="0">
        <tpls c="5">
          <tpl fld="1" item="11"/>
          <tpl fld="2" item="3"/>
          <tpl hier="10" item="11"/>
          <tpl hier="11" item="0"/>
          <tpl fld="0" item="1"/>
        </tpls>
      </n>
      <n v="-449506.5" in="0">
        <tpls c="4">
          <tpl fld="2" item="10"/>
          <tpl hier="10" item="11"/>
          <tpl hier="11" item="0"/>
          <tpl fld="0" item="0"/>
        </tpls>
      </n>
      <n v="9208197" in="0">
        <tpls c="5">
          <tpl fld="1" item="11"/>
          <tpl fld="2" item="9"/>
          <tpl hier="10" item="11"/>
          <tpl hier="11" item="0"/>
          <tpl fld="0" item="0"/>
        </tpls>
      </n>
      <n v="-8313595.25" in="0">
        <tpls c="4">
          <tpl fld="2" item="0"/>
          <tpl hier="10" item="11"/>
          <tpl hier="11" item="0"/>
          <tpl fld="0" item="0"/>
        </tpls>
      </n>
      <n v="-5020" in="0">
        <tpls c="5">
          <tpl fld="1" item="8"/>
          <tpl fld="2" item="1"/>
          <tpl hier="10" item="11"/>
          <tpl hier="11" item="0"/>
          <tpl fld="0" item="1"/>
        </tpls>
      </n>
      <n v="-66578" in="0">
        <tpls c="4">
          <tpl fld="2" item="5"/>
          <tpl hier="10" item="11"/>
          <tpl hier="11" item="0"/>
          <tpl fld="0" item="1"/>
        </tpls>
      </n>
      <n v="-1886820" in="0">
        <tpls c="4">
          <tpl fld="2" item="10"/>
          <tpl hier="10" item="11"/>
          <tpl hier="11" item="0"/>
          <tpl fld="0" item="1"/>
        </tpls>
      </n>
      <n v="-3413.75" in="0">
        <tpls c="5">
          <tpl fld="1" item="11"/>
          <tpl fld="2" item="5"/>
          <tpl hier="10" item="11"/>
          <tpl hier="11" item="0"/>
          <tpl fld="0" item="0"/>
        </tpls>
      </n>
      <n v="-83612" in="0">
        <tpls c="4">
          <tpl fld="2" item="3"/>
          <tpl hier="10" item="11"/>
          <tpl hier="11" item="0"/>
          <tpl fld="0" item="0"/>
        </tpls>
      </n>
      <n v="-19823" in="0">
        <tpls c="5">
          <tpl fld="1" item="8"/>
          <tpl fld="2" item="4"/>
          <tpl hier="10" item="11"/>
          <tpl hier="11" item="0"/>
          <tpl fld="0" item="1"/>
        </tpls>
      </n>
      <n v="-30962" in="0">
        <tpls c="5">
          <tpl fld="1" item="11"/>
          <tpl fld="2" item="10"/>
          <tpl hier="10" item="11"/>
          <tpl hier="11" item="0"/>
          <tpl fld="0" item="0"/>
        </tpls>
      </n>
      <n v="12280869" in="0">
        <tpls c="5">
          <tpl fld="1" item="9"/>
          <tpl hier="9" item="4294967295"/>
          <tpl hier="10" item="11"/>
          <tpl hier="11" item="0"/>
          <tpl fld="0" item="1"/>
        </tpls>
      </n>
      <n v="-6640.75" in="0">
        <tpls c="5">
          <tpl fld="1" item="3"/>
          <tpl fld="2" item="3"/>
          <tpl hier="10" item="11"/>
          <tpl hier="11" item="0"/>
          <tpl fld="0" item="0"/>
        </tpls>
      </n>
      <n v="-2099.5" in="0">
        <tpls c="5">
          <tpl fld="1" item="9"/>
          <tpl fld="2" item="2"/>
          <tpl hier="10" item="11"/>
          <tpl hier="11" item="0"/>
          <tpl fld="0" item="0"/>
        </tpls>
      </n>
      <n v="-2107.75" in="0">
        <tpls c="5">
          <tpl fld="1" item="11"/>
          <tpl fld="2" item="2"/>
          <tpl hier="10" item="11"/>
          <tpl hier="11" item="0"/>
          <tpl fld="0" item="0"/>
        </tpls>
      </n>
      <n v="-1743" in="0">
        <tpls c="5">
          <tpl fld="1" item="10"/>
          <tpl fld="2" item="11"/>
          <tpl hier="10" item="11"/>
          <tpl hier="11" item="0"/>
          <tpl fld="0" item="0"/>
        </tpls>
      </n>
      <n v="-8002" in="0">
        <tpls c="5">
          <tpl fld="1" item="1"/>
          <tpl fld="2" item="3"/>
          <tpl hier="10" item="11"/>
          <tpl hier="11" item="0"/>
          <tpl fld="0" item="1"/>
        </tpls>
      </n>
      <n v="-26563" in="0">
        <tpls c="5">
          <tpl fld="1" item="2"/>
          <tpl fld="2" item="12"/>
          <tpl hier="10" item="11"/>
          <tpl hier="11" item="0"/>
          <tpl fld="0" item="1"/>
        </tpls>
      </n>
      <n v="-24385.75" in="0">
        <tpls c="4">
          <tpl fld="2" item="4"/>
          <tpl hier="10" item="11"/>
          <tpl hier="11" item="0"/>
          <tpl fld="0" item="0"/>
        </tpls>
      </n>
      <n v="-27275.5" in="0">
        <tpls c="5">
          <tpl fld="1" item="5"/>
          <tpl fld="2" item="8"/>
          <tpl hier="10" item="11"/>
          <tpl hier="11" item="0"/>
          <tpl fld="0" item="0"/>
        </tpls>
      </n>
      <n v="-11991.25" in="0">
        <tpls c="5">
          <tpl fld="1" item="1"/>
          <tpl fld="2" item="12"/>
          <tpl hier="10" item="11"/>
          <tpl hier="11" item="0"/>
          <tpl fld="0" item="0"/>
        </tpls>
      </n>
      <n v="8537212" in="0">
        <tpls c="5">
          <tpl fld="1" item="2"/>
          <tpl hier="9" item="4294967295"/>
          <tpl hier="10" item="11"/>
          <tpl hier="11" item="0"/>
          <tpl fld="0" item="1"/>
        </tpls>
      </n>
      <n v="-21615" in="0">
        <tpls c="5">
          <tpl fld="1" item="0"/>
          <tpl fld="2" item="15"/>
          <tpl hier="10" item="11"/>
          <tpl hier="11" item="0"/>
          <tpl fld="0" item="0"/>
        </tpls>
      </n>
      <n v="-422305" in="0">
        <tpls c="5">
          <tpl fld="1" item="10"/>
          <tpl fld="2" item="8"/>
          <tpl hier="10" item="11"/>
          <tpl hier="11" item="0"/>
          <tpl fld="0" item="1"/>
        </tpls>
      </n>
      <n v="-1750" in="0">
        <tpls c="5">
          <tpl fld="1" item="4"/>
          <tpl fld="2" item="11"/>
          <tpl hier="10" item="11"/>
          <tpl hier="11" item="0"/>
          <tpl fld="0" item="0"/>
        </tpls>
      </n>
      <n v="-14289.25" in="0">
        <tpls c="5">
          <tpl fld="1" item="11"/>
          <tpl fld="2" item="12"/>
          <tpl hier="10" item="11"/>
          <tpl hier="11" item="0"/>
          <tpl fld="0" item="0"/>
        </tpls>
      </n>
      <n v="-16782.25" in="0">
        <tpls c="5">
          <tpl fld="1" item="5"/>
          <tpl fld="2" item="12"/>
          <tpl hier="10" item="11"/>
          <tpl hier="11" item="0"/>
          <tpl fld="0" item="0"/>
        </tpls>
      </n>
      <n v="-17105" in="0">
        <tpls c="5">
          <tpl fld="1" item="2"/>
          <tpl fld="2" item="15"/>
          <tpl hier="10" item="11"/>
          <tpl hier="11" item="0"/>
          <tpl fld="0" item="1"/>
        </tpls>
      </n>
      <n v="-53751" in="0">
        <tpls c="5">
          <tpl fld="1" item="6"/>
          <tpl fld="2" item="6"/>
          <tpl hier="10" item="11"/>
          <tpl hier="11" item="0"/>
          <tpl fld="0" item="0"/>
        </tpls>
      </n>
      <n v="-12871" in="0">
        <tpls c="5">
          <tpl fld="1" item="8"/>
          <tpl fld="2" item="1"/>
          <tpl hier="10" item="11"/>
          <tpl hier="11" item="0"/>
          <tpl fld="0" item="0"/>
        </tpls>
      </n>
      <n v="9730180" in="0">
        <tpls c="5">
          <tpl fld="1" item="9"/>
          <tpl fld="2" item="9"/>
          <tpl hier="10" item="11"/>
          <tpl hier="11" item="0"/>
          <tpl fld="0" item="0"/>
        </tpls>
      </n>
      <n v="-20896.5" in="0">
        <tpls c="5">
          <tpl fld="1" item="9"/>
          <tpl fld="2" item="15"/>
          <tpl hier="10" item="11"/>
          <tpl hier="11" item="0"/>
          <tpl fld="0" item="0"/>
        </tpls>
      </n>
      <n v="-2349" in="0">
        <tpls c="5">
          <tpl fld="1" item="2"/>
          <tpl fld="2" item="11"/>
          <tpl hier="10" item="11"/>
          <tpl hier="11" item="0"/>
          <tpl fld="0" item="1"/>
        </tpls>
      </n>
      <n v="-50691.25" in="0">
        <tpls c="5">
          <tpl fld="1" item="4"/>
          <tpl fld="2" item="14"/>
          <tpl hier="10" item="11"/>
          <tpl hier="11" item="0"/>
          <tpl fld="0" item="0"/>
        </tpls>
      </n>
      <n v="-755054.25" in="0">
        <tpls c="5">
          <tpl fld="1" item="2"/>
          <tpl fld="2" item="0"/>
          <tpl hier="10" item="11"/>
          <tpl hier="11" item="0"/>
          <tpl fld="0" item="0"/>
        </tpls>
      </n>
      <n v="-4980" in="0">
        <tpls c="5">
          <tpl fld="1" item="11"/>
          <tpl fld="2" item="1"/>
          <tpl hier="10" item="11"/>
          <tpl hier="11" item="0"/>
          <tpl fld="0" item="1"/>
        </tpls>
      </n>
      <n v="-695317.75" in="0">
        <tpls c="5">
          <tpl fld="1" item="5"/>
          <tpl fld="2" item="0"/>
          <tpl hier="10" item="11"/>
          <tpl hier="11" item="0"/>
          <tpl fld="0" item="0"/>
        </tpls>
      </n>
      <n v="8040079" in="0">
        <tpls c="5">
          <tpl fld="1" item="11"/>
          <tpl fld="2" item="9"/>
          <tpl hier="10" item="11"/>
          <tpl hier="11" item="0"/>
          <tpl fld="0" item="1"/>
        </tpls>
      </n>
      <n v="-1215" in="0">
        <tpls c="5">
          <tpl fld="1" item="6"/>
          <tpl fld="2" item="4"/>
          <tpl hier="10" item="11"/>
          <tpl hier="11" item="0"/>
          <tpl fld="0" item="0"/>
        </tpls>
      </n>
      <n v="-27118" in="0">
        <tpls c="5">
          <tpl fld="1" item="4"/>
          <tpl fld="2" item="4"/>
          <tpl hier="10" item="11"/>
          <tpl hier="11" item="0"/>
          <tpl fld="0" item="1"/>
        </tpls>
      </n>
      <n v="-14774.25" in="0">
        <tpls c="5">
          <tpl fld="1" item="3"/>
          <tpl fld="2" item="12"/>
          <tpl hier="10" item="11"/>
          <tpl hier="11" item="0"/>
          <tpl fld="0" item="0"/>
        </tpls>
      </n>
      <n v="-1628.5" in="0">
        <tpls c="5">
          <tpl fld="1" item="2"/>
          <tpl fld="2" item="11"/>
          <tpl hier="10" item="11"/>
          <tpl hier="11" item="0"/>
          <tpl fld="0" item="0"/>
        </tpls>
      </n>
      <n v="-353412" in="0">
        <tpls c="5">
          <tpl fld="1" item="5"/>
          <tpl fld="2" item="8"/>
          <tpl hier="10" item="11"/>
          <tpl hier="11" item="0"/>
          <tpl fld="0" item="1"/>
        </tpls>
      </n>
      <n v="-3385" in="0">
        <tpls c="5">
          <tpl fld="1" item="7"/>
          <tpl fld="2" item="5"/>
          <tpl hier="10" item="11"/>
          <tpl hier="11" item="0"/>
          <tpl fld="0" item="0"/>
        </tpls>
      </n>
      <n v="-2815990" in="0">
        <tpls c="5">
          <tpl fld="1" item="7"/>
          <tpl fld="2" item="7"/>
          <tpl hier="10" item="11"/>
          <tpl hier="11" item="0"/>
          <tpl fld="0" item="1"/>
        </tpls>
      </n>
      <n v="-37240.25" in="0">
        <tpls c="5">
          <tpl fld="1" item="2"/>
          <tpl fld="2" item="10"/>
          <tpl hier="10" item="11"/>
          <tpl hier="11" item="0"/>
          <tpl fld="0" item="0"/>
        </tpls>
      </n>
      <n v="-2026" in="0">
        <tpls c="5">
          <tpl fld="1" item="6"/>
          <tpl fld="2" item="11"/>
          <tpl hier="10" item="11"/>
          <tpl hier="11" item="0"/>
          <tpl fld="0" item="1"/>
        </tpls>
      </n>
      <n v="-26024" in="0">
        <tpls c="5">
          <tpl fld="1" item="2"/>
          <tpl fld="2" item="13"/>
          <tpl hier="10" item="11"/>
          <tpl hier="11" item="0"/>
          <tpl fld="0" item="1"/>
        </tpls>
      </n>
      <n v="-1215" in="0">
        <tpls c="5">
          <tpl fld="1" item="4"/>
          <tpl fld="2" item="4"/>
          <tpl hier="10" item="11"/>
          <tpl hier="11" item="0"/>
          <tpl fld="0" item="0"/>
        </tpls>
      </n>
      <n v="-647881" in="0">
        <tpls c="5">
          <tpl fld="1" item="7"/>
          <tpl fld="2" item="14"/>
          <tpl hier="10" item="11"/>
          <tpl hier="11" item="0"/>
          <tpl fld="0" item="1"/>
        </tpls>
      </n>
      <n v="-5345940" in="0">
        <tpls c="4">
          <tpl fld="2" item="8"/>
          <tpl hier="10" item="11"/>
          <tpl hier="11" item="0"/>
          <tpl fld="0" item="1"/>
        </tpls>
      </n>
      <n v="92853537.5" in="0">
        <tpls c="4">
          <tpl hier="9" item="4294967295"/>
          <tpl hier="10" item="11"/>
          <tpl hier="11" item="0"/>
          <tpl fld="0" item="0"/>
        </tpls>
      </n>
      <n v="-18710.75" in="0">
        <tpls c="5">
          <tpl fld="1" item="10"/>
          <tpl fld="2" item="15"/>
          <tpl hier="10" item="11"/>
          <tpl hier="11" item="0"/>
          <tpl fld="0" item="0"/>
        </tpls>
      </n>
      <n v="-36589.5" in="0">
        <tpls c="5">
          <tpl fld="1" item="0"/>
          <tpl fld="2" item="10"/>
          <tpl hier="10" item="11"/>
          <tpl hier="11" item="0"/>
          <tpl fld="0" item="0"/>
        </tpls>
      </n>
      <n v="-2092.25" in="0">
        <tpls c="5">
          <tpl fld="1" item="2"/>
          <tpl fld="2" item="2"/>
          <tpl hier="10" item="11"/>
          <tpl hier="11" item="0"/>
          <tpl fld="0" item="0"/>
        </tpls>
      </n>
      <n v="-14068.5" in="0">
        <tpls c="5">
          <tpl fld="1" item="4"/>
          <tpl fld="2" item="13"/>
          <tpl hier="10" item="11"/>
          <tpl hier="11" item="0"/>
          <tpl fld="0" item="0"/>
        </tpls>
      </n>
      <n v="-181589" in="0">
        <tpls c="5">
          <tpl fld="1" item="1"/>
          <tpl fld="2" item="10"/>
          <tpl hier="10" item="11"/>
          <tpl hier="11" item="0"/>
          <tpl fld="0" item="1"/>
        </tpls>
      </n>
      <n v="-19798" in="0">
        <tpls c="4">
          <tpl fld="2" item="11"/>
          <tpl hier="10" item="11"/>
          <tpl hier="11" item="0"/>
          <tpl fld="0" item="0"/>
        </tpls>
      </n>
      <n v="-131389" in="0">
        <tpls c="4">
          <tpl fld="2" item="3"/>
          <tpl hier="10" item="11"/>
          <tpl hier="11" item="0"/>
          <tpl fld="0" item="1"/>
        </tpls>
      </n>
      <n v="-15625" in="0">
        <tpls c="5">
          <tpl fld="1" item="10"/>
          <tpl fld="2" item="15"/>
          <tpl hier="10" item="11"/>
          <tpl hier="11" item="0"/>
          <tpl fld="0" item="1"/>
        </tpls>
      </n>
      <n v="-528042" in="0">
        <tpls c="5">
          <tpl fld="1" item="1"/>
          <tpl fld="2" item="8"/>
          <tpl hier="10" item="11"/>
          <tpl hier="11" item="0"/>
          <tpl fld="0" item="1"/>
        </tpls>
      </n>
      <n v="-7690" in="0">
        <tpls c="5">
          <tpl fld="1" item="6"/>
          <tpl fld="2" item="3"/>
          <tpl hier="10" item="11"/>
          <tpl hier="11" item="0"/>
          <tpl fld="0" item="1"/>
        </tpls>
      </n>
      <n v="-7225" in="0">
        <tpls c="5">
          <tpl fld="1" item="8"/>
          <tpl fld="2" item="5"/>
          <tpl hier="10" item="11"/>
          <tpl hier="11" item="0"/>
          <tpl fld="0" item="1"/>
        </tpls>
      </n>
      <n v="-216916" in="0">
        <tpls c="5">
          <tpl fld="1" item="5"/>
          <tpl fld="2" item="10"/>
          <tpl hier="10" item="11"/>
          <tpl hier="11" item="0"/>
          <tpl fld="0" item="1"/>
        </tpls>
      </n>
      <n v="-25265" in="0">
        <tpls c="5">
          <tpl fld="1" item="1"/>
          <tpl fld="2" item="13"/>
          <tpl hier="10" item="11"/>
          <tpl hier="11" item="0"/>
          <tpl fld="0" item="1"/>
        </tpls>
      </n>
      <n v="-30042" in="0">
        <tpls c="5">
          <tpl fld="1" item="9"/>
          <tpl fld="2" item="14"/>
          <tpl hier="10" item="11"/>
          <tpl hier="11" item="0"/>
          <tpl fld="0" item="0"/>
        </tpls>
      </n>
      <n v="-1579" in="0">
        <tpls c="5">
          <tpl fld="1" item="0"/>
          <tpl fld="2" item="11"/>
          <tpl hier="10" item="11"/>
          <tpl hier="11" item="0"/>
          <tpl fld="0" item="0"/>
        </tpls>
      </n>
      <n v="-2289" in="0">
        <tpls c="5">
          <tpl fld="1" item="7"/>
          <tpl fld="2" item="11"/>
          <tpl hier="10" item="11"/>
          <tpl hier="11" item="0"/>
          <tpl fld="0" item="1"/>
        </tpls>
      </n>
      <n v="-14126" in="0">
        <tpls c="5">
          <tpl fld="1" item="6"/>
          <tpl fld="2" item="13"/>
          <tpl hier="10" item="11"/>
          <tpl hier="11" item="0"/>
          <tpl fld="0" item="1"/>
        </tpls>
      </n>
      <n v="-33911.25" in="0">
        <tpls c="5">
          <tpl fld="1" item="6"/>
          <tpl fld="2" item="10"/>
          <tpl hier="10" item="11"/>
          <tpl hier="11" item="0"/>
          <tpl fld="0" item="0"/>
        </tpls>
      </n>
      <n v="-635211.5" in="0">
        <tpls c="5">
          <tpl fld="1" item="4"/>
          <tpl fld="2" item="0"/>
          <tpl hier="10" item="11"/>
          <tpl hier="11" item="0"/>
          <tpl fld="0" item="0"/>
        </tpls>
      </n>
      <n v="-190275" in="0">
        <tpls c="4">
          <tpl fld="2" item="13"/>
          <tpl hier="10" item="11"/>
          <tpl hier="11" item="0"/>
          <tpl fld="0" item="0"/>
        </tpls>
      </n>
      <n v="-2898" in="0">
        <tpls c="5">
          <tpl fld="1" item="3"/>
          <tpl fld="2" item="2"/>
          <tpl hier="10" item="11"/>
          <tpl hier="11" item="0"/>
          <tpl fld="0" item="1"/>
        </tpls>
      </n>
      <n v="-1561780" in="0">
        <tpls c="5">
          <tpl fld="1" item="1"/>
          <tpl fld="2" item="0"/>
          <tpl hier="10" item="11"/>
          <tpl hier="11" item="0"/>
          <tpl fld="0" item="1"/>
        </tpls>
      </n>
      <n v="-126884" in="0">
        <tpls c="5">
          <tpl fld="1" item="6"/>
          <tpl fld="2" item="10"/>
          <tpl hier="10" item="11"/>
          <tpl hier="11" item="0"/>
          <tpl fld="0" item="1"/>
        </tpls>
      </n>
      <n v="-14695" in="0">
        <tpls c="5">
          <tpl fld="1" item="4"/>
          <tpl fld="2" item="1"/>
          <tpl hier="10" item="11"/>
          <tpl hier="11" item="0"/>
          <tpl fld="0" item="0"/>
        </tpls>
      </n>
      <n v="-2138939" in="0">
        <tpls c="5">
          <tpl fld="1" item="3"/>
          <tpl fld="2" item="7"/>
          <tpl hier="10" item="11"/>
          <tpl hier="11" item="0"/>
          <tpl fld="0" item="1"/>
        </tpls>
      </n>
      <n v="-32.75" in="0">
        <tpls c="5">
          <tpl fld="1" item="8"/>
          <tpl fld="2" item="8"/>
          <tpl hier="10" item="11"/>
          <tpl hier="11" item="0"/>
          <tpl fld="0" item="0"/>
        </tpls>
      </n>
      <n v="-12955" in="0">
        <tpls c="5">
          <tpl fld="1" item="9"/>
          <tpl fld="2" item="13"/>
          <tpl hier="10" item="11"/>
          <tpl hier="11" item="0"/>
          <tpl fld="0" item="0"/>
        </tpls>
      </n>
      <n v="6875293.333333333" in="0">
        <tpls c="5">
          <tpl fld="1" item="2"/>
          <tpl hier="9" item="4294967295"/>
          <tpl hier="10" item="11"/>
          <tpl hier="11" item="0"/>
          <tpl fld="0" item="0"/>
        </tpls>
      </n>
      <n v="-14501" in="0">
        <tpls c="5">
          <tpl fld="1" item="0"/>
          <tpl fld="2" item="13"/>
          <tpl hier="10" item="11"/>
          <tpl hier="11" item="0"/>
          <tpl fld="0" item="1"/>
        </tpls>
      </n>
      <n v="-6794" in="0">
        <tpls c="5">
          <tpl fld="1" item="1"/>
          <tpl fld="2" item="5"/>
          <tpl hier="10" item="11"/>
          <tpl hier="11" item="0"/>
          <tpl fld="0" item="1"/>
        </tpls>
      </n>
      <n v="-2374" in="0">
        <tpls c="5">
          <tpl fld="1" item="4"/>
          <tpl fld="2" item="2"/>
          <tpl hier="10" item="11"/>
          <tpl hier="11" item="0"/>
          <tpl fld="0" item="0"/>
        </tpls>
      </n>
      <n v="-25726" in="0">
        <tpls c="5">
          <tpl fld="1" item="9"/>
          <tpl fld="2" item="13"/>
          <tpl hier="10" item="11"/>
          <tpl hier="11" item="0"/>
          <tpl fld="0" item="1"/>
        </tpls>
      </n>
      <n v="10860653" in="0">
        <tpls c="5">
          <tpl fld="1" item="0"/>
          <tpl hier="9" item="4294967295"/>
          <tpl hier="10" item="11"/>
          <tpl hier="11" item="0"/>
          <tpl fld="0" item="1"/>
        </tpls>
      </n>
      <n v="-60412.25" in="0">
        <tpls c="5">
          <tpl fld="1" item="4"/>
          <tpl fld="2" item="6"/>
          <tpl hier="10" item="11"/>
          <tpl hier="11" item="0"/>
          <tpl fld="0" item="0"/>
        </tpls>
      </n>
      <n v="-2457" in="0">
        <tpls c="5">
          <tpl fld="1" item="4"/>
          <tpl fld="2" item="2"/>
          <tpl hier="10" item="11"/>
          <tpl hier="11" item="0"/>
          <tpl fld="0" item="1"/>
        </tpls>
      </n>
      <n v="-23091" in="0">
        <tpls c="5">
          <tpl fld="1" item="4"/>
          <tpl fld="2" item="12"/>
          <tpl hier="10" item="11"/>
          <tpl hier="11" item="0"/>
          <tpl fld="0" item="1"/>
        </tpls>
      </n>
      <n v="-34865.25" in="0">
        <tpls c="5">
          <tpl fld="1" item="6"/>
          <tpl fld="2" item="14"/>
          <tpl hier="10" item="11"/>
          <tpl hier="11" item="0"/>
          <tpl fld="0" item="0"/>
        </tpls>
      </n>
      <n v="-354202" in="0">
        <tpls c="5">
          <tpl fld="1" item="7"/>
          <tpl fld="2" item="8"/>
          <tpl hier="10" item="11"/>
          <tpl hier="11" item="0"/>
          <tpl fld="0" item="1"/>
        </tpls>
      </n>
      <n v="-298718" in="0">
        <tpls c="5">
          <tpl fld="1" item="6"/>
          <tpl fld="2" item="14"/>
          <tpl hier="10" item="11"/>
          <tpl hier="11" item="0"/>
          <tpl fld="0" item="1"/>
        </tpls>
      </n>
      <n v="-3702594" in="0">
        <tpls c="5">
          <tpl fld="1" item="11"/>
          <tpl fld="2" item="7"/>
          <tpl hier="10" item="11"/>
          <tpl hier="11" item="0"/>
          <tpl fld="0" item="1"/>
        </tpls>
      </n>
      <n v="-1659.75" in="0">
        <tpls c="5">
          <tpl fld="1" item="6"/>
          <tpl fld="2" item="8"/>
          <tpl hier="10" item="11"/>
          <tpl hier="11" item="0"/>
          <tpl fld="0" item="0"/>
        </tpls>
      </n>
      <n v="-15504.25" in="0">
        <tpls c="5">
          <tpl fld="1" item="10"/>
          <tpl fld="2" item="13"/>
          <tpl hier="10" item="11"/>
          <tpl hier="11" item="0"/>
          <tpl fld="0" item="0"/>
        </tpls>
      </n>
      <n v="-10556" in="0">
        <tpls c="5">
          <tpl fld="1" item="0"/>
          <tpl fld="2" item="15"/>
          <tpl hier="10" item="11"/>
          <tpl hier="11" item="0"/>
          <tpl fld="0" item="1"/>
        </tpls>
      </n>
      <n v="-1437368" in="0">
        <tpls c="5">
          <tpl fld="1" item="6"/>
          <tpl fld="2" item="0"/>
          <tpl hier="10" item="11"/>
          <tpl hier="11" item="0"/>
          <tpl fld="0" item="1"/>
        </tpls>
      </n>
      <n v="-6426.5" in="0">
        <tpls c="5">
          <tpl fld="1" item="5"/>
          <tpl fld="2" item="3"/>
          <tpl hier="10" item="11"/>
          <tpl hier="11" item="0"/>
          <tpl fld="0" item="0"/>
        </tpls>
      </n>
      <n v="-6129087" in="0">
        <tpls c="4">
          <tpl fld="2" item="14"/>
          <tpl hier="10" item="11"/>
          <tpl hier="11" item="0"/>
          <tpl fld="0" item="1"/>
        </tpls>
      </n>
      <n v="-13794" in="0">
        <tpls c="5">
          <tpl fld="1" item="8"/>
          <tpl fld="2" item="3"/>
          <tpl hier="10" item="11"/>
          <tpl hier="11" item="0"/>
          <tpl fld="0" item="1"/>
        </tpls>
      </n>
      <n v="-616504" in="0">
        <tpls c="5">
          <tpl fld="1" item="9"/>
          <tpl fld="2" item="8"/>
          <tpl hier="10" item="11"/>
          <tpl hier="11" item="0"/>
          <tpl fld="0" item="1"/>
        </tpls>
      </n>
      <n v="-6077" in="0">
        <tpls c="5">
          <tpl fld="1" item="6"/>
          <tpl fld="2" item="3"/>
          <tpl hier="10" item="11"/>
          <tpl hier="11" item="0"/>
          <tpl fld="0" item="0"/>
        </tpls>
      </n>
      <n v="159872424" in="0">
        <tpls c="4">
          <tpl fld="2" item="9"/>
          <tpl hier="10" item="11"/>
          <tpl hier="11" item="0"/>
          <tpl fld="0" item="1"/>
        </tpls>
      </n>
      <n v="6120873.166666667" in="0">
        <tpls c="5">
          <tpl fld="1" item="3"/>
          <tpl hier="9" item="4294967295"/>
          <tpl hier="10" item="11"/>
          <tpl hier="11" item="0"/>
          <tpl fld="0" item="0"/>
        </tpls>
      </n>
      <n v="-1616" in="0">
        <tpls c="5">
          <tpl fld="1" item="8"/>
          <tpl fld="2" item="2"/>
          <tpl hier="10" item="11"/>
          <tpl hier="11" item="0"/>
          <tpl fld="0" item="1"/>
        </tpls>
      </n>
      <n v="-23844" in="0">
        <tpls c="5">
          <tpl fld="1" item="10"/>
          <tpl fld="2" item="12"/>
          <tpl hier="10" item="11"/>
          <tpl hier="11" item="0"/>
          <tpl fld="0" item="1"/>
        </tpls>
      </n>
      <n v="-14555" in="0">
        <tpls c="5">
          <tpl fld="1" item="0"/>
          <tpl fld="2" item="3"/>
          <tpl hier="10" item="11"/>
          <tpl hier="11" item="0"/>
          <tpl fld="0" item="1"/>
        </tpls>
      </n>
      <n v="-2802" in="0">
        <tpls c="5">
          <tpl fld="1" item="11"/>
          <tpl fld="2" item="11"/>
          <tpl hier="10" item="11"/>
          <tpl hier="11" item="0"/>
          <tpl fld="0" item="1"/>
        </tpls>
      </n>
      <n v="-51457.5" in="0">
        <tpls c="5">
          <tpl fld="1" item="0"/>
          <tpl fld="2" item="6"/>
          <tpl hier="10" item="11"/>
          <tpl hier="11" item="0"/>
          <tpl fld="0" item="0"/>
        </tpls>
      </n>
      <n v="-89467" in="0">
        <tpls c="5">
          <tpl fld="1" item="6"/>
          <tpl fld="2" item="6"/>
          <tpl hier="10" item="11"/>
          <tpl hier="11" item="0"/>
          <tpl fld="0" item="1"/>
        </tpls>
      </n>
      <n v="-22750" in="0">
        <tpls c="5">
          <tpl fld="1" item="11"/>
          <tpl fld="2" item="4"/>
          <tpl hier="10" item="11"/>
          <tpl hier="11" item="0"/>
          <tpl fld="0" item="1"/>
        </tpls>
      </n>
      <n v="-22566" in="0">
        <tpls c="5">
          <tpl fld="1" item="7"/>
          <tpl fld="2" item="4"/>
          <tpl hier="10" item="11"/>
          <tpl hier="11" item="0"/>
          <tpl fld="0" item="1"/>
        </tpls>
      </n>
      <n v="-13347" in="0">
        <tpls c="5">
          <tpl fld="1" item="4"/>
          <tpl fld="2" item="15"/>
          <tpl hier="10" item="11"/>
          <tpl hier="11" item="0"/>
          <tpl fld="0" item="1"/>
        </tpls>
      </n>
      <n v="-1831.5" in="0">
        <tpls c="5">
          <tpl fld="1" item="11"/>
          <tpl fld="2" item="8"/>
          <tpl hier="10" item="11"/>
          <tpl hier="11" item="0"/>
          <tpl fld="0" item="0"/>
        </tpls>
      </n>
      <n v="-2384" in="0">
        <tpls c="5">
          <tpl fld="1" item="9"/>
          <tpl fld="2" item="11"/>
          <tpl hier="10" item="11"/>
          <tpl hier="11" item="0"/>
          <tpl fld="0" item="1"/>
        </tpls>
      </n>
      <n v="7055335.666666667" in="0">
        <tpls c="5">
          <tpl fld="1" item="0"/>
          <tpl hier="9" item="4294967295"/>
          <tpl hier="10" item="11"/>
          <tpl hier="11" item="0"/>
          <tpl fld="0" item="0"/>
        </tpls>
      </n>
      <n v="-1442" in="0">
        <tpls c="5">
          <tpl fld="1" item="9"/>
          <tpl fld="2" item="4"/>
          <tpl hier="10" item="11"/>
          <tpl hier="11" item="0"/>
          <tpl fld="0" item="0"/>
        </tpls>
      </n>
      <n v="-18648.5" in="0">
        <tpls c="5">
          <tpl fld="1" item="0"/>
          <tpl fld="2" item="13"/>
          <tpl hier="10" item="11"/>
          <tpl hier="11" item="0"/>
          <tpl fld="0" item="0"/>
        </tpls>
      </n>
      <n v="-7198" in="0">
        <tpls c="5">
          <tpl fld="1" item="7"/>
          <tpl fld="2" item="3"/>
          <tpl hier="10" item="11"/>
          <tpl hier="11" item="0"/>
          <tpl fld="0" item="0"/>
        </tpls>
      </n>
      <n v="-16963.5" in="0">
        <tpls c="5">
          <tpl fld="1" item="11"/>
          <tpl fld="2" item="13"/>
          <tpl hier="10" item="11"/>
          <tpl hier="11" item="0"/>
          <tpl fld="0" item="0"/>
        </tpls>
      </n>
      <n v="-509171" in="0">
        <tpls c="5">
          <tpl fld="1" item="0"/>
          <tpl fld="2" item="14"/>
          <tpl hier="10" item="11"/>
          <tpl hier="11" item="0"/>
          <tpl fld="0" item="1"/>
        </tpls>
      </n>
      <n v="-12660" in="0">
        <tpls c="5">
          <tpl fld="1" item="9"/>
          <tpl fld="2" item="3"/>
          <tpl hier="10" item="11"/>
          <tpl hier="11" item="0"/>
          <tpl fld="0" item="1"/>
        </tpls>
      </n>
      <n v="-2408" in="0">
        <tpls c="5">
          <tpl fld="1" item="1"/>
          <tpl fld="2" item="11"/>
          <tpl hier="10" item="11"/>
          <tpl hier="11" item="0"/>
          <tpl fld="0" item="1"/>
        </tpls>
      </n>
      <n v="-19139" in="0">
        <tpls c="5">
          <tpl fld="1" item="11"/>
          <tpl fld="2" item="13"/>
          <tpl hier="10" item="11"/>
          <tpl hier="11" item="0"/>
          <tpl fld="0" item="1"/>
        </tpls>
      </n>
      <n v="-37210.5" in="0">
        <tpls c="5">
          <tpl fld="1" item="0"/>
          <tpl fld="2" item="14"/>
          <tpl hier="10" item="11"/>
          <tpl hier="11" item="0"/>
          <tpl fld="0" item="0"/>
        </tpls>
      </n>
      <n v="-10838" in="0">
        <tpls c="5">
          <tpl fld="1" item="2"/>
          <tpl fld="2" item="3"/>
          <tpl hier="10" item="11"/>
          <tpl hier="11" item="0"/>
          <tpl fld="0" item="1"/>
        </tpls>
      </n>
      <n v="7314651" in="0">
        <tpls c="5">
          <tpl fld="1" item="3"/>
          <tpl hier="9" item="4294967295"/>
          <tpl hier="10" item="11"/>
          <tpl hier="11" item="0"/>
          <tpl fld="0" item="1"/>
        </tpls>
      </n>
      <n v="-28532" in="0">
        <tpls c="5">
          <tpl fld="1" item="5"/>
          <tpl fld="2" item="4"/>
          <tpl hier="10" item="11"/>
          <tpl hier="11" item="0"/>
          <tpl fld="0" item="1"/>
        </tpls>
      </n>
      <n v="-2570" in="0">
        <tpls c="5">
          <tpl fld="1" item="9"/>
          <tpl fld="2" item="2"/>
          <tpl hier="10" item="11"/>
          <tpl hier="11" item="0"/>
          <tpl fld="0" item="1"/>
        </tpls>
      </n>
      <n v="-16026" in="0">
        <tpls c="5">
          <tpl fld="1" item="10"/>
          <tpl fld="2" item="8"/>
          <tpl hier="10" item="11"/>
          <tpl hier="11" item="0"/>
          <tpl fld="0" item="0"/>
        </tpls>
      </n>
      <n v="-44294.25" in="0">
        <tpls c="5">
          <tpl fld="1" item="8"/>
          <tpl fld="2" item="10"/>
          <tpl hier="10" item="11"/>
          <tpl hier="11" item="0"/>
          <tpl fld="0" item="0"/>
        </tpls>
      </n>
      <n v="-19019.75" in="0">
        <tpls c="5">
          <tpl fld="1" item="2"/>
          <tpl fld="2" item="15"/>
          <tpl hier="10" item="11"/>
          <tpl hier="11" item="0"/>
          <tpl fld="0" item="0"/>
        </tpls>
      </n>
      <n v="-1999968" in="0">
        <tpls c="5">
          <tpl fld="1" item="9"/>
          <tpl fld="2" item="7"/>
          <tpl hier="10" item="11"/>
          <tpl hier="11" item="0"/>
          <tpl fld="0" item="1"/>
        </tpls>
      </n>
      <n v="-6817.75" in="0">
        <tpls c="5">
          <tpl fld="1" item="4"/>
          <tpl fld="2" item="3"/>
          <tpl hier="10" item="11"/>
          <tpl hier="11" item="0"/>
          <tpl fld="0" item="0"/>
        </tpls>
      </n>
      <n v="-26385" in="0">
        <tpls c="5">
          <tpl fld="1" item="10"/>
          <tpl fld="2" item="4"/>
          <tpl hier="10" item="11"/>
          <tpl hier="11" item="0"/>
          <tpl fld="0" item="1"/>
        </tpls>
      </n>
      <n v="-43" in="0">
        <tpls c="5">
          <tpl fld="1" item="1"/>
          <tpl fld="2" item="8"/>
          <tpl hier="10" item="11"/>
          <tpl hier="11" item="0"/>
          <tpl fld="0" item="0"/>
        </tpls>
      </n>
      <n v="16729633" in="0">
        <tpls c="5">
          <tpl fld="1" item="9"/>
          <tpl fld="2" item="9"/>
          <tpl hier="10" item="11"/>
          <tpl hier="11" item="0"/>
          <tpl fld="0" item="1"/>
        </tpls>
      </n>
      <n v="-209945" in="0">
        <tpls c="5">
          <tpl fld="1" item="2"/>
          <tpl fld="2" item="14"/>
          <tpl hier="10" item="11"/>
          <tpl hier="11" item="0"/>
          <tpl fld="0" item="1"/>
        </tpls>
      </n>
      <n v="-44397.25" in="0">
        <tpls c="5">
          <tpl fld="1" item="9"/>
          <tpl fld="2" item="10"/>
          <tpl hier="10" item="11"/>
          <tpl hier="11" item="0"/>
          <tpl fld="0" item="0"/>
        </tpls>
      </n>
      <n v="-13491" in="0">
        <tpls c="5">
          <tpl fld="1" item="5"/>
          <tpl fld="2" item="1"/>
          <tpl hier="10" item="11"/>
          <tpl hier="11" item="0"/>
          <tpl fld="0" item="0"/>
        </tpls>
      </n>
      <n v="-12842" in="0">
        <tpls c="5">
          <tpl fld="1" item="10"/>
          <tpl fld="2" item="12"/>
          <tpl hier="10" item="11"/>
          <tpl hier="11" item="0"/>
          <tpl fld="0" item="0"/>
        </tpls>
      </n>
      <n v="-2216" in="0">
        <tpls c="5">
          <tpl fld="1" item="4"/>
          <tpl fld="2" item="11"/>
          <tpl hier="10" item="11"/>
          <tpl hier="11" item="0"/>
          <tpl fld="0" item="1"/>
        </tpls>
      </n>
      <n v="7915585.75" in="0">
        <tpls c="5">
          <tpl fld="1" item="8"/>
          <tpl hier="9" item="4294967295"/>
          <tpl hier="10" item="11"/>
          <tpl hier="11" item="0"/>
          <tpl fld="0" item="0"/>
        </tpls>
      </n>
      <n v="-80743.25" in="0">
        <tpls c="5">
          <tpl fld="1" item="1"/>
          <tpl fld="2" item="14"/>
          <tpl hier="10" item="11"/>
          <tpl hier="11" item="0"/>
          <tpl fld="0" item="0"/>
        </tpls>
      </n>
      <n v="-1949" in="0">
        <tpls c="5">
          <tpl fld="1" item="1"/>
          <tpl fld="2" item="2"/>
          <tpl hier="10" item="11"/>
          <tpl hier="11" item="0"/>
          <tpl fld="0" item="0"/>
        </tpls>
      </n>
      <n v="-6759" in="0">
        <tpls c="5">
          <tpl fld="1" item="2"/>
          <tpl fld="2" item="3"/>
          <tpl hier="10" item="11"/>
          <tpl hier="11" item="0"/>
          <tpl fld="0" item="0"/>
        </tpls>
      </n>
      <n v="-3837.75" in="0">
        <tpls c="5">
          <tpl fld="1" item="6"/>
          <tpl fld="2" item="5"/>
          <tpl hier="10" item="11"/>
          <tpl hier="11" item="0"/>
          <tpl fld="0" item="0"/>
        </tpls>
      </n>
      <n v="13708858" in="0">
        <tpls c="5">
          <tpl fld="1" item="2"/>
          <tpl fld="2" item="9"/>
          <tpl hier="10" item="11"/>
          <tpl hier="11" item="0"/>
          <tpl fld="0" item="1"/>
        </tpls>
      </n>
      <n v="-1059718" in="0">
        <tpls c="5">
          <tpl fld="1" item="8"/>
          <tpl fld="2" item="0"/>
          <tpl hier="10" item="11"/>
          <tpl hier="11" item="0"/>
          <tpl fld="0" item="1"/>
        </tpls>
      </n>
      <n v="-220996.5" in="0">
        <tpls c="5">
          <tpl fld="1" item="9"/>
          <tpl fld="2" item="7"/>
          <tpl hier="10" item="11"/>
          <tpl hier="11" item="0"/>
          <tpl fld="0" item="0"/>
        </tpls>
      </n>
      <n v="7155365" in="0">
        <tpls c="5">
          <tpl fld="1" item="3"/>
          <tpl fld="2" item="9"/>
          <tpl hier="10" item="11"/>
          <tpl hier="11" item="0"/>
          <tpl fld="0" item="0"/>
        </tpls>
      </n>
      <n v="-642086.25" in="0">
        <tpls c="5">
          <tpl fld="1" item="1"/>
          <tpl fld="2" item="0"/>
          <tpl hier="10" item="11"/>
          <tpl hier="11" item="0"/>
          <tpl fld="0" item="0"/>
        </tpls>
      </n>
      <n v="-16709" in="0">
        <tpls c="5">
          <tpl fld="1" item="2"/>
          <tpl fld="2" item="4"/>
          <tpl hier="10" item="11"/>
          <tpl hier="11" item="0"/>
          <tpl fld="0" item="1"/>
        </tpls>
      </n>
      <n v="11598976" in="0">
        <tpls c="5">
          <tpl fld="1" item="10"/>
          <tpl fld="2" item="9"/>
          <tpl hier="10" item="11"/>
          <tpl hier="11" item="0"/>
          <tpl fld="0" item="1"/>
        </tpls>
      </n>
      <n v="14418702" in="0">
        <tpls c="5">
          <tpl fld="1" item="5"/>
          <tpl fld="2" item="9"/>
          <tpl hier="10" item="11"/>
          <tpl hier="11" item="0"/>
          <tpl fld="0" item="1"/>
        </tpls>
      </n>
      <n v="-14462.75" in="0">
        <tpls c="5">
          <tpl fld="1" item="8"/>
          <tpl fld="2" item="12"/>
          <tpl hier="10" item="11"/>
          <tpl hier="11" item="0"/>
          <tpl fld="0" item="0"/>
        </tpls>
      </n>
      <n v="-3710" in="0">
        <tpls c="5">
          <tpl fld="1" item="8"/>
          <tpl fld="2" item="5"/>
          <tpl hier="10" item="11"/>
          <tpl hier="11" item="0"/>
          <tpl fld="0" item="0"/>
        </tpls>
      </n>
      <n v="-4358" in="0">
        <tpls c="5">
          <tpl fld="1" item="9"/>
          <tpl fld="2" item="5"/>
          <tpl hier="10" item="11"/>
          <tpl hier="11" item="0"/>
          <tpl fld="0" item="1"/>
        </tpls>
      </n>
      <n v="-3954" in="0">
        <tpls c="5">
          <tpl fld="1" item="10"/>
          <tpl fld="2" item="5"/>
          <tpl hier="10" item="11"/>
          <tpl hier="11" item="0"/>
          <tpl fld="0" item="1"/>
        </tpls>
      </n>
      <n v="7086186.083333333" in="0">
        <tpls c="5">
          <tpl fld="1" item="5"/>
          <tpl hier="9" item="4294967295"/>
          <tpl hier="10" item="11"/>
          <tpl hier="11" item="0"/>
          <tpl fld="0" item="0"/>
        </tpls>
      </n>
      <n v="-15920" in="0">
        <tpls c="5">
          <tpl fld="1" item="1"/>
          <tpl fld="2" item="15"/>
          <tpl hier="10" item="11"/>
          <tpl hier="11" item="0"/>
          <tpl fld="0" item="1"/>
        </tpls>
      </n>
      <n v="-7665.5" in="0">
        <tpls c="5">
          <tpl fld="1" item="0"/>
          <tpl fld="2" item="3"/>
          <tpl hier="10" item="11"/>
          <tpl hier="11" item="0"/>
          <tpl fld="0" item="0"/>
        </tpls>
      </n>
      <n v="-3177.25" in="0">
        <tpls c="5">
          <tpl fld="1" item="3"/>
          <tpl fld="2" item="4"/>
          <tpl hier="10" item="11"/>
          <tpl hier="11" item="0"/>
          <tpl fld="0" item="0"/>
        </tpls>
      </n>
      <n v="7913565" in="0">
        <tpls c="5">
          <tpl fld="1" item="2"/>
          <tpl fld="2" item="9"/>
          <tpl hier="10" item="11"/>
          <tpl hier="11" item="0"/>
          <tpl fld="0" item="0"/>
        </tpls>
      </n>
      <n v="-109263" in="0">
        <tpls c="5">
          <tpl fld="1" item="7"/>
          <tpl fld="2" item="6"/>
          <tpl hier="10" item="11"/>
          <tpl hier="11" item="0"/>
          <tpl fld="0" item="1"/>
        </tpls>
      </n>
      <n v="-2350" in="0">
        <tpls c="5">
          <tpl fld="1" item="6"/>
          <tpl fld="2" item="2"/>
          <tpl hier="10" item="11"/>
          <tpl hier="11" item="0"/>
          <tpl fld="0" item="1"/>
        </tpls>
      </n>
      <n v="-1227" in="0">
        <tpls c="5">
          <tpl fld="1" item="1"/>
          <tpl fld="2" item="4"/>
          <tpl hier="10" item="11"/>
          <tpl hier="11" item="0"/>
          <tpl fld="0" item="0"/>
        </tpls>
      </n>
      <n v="9010679" in="0">
        <tpls c="5">
          <tpl fld="1" item="8"/>
          <tpl fld="2" item="9"/>
          <tpl hier="10" item="11"/>
          <tpl hier="11" item="0"/>
          <tpl fld="0" item="0"/>
        </tpls>
      </n>
      <n v="-7776" in="0">
        <tpls c="5">
          <tpl fld="1" item="5"/>
          <tpl fld="2" item="5"/>
          <tpl hier="10" item="11"/>
          <tpl hier="11" item="0"/>
          <tpl fld="0" item="1"/>
        </tpls>
      </n>
      <n v="-31141" in="0">
        <tpls c="5">
          <tpl fld="1" item="8"/>
          <tpl fld="2" item="12"/>
          <tpl hier="10" item="11"/>
          <tpl hier="11" item="0"/>
          <tpl fld="0" item="1"/>
        </tpls>
      </n>
      <n v="-12259.75" in="0">
        <tpls c="5">
          <tpl fld="1" item="10"/>
          <tpl fld="2" item="1"/>
          <tpl hier="10" item="11"/>
          <tpl hier="11" item="0"/>
          <tpl fld="0" item="0"/>
        </tpls>
      </n>
      <n v="-91276" in="0">
        <tpls c="5">
          <tpl fld="1" item="9"/>
          <tpl fld="2" item="10"/>
          <tpl hier="10" item="11"/>
          <tpl hier="11" item="0"/>
          <tpl fld="0" item="1"/>
        </tpls>
      </n>
      <n v="-1964" in="0">
        <tpls c="5">
          <tpl fld="1" item="10"/>
          <tpl fld="2" item="2"/>
          <tpl hier="10" item="11"/>
          <tpl hier="11" item="0"/>
          <tpl fld="0" item="1"/>
        </tpls>
      </n>
      <n v="7952928" in="0">
        <tpls c="5">
          <tpl fld="1" item="5"/>
          <tpl hier="9" item="4294967295"/>
          <tpl hier="10" item="11"/>
          <tpl hier="11" item="0"/>
          <tpl fld="0" item="1"/>
        </tpls>
      </n>
      <n v="-19740" in="0">
        <tpls c="5">
          <tpl fld="1" item="5"/>
          <tpl fld="2" item="15"/>
          <tpl hier="10" item="11"/>
          <tpl hier="11" item="0"/>
          <tpl fld="0" item="0"/>
        </tpls>
      </n>
      <n v="-31821" in="0">
        <tpls c="5">
          <tpl fld="1" item="0"/>
          <tpl fld="2" item="4"/>
          <tpl hier="10" item="11"/>
          <tpl hier="11" item="0"/>
          <tpl fld="0" item="1"/>
        </tpls>
      </n>
      <n v="-13466" in="0">
        <tpls c="5">
          <tpl fld="1" item="3"/>
          <tpl fld="2" item="1"/>
          <tpl hier="10" item="11"/>
          <tpl hier="11" item="0"/>
          <tpl fld="0" item="0"/>
        </tpls>
      </n>
      <n v="-1197834" in="0">
        <tpls c="5">
          <tpl fld="1" item="5"/>
          <tpl fld="2" item="0"/>
          <tpl hier="10" item="11"/>
          <tpl hier="11" item="0"/>
          <tpl fld="0" item="1"/>
        </tpls>
      </n>
      <n v="-5836.5" in="0">
        <tpls c="5">
          <tpl fld="1" item="11"/>
          <tpl fld="2" item="3"/>
          <tpl hier="10" item="11"/>
          <tpl hier="11" item="0"/>
          <tpl fld="0" item="0"/>
        </tpls>
      </n>
      <n v="-21789" in="0">
        <tpls c="5">
          <tpl fld="1" item="1"/>
          <tpl fld="2" item="4"/>
          <tpl hier="10" item="11"/>
          <tpl hier="11" item="0"/>
          <tpl fld="0" item="1"/>
        </tpls>
      </n>
      <n v="20402679" in="0">
        <tpls c="5">
          <tpl fld="1" item="8"/>
          <tpl fld="2" item="9"/>
          <tpl hier="10" item="11"/>
          <tpl hier="11" item="0"/>
          <tpl fld="0" item="1"/>
        </tpls>
      </n>
      <n v="-4010312" in="0">
        <tpls c="5">
          <tpl fld="1" item="5"/>
          <tpl fld="2" item="7"/>
          <tpl hier="10" item="11"/>
          <tpl hier="11" item="0"/>
          <tpl fld="0" item="1"/>
        </tpls>
      </n>
      <n v="-14396" in="0">
        <tpls c="5">
          <tpl fld="1" item="7"/>
          <tpl fld="2" item="12"/>
          <tpl hier="10" item="11"/>
          <tpl hier="11" item="0"/>
          <tpl fld="0" item="0"/>
        </tpls>
      </n>
      <n v="-1920.75" in="0">
        <tpls c="5">
          <tpl fld="1" item="10"/>
          <tpl fld="2" item="4"/>
          <tpl hier="10" item="11"/>
          <tpl hier="11" item="0"/>
          <tpl fld="0" item="0"/>
        </tpls>
      </n>
      <n v="-1119468" in="0">
        <tpls c="5">
          <tpl fld="1" item="9"/>
          <tpl fld="2" item="0"/>
          <tpl hier="10" item="11"/>
          <tpl hier="11" item="0"/>
          <tpl fld="0" item="1"/>
        </tpls>
      </n>
      <n v="-3256.5" in="0">
        <tpls c="5">
          <tpl fld="1" item="5"/>
          <tpl fld="2" item="5"/>
          <tpl hier="10" item="11"/>
          <tpl hier="11" item="0"/>
          <tpl fld="0" item="0"/>
        </tpls>
      </n>
      <n v="7885913.916666666" in="0">
        <tpls c="5">
          <tpl fld="1" item="4"/>
          <tpl hier="9" item="4294967295"/>
          <tpl hier="10" item="11"/>
          <tpl hier="11" item="0"/>
          <tpl fld="0" item="0"/>
        </tpls>
      </n>
      <n v="-21205" in="0">
        <tpls c="5">
          <tpl fld="1" item="5"/>
          <tpl fld="2" item="15"/>
          <tpl hier="10" item="11"/>
          <tpl hier="11" item="0"/>
          <tpl fld="0" item="1"/>
        </tpls>
      </n>
      <n v="-2772" in="0">
        <tpls c="5">
          <tpl fld="1" item="0"/>
          <tpl fld="2" item="4"/>
          <tpl hier="10" item="11"/>
          <tpl hier="11" item="0"/>
          <tpl fld="0" item="0"/>
        </tpls>
      </n>
      <n v="-12907.5" in="0">
        <tpls c="5">
          <tpl fld="1" item="6"/>
          <tpl fld="2" item="1"/>
          <tpl hier="10" item="11"/>
          <tpl hier="11" item="0"/>
          <tpl fld="0" item="0"/>
        </tpls>
      </n>
      <n v="-5165.25" in="0">
        <tpls c="5">
          <tpl fld="1" item="9"/>
          <tpl fld="2" item="8"/>
          <tpl hier="10" item="11"/>
          <tpl hier="11" item="0"/>
          <tpl fld="0" item="0"/>
        </tpls>
      </n>
      <n v="-683048.5" in="0">
        <tpls c="5">
          <tpl fld="1" item="8"/>
          <tpl fld="2" item="0"/>
          <tpl hier="10" item="11"/>
          <tpl hier="11" item="0"/>
          <tpl fld="0" item="0"/>
        </tpls>
      </n>
      <n v="-4980" in="0">
        <tpls c="5">
          <tpl fld="1" item="1"/>
          <tpl fld="2" item="1"/>
          <tpl hier="10" item="11"/>
          <tpl hier="11" item="0"/>
          <tpl fld="0" item="1"/>
        </tpls>
      </n>
      <n v="-7371" in="0">
        <tpls c="5">
          <tpl fld="1" item="10"/>
          <tpl fld="2" item="3"/>
          <tpl hier="10" item="11"/>
          <tpl hier="11" item="0"/>
          <tpl fld="0" item="1"/>
        </tpls>
      </n>
      <n v="-64695" in="0">
        <tpls c="5">
          <tpl fld="1" item="11"/>
          <tpl fld="2" item="6"/>
          <tpl hier="10" item="11"/>
          <tpl hier="11" item="0"/>
          <tpl fld="0" item="1"/>
        </tpls>
      </n>
      <n v="-4248.75" in="0">
        <tpls c="5">
          <tpl fld="1" item="5"/>
          <tpl fld="2" item="4"/>
          <tpl hier="10" item="11"/>
          <tpl hier="11" item="0"/>
          <tpl fld="0" item="0"/>
        </tpls>
      </n>
      <n v="9836477" in="0">
        <tpls c="5">
          <tpl fld="1" item="7"/>
          <tpl fld="2" item="9"/>
          <tpl hier="10" item="11"/>
          <tpl hier="11" item="0"/>
          <tpl fld="0" item="0"/>
        </tpls>
      </n>
      <n v="-117371" in="0">
        <tpls c="5">
          <tpl fld="1" item="5"/>
          <tpl fld="2" item="6"/>
          <tpl hier="10" item="11"/>
          <tpl hier="11" item="0"/>
          <tpl fld="0" item="1"/>
        </tpls>
      </n>
      <n v="-17306" in="0">
        <tpls c="5">
          <tpl fld="1" item="7"/>
          <tpl fld="2" item="12"/>
          <tpl hier="10" item="11"/>
          <tpl hier="11" item="0"/>
          <tpl fld="0" item="1"/>
        </tpls>
      </n>
      <n v="-3986.25" in="0">
        <tpls c="5">
          <tpl fld="1" item="10"/>
          <tpl fld="2" item="5"/>
          <tpl hier="10" item="11"/>
          <tpl hier="11" item="0"/>
          <tpl fld="0" item="0"/>
        </tpls>
      </n>
      <n v="-28829.75" in="0">
        <tpls c="5">
          <tpl fld="1" item="3"/>
          <tpl fld="2" item="14"/>
          <tpl hier="10" item="11"/>
          <tpl hier="11" item="0"/>
          <tpl fld="0" item="0"/>
        </tpls>
      </n>
      <n v="-28555.5" in="0">
        <tpls c="5">
          <tpl fld="1" item="5"/>
          <tpl fld="2" item="10"/>
          <tpl hier="10" item="11"/>
          <tpl hier="11" item="0"/>
          <tpl fld="0" item="0"/>
        </tpls>
      </n>
      <n v="1518773" in="0">
        <tpls c="5">
          <tpl fld="1" item="4"/>
          <tpl hier="9" item="4294967295"/>
          <tpl hier="10" item="11"/>
          <tpl hier="11" item="0"/>
          <tpl fld="0" item="1"/>
        </tpls>
      </n>
      <n v="-18027" in="0">
        <tpls c="5">
          <tpl fld="1" item="3"/>
          <tpl fld="2" item="15"/>
          <tpl hier="10" item="11"/>
          <tpl hier="11" item="0"/>
          <tpl fld="0" item="1"/>
        </tpls>
      </n>
      <n v="-5965" in="0">
        <tpls c="5">
          <tpl fld="1" item="0"/>
          <tpl fld="2" item="5"/>
          <tpl hier="10" item="11"/>
          <tpl hier="11" item="0"/>
          <tpl fld="0" item="1"/>
        </tpls>
      </n>
      <n v="-93656.25" in="0">
        <tpls c="5">
          <tpl fld="1" item="1"/>
          <tpl fld="2" item="7"/>
          <tpl hier="10" item="11"/>
          <tpl hier="11" item="0"/>
          <tpl fld="0" item="0"/>
        </tpls>
      </n>
      <n v="-45122" in="0">
        <tpls c="5">
          <tpl fld="1" item="7"/>
          <tpl fld="2" item="6"/>
          <tpl hier="10" item="11"/>
          <tpl hier="11" item="0"/>
          <tpl fld="0" item="0"/>
        </tpls>
      </n>
      <n v="-562912" in="0">
        <tpls c="5">
          <tpl fld="1" item="1"/>
          <tpl fld="2" item="14"/>
          <tpl hier="10" item="11"/>
          <tpl hier="11" item="0"/>
          <tpl fld="0" item="1"/>
        </tpls>
      </n>
      <n v="-53228" in="0">
        <tpls c="5">
          <tpl fld="1" item="8"/>
          <tpl fld="2" item="6"/>
          <tpl hier="10" item="11"/>
          <tpl hier="11" item="0"/>
          <tpl fld="0" item="0"/>
        </tpls>
      </n>
      <n v="-167466.75" in="0">
        <tpls c="5">
          <tpl fld="1" item="10"/>
          <tpl fld="2" item="7"/>
          <tpl hier="10" item="11"/>
          <tpl hier="11" item="0"/>
          <tpl fld="0" item="0"/>
        </tpls>
      </n>
      <n v="-3578.75" in="0">
        <tpls c="5">
          <tpl fld="1" item="3"/>
          <tpl fld="2" item="5"/>
          <tpl hier="10" item="11"/>
          <tpl hier="11" item="0"/>
          <tpl fld="0" item="0"/>
        </tpls>
      </n>
      <n v="14264165" in="0">
        <tpls c="5">
          <tpl fld="1" item="7"/>
          <tpl fld="2" item="9"/>
          <tpl hier="10" item="11"/>
          <tpl hier="11" item="0"/>
          <tpl fld="0" item="1"/>
        </tpls>
      </n>
      <n v="-5050" in="0">
        <tpls c="5">
          <tpl fld="1" item="5"/>
          <tpl fld="2" item="1"/>
          <tpl hier="10" item="11"/>
          <tpl hier="11" item="0"/>
          <tpl fld="0" item="1"/>
        </tpls>
      </n>
      <n v="-14384.75" in="0">
        <tpls c="5">
          <tpl fld="1" item="6"/>
          <tpl fld="2" item="12"/>
          <tpl hier="10" item="11"/>
          <tpl hier="11" item="0"/>
          <tpl fld="0" item="0"/>
        </tpls>
      </n>
      <n v="-1891" in="0">
        <tpls c="5">
          <tpl fld="1" item="10"/>
          <tpl fld="2" item="2"/>
          <tpl hier="10" item="11"/>
          <tpl hier="11" item="0"/>
          <tpl fld="0" item="0"/>
        </tpls>
      </n>
      <n v="-460141" in="0">
        <tpls c="5">
          <tpl fld="1" item="3"/>
          <tpl fld="2" item="14"/>
          <tpl hier="10" item="11"/>
          <tpl hier="11" item="0"/>
          <tpl fld="0" item="1"/>
        </tpls>
      </n>
      <n v="8127229" in="0">
        <tpls c="5">
          <tpl fld="1" item="5"/>
          <tpl fld="2" item="9"/>
          <tpl hier="10" item="11"/>
          <tpl hier="11" item="0"/>
          <tpl fld="0" item="0"/>
        </tpls>
      </n>
      <n v="8648225" in="0">
        <tpls c="5">
          <tpl fld="1" item="9"/>
          <tpl hier="9" item="4294967295"/>
          <tpl hier="10" item="11"/>
          <tpl hier="11" item="0"/>
          <tpl fld="0" item="0"/>
        </tpls>
      </n>
      <n v="-19661.75" in="0">
        <tpls c="5">
          <tpl fld="1" item="4"/>
          <tpl fld="2" item="15"/>
          <tpl hier="10" item="11"/>
          <tpl hier="11" item="0"/>
          <tpl fld="0" item="0"/>
        </tpls>
      </n>
      <n v="-3728.25" in="0">
        <tpls c="5">
          <tpl fld="1" item="0"/>
          <tpl fld="2" item="5"/>
          <tpl hier="10" item="11"/>
          <tpl hier="11" item="0"/>
          <tpl fld="0" item="0"/>
        </tpls>
      </n>
      <n v="-7394.25" in="0">
        <tpls c="5">
          <tpl fld="1" item="9"/>
          <tpl fld="2" item="3"/>
          <tpl hier="10" item="11"/>
          <tpl hier="11" item="0"/>
          <tpl fld="0" item="0"/>
        </tpls>
      </n>
      <n v="-1592.25" in="0">
        <tpls c="5">
          <tpl fld="1" item="1"/>
          <tpl fld="2" item="11"/>
          <tpl hier="10" item="11"/>
          <tpl hier="11" item="0"/>
          <tpl fld="0" item="0"/>
        </tpls>
      </n>
      <n v="-818298" in="0">
        <tpls c="5">
          <tpl fld="1" item="6"/>
          <tpl fld="2" item="0"/>
          <tpl hier="10" item="11"/>
          <tpl hier="11" item="0"/>
          <tpl fld="0" item="0"/>
        </tpls>
      </n>
      <n v="-2624" in="0">
        <tpls c="5">
          <tpl fld="1" item="5"/>
          <tpl fld="2" item="11"/>
          <tpl hier="10" item="11"/>
          <tpl hier="11" item="0"/>
          <tpl fld="0" item="1"/>
        </tpls>
      </n>
      <n v="-2576" in="0">
        <tpls c="5">
          <tpl fld="1" item="3"/>
          <tpl fld="2" item="5"/>
          <tpl hier="10" item="11"/>
          <tpl hier="11" item="0"/>
          <tpl fld="0" item="1"/>
        </tpls>
      </n>
      <n v="9598172" in="0">
        <tpls c="5">
          <tpl fld="1" item="6"/>
          <tpl fld="2" item="9"/>
          <tpl hier="10" item="11"/>
          <tpl hier="11" item="0"/>
          <tpl fld="0" item="0"/>
        </tpls>
      </n>
      <n v="-1967" in="0">
        <tpls c="5">
          <tpl fld="1" item="5"/>
          <tpl fld="2" item="2"/>
          <tpl hier="10" item="11"/>
          <tpl hier="11" item="0"/>
          <tpl fld="0" item="1"/>
        </tpls>
      </n>
      <n v="-22524" in="0">
        <tpls c="5">
          <tpl fld="1" item="6"/>
          <tpl fld="2" item="12"/>
          <tpl hier="10" item="11"/>
          <tpl hier="11" item="0"/>
          <tpl fld="0" item="1"/>
        </tpls>
      </n>
      <n v="-707959" in="0">
        <tpls c="5">
          <tpl fld="1" item="10"/>
          <tpl fld="2" item="0"/>
          <tpl hier="10" item="11"/>
          <tpl hier="11" item="0"/>
          <tpl fld="0" item="0"/>
        </tpls>
      </n>
      <n v="-23071.25" in="0">
        <tpls c="5">
          <tpl fld="1" item="2"/>
          <tpl fld="2" item="14"/>
          <tpl hier="10" item="11"/>
          <tpl hier="11" item="0"/>
          <tpl fld="0" item="0"/>
        </tpls>
      </n>
      <n v="-132237.16666666666" in="0">
        <tpls c="5">
          <tpl fld="1" item="5"/>
          <tpl fld="2" item="7"/>
          <tpl hier="10" item="11"/>
          <tpl hier="11" item="0"/>
          <tpl fld="0" item="0"/>
        </tpls>
      </n>
      <n v="8237986.666666666" in="0">
        <tpls c="5">
          <tpl fld="1" item="11"/>
          <tpl hier="9" item="4294967295"/>
          <tpl hier="10" item="11"/>
          <tpl hier="11" item="0"/>
          <tpl fld="0" item="0"/>
        </tpls>
      </n>
      <n v="-19276.5" in="0">
        <tpls c="5">
          <tpl fld="1" item="3"/>
          <tpl fld="2" item="15"/>
          <tpl hier="10" item="11"/>
          <tpl hier="11" item="0"/>
          <tpl fld="0" item="0"/>
        </tpls>
      </n>
      <n v="-106835" in="0">
        <tpls c="5">
          <tpl fld="1" item="0"/>
          <tpl fld="2" item="6"/>
          <tpl hier="10" item="11"/>
          <tpl hier="11" item="0"/>
          <tpl fld="0" item="1"/>
        </tpls>
      </n>
      <n v="-5050" in="0">
        <tpls c="5">
          <tpl fld="1" item="7"/>
          <tpl fld="2" item="1"/>
          <tpl hier="10" item="11"/>
          <tpl hier="11" item="0"/>
          <tpl fld="0" item="1"/>
        </tpls>
      </n>
      <n v="-1246020" in="0">
        <tpls c="5">
          <tpl fld="1" item="2"/>
          <tpl fld="2" item="0"/>
          <tpl hier="10" item="11"/>
          <tpl hier="11" item="0"/>
          <tpl fld="0" item="1"/>
        </tpls>
      </n>
      <n v="9846021" in="0">
        <tpls c="5">
          <tpl fld="1" item="1"/>
          <tpl fld="2" item="9"/>
          <tpl hier="10" item="11"/>
          <tpl hier="11" item="0"/>
          <tpl fld="0" item="1"/>
        </tpls>
      </n>
      <n v="-62851.25" in="0">
        <tpls c="5">
          <tpl fld="1" item="11"/>
          <tpl fld="2" item="6"/>
          <tpl hier="10" item="11"/>
          <tpl hier="11" item="0"/>
          <tpl fld="0" item="0"/>
        </tpls>
      </n>
      <n v="-169309.25" in="0">
        <tpls c="4">
          <tpl fld="2" item="12"/>
          <tpl hier="10" item="11"/>
          <tpl hier="11" item="0"/>
          <tpl fld="0" item="0"/>
        </tpls>
      </n>
      <n v="-107895" in="0">
        <tpls c="5">
          <tpl fld="1" item="4"/>
          <tpl fld="2" item="6"/>
          <tpl hier="10" item="11"/>
          <tpl hier="11" item="0"/>
          <tpl fld="0" item="1"/>
        </tpls>
      </n>
      <n v="-3418" in="0">
        <tpls c="5">
          <tpl fld="1" item="8"/>
          <tpl fld="2" item="11"/>
          <tpl hier="10" item="11"/>
          <tpl hier="11" item="0"/>
          <tpl fld="0" item="1"/>
        </tpls>
      </n>
      <n v="-47963.5" in="0">
        <tpls c="5">
          <tpl fld="1" item="1"/>
          <tpl fld="2" item="6"/>
          <tpl hier="10" item="11"/>
          <tpl hier="11" item="0"/>
          <tpl fld="0" item="0"/>
        </tpls>
      </n>
      <n v="-23271" in="0">
        <tpls c="5">
          <tpl fld="1" item="7"/>
          <tpl fld="2" item="13"/>
          <tpl hier="10" item="11"/>
          <tpl hier="11" item="0"/>
          <tpl fld="0" item="1"/>
        </tpls>
      </n>
      <n v="-125399" in="0">
        <tpls c="5">
          <tpl fld="1" item="7"/>
          <tpl fld="2" item="10"/>
          <tpl hier="10" item="11"/>
          <tpl hier="11" item="0"/>
          <tpl fld="0" item="1"/>
        </tpls>
      </n>
      <n v="-13355.75" in="0">
        <tpls c="5">
          <tpl fld="1" item="9"/>
          <tpl fld="2" item="1"/>
          <tpl hier="10" item="11"/>
          <tpl hier="11" item="0"/>
          <tpl fld="0" item="0"/>
        </tpls>
      </n>
      <n v="-437091" in="0">
        <tpls c="5">
          <tpl fld="1" item="0"/>
          <tpl fld="2" item="8"/>
          <tpl hier="10" item="11"/>
          <tpl hier="11" item="0"/>
          <tpl fld="0" item="1"/>
        </tpls>
      </n>
      <n v="-643012.5" in="0">
        <tpls c="5">
          <tpl fld="1" item="9"/>
          <tpl fld="2" item="0"/>
          <tpl hier="10" item="11"/>
          <tpl hier="11" item="0"/>
          <tpl fld="0" item="0"/>
        </tpls>
      </n>
      <m in="0">
        <tpls c="5">
          <tpl fld="1" item="4"/>
          <tpl fld="2" item="9"/>
          <tpl hier="10" item="7"/>
          <tpl hier="11" item="10"/>
          <tpl fld="0" item="0"/>
        </tpls>
      </m>
      <m in="0">
        <tpls c="5">
          <tpl fld="1" item="1"/>
          <tpl fld="2" item="7"/>
          <tpl hier="10" item="7"/>
          <tpl hier="11" item="10"/>
          <tpl fld="0" item="1"/>
        </tpls>
      </m>
      <m in="0">
        <tpls c="5">
          <tpl fld="1" item="3"/>
          <tpl fld="2" item="2"/>
          <tpl hier="10" item="7"/>
          <tpl hier="11" item="10"/>
          <tpl fld="0" item="0"/>
        </tpls>
      </m>
      <n v="-9428" in="0">
        <tpls c="5">
          <tpl fld="1" item="2"/>
          <tpl fld="2" item="6"/>
          <tpl hier="10" item="7"/>
          <tpl hier="11" item="10"/>
          <tpl fld="0" item="1"/>
        </tpls>
      </n>
      <n v="-319" in="0">
        <tpls c="5">
          <tpl fld="1" item="3"/>
          <tpl fld="2" item="11"/>
          <tpl hier="10" item="7"/>
          <tpl hier="11" item="10"/>
          <tpl fld="0" item="1"/>
        </tpls>
      </n>
      <m in="0">
        <tpls c="5">
          <tpl fld="1" item="3"/>
          <tpl fld="2" item="10"/>
          <tpl hier="10" item="7"/>
          <tpl hier="11" item="10"/>
          <tpl fld="0" item="0"/>
        </tpls>
      </m>
      <m in="0">
        <tpls c="5">
          <tpl fld="1" item="10"/>
          <tpl fld="2" item="3"/>
          <tpl hier="10" item="7"/>
          <tpl hier="11" item="10"/>
          <tpl fld="0" item="0"/>
        </tpls>
      </m>
      <m in="0">
        <tpls c="5">
          <tpl fld="1" item="11"/>
          <tpl fld="2" item="7"/>
          <tpl hier="10" item="7"/>
          <tpl hier="11" item="10"/>
          <tpl fld="0" item="0"/>
        </tpls>
      </m>
      <n v="-8942" in="0">
        <tpls c="5">
          <tpl fld="1" item="3"/>
          <tpl fld="2" item="6"/>
          <tpl hier="10" item="7"/>
          <tpl hier="11" item="10"/>
          <tpl fld="0" item="1"/>
        </tpls>
      </n>
      <m in="0">
        <tpls c="5">
          <tpl fld="1" item="4"/>
          <tpl fld="2" item="9"/>
          <tpl hier="10" item="7"/>
          <tpl hier="11" item="10"/>
          <tpl fld="0" item="1"/>
        </tpls>
      </m>
      <n v="-231" in="0">
        <tpls c="5">
          <tpl fld="1" item="10"/>
          <tpl fld="2" item="11"/>
          <tpl hier="10" item="7"/>
          <tpl hier="11" item="10"/>
          <tpl fld="0" item="1"/>
        </tpls>
      </n>
      <m in="0">
        <tpls c="5">
          <tpl fld="1" item="7"/>
          <tpl fld="2" item="13"/>
          <tpl hier="10" item="7"/>
          <tpl hier="11" item="10"/>
          <tpl fld="0" item="0"/>
        </tpls>
      </m>
      <n v="-665" in="0">
        <tpls c="5">
          <tpl fld="1" item="11"/>
          <tpl fld="2" item="5"/>
          <tpl hier="10" item="7"/>
          <tpl hier="11" item="10"/>
          <tpl fld="0" item="1"/>
        </tpls>
      </n>
      <m in="0">
        <tpls c="5">
          <tpl fld="1" item="5"/>
          <tpl fld="2" item="14"/>
          <tpl hier="10" item="7"/>
          <tpl hier="11" item="10"/>
          <tpl fld="0" item="0"/>
        </tpls>
      </m>
      <n v="-55861" in="0">
        <tpls c="4">
          <tpl fld="2" item="13"/>
          <tpl hier="10" item="7"/>
          <tpl hier="11" item="10"/>
          <tpl fld="0" item="1"/>
        </tpls>
      </n>
      <m in="0">
        <tpls c="5">
          <tpl fld="1" item="7"/>
          <tpl hier="9" item="4294967295"/>
          <tpl hier="10" item="7"/>
          <tpl hier="11" item="10"/>
          <tpl fld="0" item="0"/>
        </tpls>
      </m>
      <n v="-1950" in="0">
        <tpls c="5">
          <tpl fld="1" item="11"/>
          <tpl fld="2" item="15"/>
          <tpl hier="10" item="7"/>
          <tpl hier="11" item="10"/>
          <tpl fld="0" item="1"/>
        </tpls>
      </n>
      <m in="0">
        <tpls c="5">
          <tpl fld="1" item="0"/>
          <tpl fld="2" item="8"/>
          <tpl hier="10" item="7"/>
          <tpl hier="11" item="10"/>
          <tpl fld="0" item="0"/>
        </tpls>
      </m>
      <n v="-1770" in="0">
        <tpls c="5">
          <tpl fld="1" item="6"/>
          <tpl fld="2" item="1"/>
          <tpl hier="10" item="7"/>
          <tpl hier="11" item="10"/>
          <tpl fld="0" item="1"/>
        </tpls>
      </n>
      <m in="0">
        <tpls c="5">
          <tpl fld="1" item="3"/>
          <tpl fld="2" item="7"/>
          <tpl hier="10" item="7"/>
          <tpl hier="11" item="10"/>
          <tpl fld="0" item="0"/>
        </tpls>
      </m>
      <m in="0">
        <tpls c="5">
          <tpl fld="1" item="6"/>
          <tpl fld="2" item="9"/>
          <tpl hier="10" item="7"/>
          <tpl hier="11" item="10"/>
          <tpl fld="0" item="1"/>
        </tpls>
      </m>
      <n v="-2711" in="0">
        <tpls c="5">
          <tpl fld="1" item="3"/>
          <tpl fld="2" item="3"/>
          <tpl hier="10" item="7"/>
          <tpl hier="11" item="10"/>
          <tpl fld="0" item="1"/>
        </tpls>
      </n>
      <m in="0">
        <tpls c="5">
          <tpl fld="1" item="9"/>
          <tpl fld="2" item="11"/>
          <tpl hier="10" item="7"/>
          <tpl hier="11" item="10"/>
          <tpl fld="0" item="0"/>
        </tpls>
      </m>
      <n v="-25197" in="0">
        <tpls c="5">
          <tpl fld="1" item="10"/>
          <tpl fld="2" item="6"/>
          <tpl hier="10" item="7"/>
          <tpl hier="11" item="10"/>
          <tpl fld="0" item="1"/>
        </tpls>
      </n>
      <m in="0">
        <tpls c="5">
          <tpl fld="1" item="3"/>
          <tpl fld="2" item="0"/>
          <tpl hier="10" item="7"/>
          <tpl hier="11" item="10"/>
          <tpl fld="0" item="1"/>
        </tpls>
      </m>
      <m in="0">
        <tpls c="5">
          <tpl fld="1" item="2"/>
          <tpl fld="2" item="6"/>
          <tpl hier="10" item="7"/>
          <tpl hier="11" item="10"/>
          <tpl fld="0" item="0"/>
        </tpls>
      </m>
      <n v="-1171" in="0">
        <tpls c="5">
          <tpl fld="1" item="4"/>
          <tpl fld="2" item="5"/>
          <tpl hier="10" item="7"/>
          <tpl hier="11" item="10"/>
          <tpl fld="0" item="1"/>
        </tpls>
      </n>
      <m in="0">
        <tpls c="5">
          <tpl fld="1" item="8"/>
          <tpl fld="2" item="11"/>
          <tpl hier="10" item="7"/>
          <tpl hier="11" item="10"/>
          <tpl fld="0" item="0"/>
        </tpls>
      </m>
      <m in="0">
        <tpls c="5">
          <tpl fld="1" item="3"/>
          <tpl fld="2" item="13"/>
          <tpl hier="10" item="7"/>
          <tpl hier="11" item="10"/>
          <tpl fld="0" item="0"/>
        </tpls>
      </m>
      <m in="0">
        <tpls c="5">
          <tpl fld="1" item="11"/>
          <tpl fld="2" item="2"/>
          <tpl hier="10" item="7"/>
          <tpl hier="11" item="10"/>
          <tpl fld="0" item="1"/>
        </tpls>
      </m>
      <m in="0">
        <tpls c="5">
          <tpl fld="1" item="5"/>
          <tpl fld="2" item="14"/>
          <tpl hier="10" item="7"/>
          <tpl hier="11" item="10"/>
          <tpl fld="0" item="1"/>
        </tpls>
      </m>
      <n v="-59532" in="0">
        <tpls c="4">
          <tpl fld="2" item="12"/>
          <tpl hier="10" item="7"/>
          <tpl hier="11" item="10"/>
          <tpl fld="0" item="1"/>
        </tpls>
      </n>
      <n v="-121790" in="0">
        <tpls c="5">
          <tpl fld="1" item="7"/>
          <tpl hier="9" item="4294967295"/>
          <tpl hier="10" item="7"/>
          <tpl hier="11" item="10"/>
          <tpl fld="0" item="1"/>
        </tpls>
      </n>
      <m in="0">
        <tpls c="4">
          <tpl fld="2" item="15"/>
          <tpl hier="10" item="7"/>
          <tpl hier="11" item="10"/>
          <tpl fld="0" item="0"/>
        </tpls>
      </m>
      <m in="0">
        <tpls c="5">
          <tpl fld="1" item="0"/>
          <tpl fld="2" item="9"/>
          <tpl hier="10" item="7"/>
          <tpl hier="11" item="10"/>
          <tpl fld="0" item="1"/>
        </tpls>
      </m>
      <m in="0">
        <tpls c="5">
          <tpl fld="1" item="6"/>
          <tpl fld="2" item="4"/>
          <tpl hier="10" item="7"/>
          <tpl hier="11" item="10"/>
          <tpl fld="0" item="1"/>
        </tpls>
      </m>
      <n v="-1720" in="0">
        <tpls c="5">
          <tpl fld="1" item="2"/>
          <tpl fld="2" item="1"/>
          <tpl hier="10" item="7"/>
          <tpl hier="11" item="10"/>
          <tpl fld="0" item="1"/>
        </tpls>
      </n>
      <m in="0">
        <tpls c="5">
          <tpl fld="1" item="2"/>
          <tpl fld="2" item="2"/>
          <tpl hier="10" item="7"/>
          <tpl hier="11" item="10"/>
          <tpl fld="0" item="1"/>
        </tpls>
      </m>
      <m in="0">
        <tpls c="5">
          <tpl fld="1" item="3"/>
          <tpl fld="2" item="8"/>
          <tpl hier="10" item="7"/>
          <tpl hier="11" item="10"/>
          <tpl fld="0" item="1"/>
        </tpls>
      </m>
      <m in="0">
        <tpls c="5">
          <tpl fld="1" item="3"/>
          <tpl fld="2" item="9"/>
          <tpl hier="10" item="7"/>
          <tpl hier="11" item="10"/>
          <tpl fld="0" item="1"/>
        </tpls>
      </m>
      <m in="0">
        <tpls c="5">
          <tpl fld="1" item="5"/>
          <tpl fld="2" item="11"/>
          <tpl hier="10" item="7"/>
          <tpl hier="11" item="10"/>
          <tpl fld="0" item="0"/>
        </tpls>
      </m>
      <m in="0">
        <tpls c="5">
          <tpl fld="1" item="9"/>
          <tpl fld="2" item="6"/>
          <tpl hier="10" item="7"/>
          <tpl hier="11" item="10"/>
          <tpl fld="0" item="0"/>
        </tpls>
      </m>
      <m in="0">
        <tpls c="5">
          <tpl fld="1" item="4"/>
          <tpl fld="2" item="7"/>
          <tpl hier="10" item="7"/>
          <tpl hier="11" item="10"/>
          <tpl fld="0" item="0"/>
        </tpls>
      </m>
      <n v="-146927" in="0">
        <tpls c="5">
          <tpl fld="1" item="4"/>
          <tpl fld="2" item="0"/>
          <tpl hier="10" item="7"/>
          <tpl hier="11" item="10"/>
          <tpl fld="0" item="1"/>
        </tpls>
      </n>
      <m in="0">
        <tpls c="5">
          <tpl fld="1" item="7"/>
          <tpl fld="2" item="11"/>
          <tpl hier="10" item="7"/>
          <tpl hier="11" item="10"/>
          <tpl fld="0" item="0"/>
        </tpls>
      </m>
      <n v="-6065" in="0">
        <tpls c="5">
          <tpl fld="1" item="3"/>
          <tpl fld="2" item="13"/>
          <tpl hier="10" item="7"/>
          <tpl hier="11" item="10"/>
          <tpl fld="0" item="1"/>
        </tpls>
      </n>
      <n v="-232509" in="0">
        <tpls c="5">
          <tpl fld="1" item="11"/>
          <tpl fld="2" item="0"/>
          <tpl hier="10" item="7"/>
          <tpl hier="11" item="10"/>
          <tpl fld="0" item="1"/>
        </tpls>
      </n>
      <m in="0">
        <tpls c="5">
          <tpl fld="1" item="11"/>
          <tpl fld="2" item="14"/>
          <tpl hier="10" item="7"/>
          <tpl hier="11" item="10"/>
          <tpl fld="0" item="0"/>
        </tpls>
      </m>
      <n v="-2268543" in="0">
        <tpls c="4">
          <tpl fld="2" item="0"/>
          <tpl hier="10" item="7"/>
          <tpl hier="11" item="10"/>
          <tpl fld="0" item="1"/>
        </tpls>
      </n>
      <m in="0">
        <tpls c="5">
          <tpl fld="1" item="6"/>
          <tpl hier="9" item="4294967295"/>
          <tpl hier="10" item="7"/>
          <tpl hier="11" item="10"/>
          <tpl fld="0" item="0"/>
        </tpls>
      </m>
      <n v="-42184" in="0">
        <tpls c="4">
          <tpl fld="2" item="15"/>
          <tpl hier="10" item="7"/>
          <tpl hier="11" item="10"/>
          <tpl fld="0" item="1"/>
        </tpls>
      </n>
      <m in="0">
        <tpls c="5">
          <tpl fld="1" item="0"/>
          <tpl fld="2" item="9"/>
          <tpl hier="10" item="7"/>
          <tpl hier="11" item="10"/>
          <tpl fld="0" item="0"/>
        </tpls>
      </m>
      <m in="0">
        <tpls c="4">
          <tpl fld="2" item="4"/>
          <tpl hier="10" item="7"/>
          <tpl hier="11" item="10"/>
          <tpl fld="0" item="1"/>
        </tpls>
      </m>
      <m in="0">
        <tpls c="5">
          <tpl fld="1" item="8"/>
          <tpl fld="2" item="15"/>
          <tpl hier="10" item="7"/>
          <tpl hier="11" item="10"/>
          <tpl fld="0" item="0"/>
        </tpls>
      </m>
      <m in="0">
        <tpls c="5">
          <tpl fld="1" item="3"/>
          <tpl fld="2" item="8"/>
          <tpl hier="10" item="7"/>
          <tpl hier="11" item="10"/>
          <tpl fld="0" item="0"/>
        </tpls>
      </m>
      <m in="0">
        <tpls c="5">
          <tpl fld="1" item="3"/>
          <tpl fld="2" item="11"/>
          <tpl hier="10" item="7"/>
          <tpl hier="11" item="10"/>
          <tpl fld="0" item="0"/>
        </tpls>
      </m>
      <m in="0">
        <tpls c="5">
          <tpl fld="1" item="11"/>
          <tpl fld="2" item="14"/>
          <tpl hier="10" item="7"/>
          <tpl hier="11" item="10"/>
          <tpl fld="0" item="1"/>
        </tpls>
      </m>
      <n v="-3504" in="0">
        <tpls c="5">
          <tpl fld="1" item="8"/>
          <tpl fld="2" item="15"/>
          <tpl hier="10" item="7"/>
          <tpl hier="11" item="10"/>
          <tpl fld="0" item="1"/>
        </tpls>
      </n>
      <n v="-1720" in="0">
        <tpls c="5">
          <tpl fld="1" item="3"/>
          <tpl fld="2" item="1"/>
          <tpl hier="10" item="7"/>
          <tpl hier="11" item="10"/>
          <tpl fld="0" item="1"/>
        </tpls>
      </n>
      <n v="-1750" in="0">
        <tpls c="5">
          <tpl fld="1" item="9"/>
          <tpl fld="2" item="1"/>
          <tpl hier="10" item="7"/>
          <tpl hier="11" item="10"/>
          <tpl fld="0" item="1"/>
        </tpls>
      </n>
      <n v="-3726" in="0">
        <tpls c="5">
          <tpl fld="1" item="9"/>
          <tpl fld="2" item="12"/>
          <tpl hier="10" item="7"/>
          <tpl hier="11" item="10"/>
          <tpl fld="0" item="1"/>
        </tpls>
      </n>
      <m in="0">
        <tpls c="5">
          <tpl fld="1" item="10"/>
          <tpl fld="2" item="14"/>
          <tpl hier="10" item="7"/>
          <tpl hier="11" item="10"/>
          <tpl fld="0" item="0"/>
        </tpls>
      </m>
      <m in="0">
        <tpls c="5">
          <tpl fld="1" item="0"/>
          <tpl fld="2" item="12"/>
          <tpl hier="10" item="7"/>
          <tpl hier="11" item="10"/>
          <tpl fld="0" item="0"/>
        </tpls>
      </m>
      <n v="-696" in="0">
        <tpls c="5">
          <tpl fld="1" item="7"/>
          <tpl fld="2" item="5"/>
          <tpl hier="10" item="7"/>
          <tpl hier="11" item="10"/>
          <tpl fld="0" item="1"/>
        </tpls>
      </n>
      <m in="0">
        <tpls c="5">
          <tpl fld="1" item="11"/>
          <tpl fld="2" item="1"/>
          <tpl hier="10" item="7"/>
          <tpl hier="11" item="10"/>
          <tpl fld="0" item="0"/>
        </tpls>
      </m>
      <m in="0">
        <tpls c="5">
          <tpl fld="1" item="2"/>
          <tpl fld="2" item="12"/>
          <tpl hier="10" item="7"/>
          <tpl hier="11" item="10"/>
          <tpl fld="0" item="0"/>
        </tpls>
      </m>
      <m in="0">
        <tpls c="5">
          <tpl fld="1" item="8"/>
          <tpl fld="2" item="14"/>
          <tpl hier="10" item="7"/>
          <tpl hier="11" item="10"/>
          <tpl fld="0" item="0"/>
        </tpls>
      </m>
      <n v="-5465" in="0">
        <tpls c="5">
          <tpl fld="1" item="7"/>
          <tpl fld="2" item="15"/>
          <tpl hier="10" item="7"/>
          <tpl hier="11" item="10"/>
          <tpl fld="0" item="1"/>
        </tpls>
      </n>
      <m in="0">
        <tpls c="5">
          <tpl fld="1" item="2"/>
          <tpl fld="2" item="8"/>
          <tpl hier="10" item="7"/>
          <tpl hier="11" item="10"/>
          <tpl fld="0" item="0"/>
        </tpls>
      </m>
      <m in="0">
        <tpls c="5">
          <tpl fld="1" item="3"/>
          <tpl fld="2" item="0"/>
          <tpl hier="10" item="7"/>
          <tpl hier="11" item="10"/>
          <tpl fld="0" item="0"/>
        </tpls>
      </m>
      <m in="0">
        <tpls c="5">
          <tpl fld="1" item="8"/>
          <tpl fld="2" item="8"/>
          <tpl hier="10" item="7"/>
          <tpl hier="11" item="10"/>
          <tpl fld="0" item="1"/>
        </tpls>
      </m>
      <n v="-5598" in="0">
        <tpls c="5">
          <tpl fld="1" item="5"/>
          <tpl fld="2" item="12"/>
          <tpl hier="10" item="7"/>
          <tpl hier="11" item="10"/>
          <tpl fld="0" item="1"/>
        </tpls>
      </n>
      <m in="0">
        <tpls c="5">
          <tpl fld="1" item="8"/>
          <tpl fld="2" item="14"/>
          <tpl hier="10" item="7"/>
          <tpl hier="11" item="10"/>
          <tpl fld="0" item="1"/>
        </tpls>
      </m>
      <m in="0">
        <tpls c="5">
          <tpl fld="1" item="6"/>
          <tpl fld="2" item="15"/>
          <tpl hier="10" item="7"/>
          <tpl hier="11" item="10"/>
          <tpl fld="0" item="0"/>
        </tpls>
      </m>
      <m in="0">
        <tpls c="5">
          <tpl fld="1" item="10"/>
          <tpl fld="2" item="6"/>
          <tpl hier="10" item="7"/>
          <tpl hier="11" item="10"/>
          <tpl fld="0" item="0"/>
        </tpls>
      </m>
      <m in="0">
        <tpls c="5">
          <tpl fld="1" item="11"/>
          <tpl fld="2" item="4"/>
          <tpl hier="10" item="7"/>
          <tpl hier="11" item="10"/>
          <tpl fld="0" item="0"/>
        </tpls>
      </m>
      <n v="-257723" in="0">
        <tpls c="5">
          <tpl fld="1" item="0"/>
          <tpl fld="2" item="0"/>
          <tpl hier="10" item="7"/>
          <tpl hier="11" item="10"/>
          <tpl fld="0" item="1"/>
        </tpls>
      </n>
      <m in="0">
        <tpls c="5">
          <tpl fld="1" item="1"/>
          <tpl fld="2" item="2"/>
          <tpl hier="10" item="7"/>
          <tpl hier="11" item="10"/>
          <tpl fld="0" item="1"/>
        </tpls>
      </m>
      <n v="-5656" in="0">
        <tpls c="5">
          <tpl fld="1" item="11"/>
          <tpl fld="2" item="10"/>
          <tpl hier="10" item="7"/>
          <tpl hier="11" item="10"/>
          <tpl fld="0" item="1"/>
        </tpls>
      </n>
      <n v="-269369" in="0">
        <tpls c="5">
          <tpl fld="1" item="11"/>
          <tpl hier="9" item="4294967295"/>
          <tpl hier="10" item="7"/>
          <tpl hier="11" item="10"/>
          <tpl fld="0" item="1"/>
        </tpls>
      </n>
      <m in="0">
        <tpls c="5">
          <tpl fld="1" item="8"/>
          <tpl fld="2" item="3"/>
          <tpl hier="10" item="7"/>
          <tpl hier="11" item="10"/>
          <tpl fld="0" item="0"/>
        </tpls>
      </m>
      <m in="0">
        <tpls c="5">
          <tpl fld="1" item="10"/>
          <tpl fld="2" item="7"/>
          <tpl hier="10" item="7"/>
          <tpl hier="11" item="10"/>
          <tpl fld="0" item="1"/>
        </tpls>
      </m>
      <m in="0">
        <tpls c="5">
          <tpl fld="1" item="10"/>
          <tpl fld="2" item="10"/>
          <tpl hier="10" item="7"/>
          <tpl hier="11" item="10"/>
          <tpl fld="0" item="0"/>
        </tpls>
      </m>
      <m in="0">
        <tpls c="5">
          <tpl fld="1" item="11"/>
          <tpl fld="2" item="0"/>
          <tpl hier="10" item="7"/>
          <tpl hier="11" item="10"/>
          <tpl fld="0" item="0"/>
        </tpls>
      </m>
      <m in="0">
        <tpls c="5">
          <tpl fld="1" item="3"/>
          <tpl fld="2" item="4"/>
          <tpl hier="10" item="7"/>
          <tpl hier="11" item="10"/>
          <tpl fld="0" item="1"/>
        </tpls>
      </m>
      <n v="-8339" in="0">
        <tpls c="5">
          <tpl fld="1" item="10"/>
          <tpl fld="2" item="13"/>
          <tpl hier="10" item="7"/>
          <tpl hier="11" item="10"/>
          <tpl fld="0" item="1"/>
        </tpls>
      </n>
      <n v="-1237" in="0">
        <tpls c="5">
          <tpl fld="1" item="5"/>
          <tpl fld="2" item="3"/>
          <tpl hier="10" item="7"/>
          <tpl hier="11" item="10"/>
          <tpl fld="0" item="1"/>
        </tpls>
      </n>
      <m in="0">
        <tpls c="5">
          <tpl fld="1" item="8"/>
          <tpl fld="2" item="13"/>
          <tpl hier="10" item="7"/>
          <tpl hier="11" item="10"/>
          <tpl fld="0" item="0"/>
        </tpls>
      </m>
      <m in="0">
        <tpls c="5">
          <tpl fld="1" item="0"/>
          <tpl fld="2" item="2"/>
          <tpl hier="10" item="7"/>
          <tpl hier="11" item="10"/>
          <tpl fld="0" item="1"/>
        </tpls>
      </m>
      <m in="0">
        <tpls c="5">
          <tpl fld="1" item="6"/>
          <tpl fld="2" item="2"/>
          <tpl hier="10" item="7"/>
          <tpl hier="11" item="10"/>
          <tpl fld="0" item="0"/>
        </tpls>
      </m>
      <n v="-17301" in="0">
        <tpls c="5">
          <tpl fld="1" item="8"/>
          <tpl fld="2" item="10"/>
          <tpl hier="10" item="7"/>
          <tpl hier="11" item="10"/>
          <tpl fld="0" item="1"/>
        </tpls>
      </n>
      <m in="0">
        <tpls c="5">
          <tpl fld="1" item="0"/>
          <tpl fld="2" item="2"/>
          <tpl hier="10" item="7"/>
          <tpl hier="11" item="10"/>
          <tpl fld="0" item="0"/>
        </tpls>
      </m>
      <m in="0">
        <tpls c="5">
          <tpl fld="1" item="6"/>
          <tpl fld="2" item="13"/>
          <tpl hier="10" item="7"/>
          <tpl hier="11" item="10"/>
          <tpl fld="0" item="0"/>
        </tpls>
      </m>
      <m in="0">
        <tpls c="5">
          <tpl fld="1" item="10"/>
          <tpl fld="2" item="9"/>
          <tpl hier="10" item="7"/>
          <tpl hier="11" item="10"/>
          <tpl fld="0" item="0"/>
        </tpls>
      </m>
      <n v="-1720" in="0">
        <tpls c="5">
          <tpl fld="1" item="10"/>
          <tpl fld="2" item="1"/>
          <tpl hier="10" item="7"/>
          <tpl hier="11" item="10"/>
          <tpl fld="0" item="1"/>
        </tpls>
      </n>
      <m in="0">
        <tpls c="5">
          <tpl fld="1" item="8"/>
          <tpl fld="2" item="7"/>
          <tpl hier="10" item="7"/>
          <tpl hier="11" item="10"/>
          <tpl fld="0" item="1"/>
        </tpls>
      </m>
      <m in="0">
        <tpls c="5">
          <tpl fld="1" item="5"/>
          <tpl fld="2" item="6"/>
          <tpl hier="10" item="7"/>
          <tpl hier="11" item="10"/>
          <tpl fld="0" item="0"/>
        </tpls>
      </m>
      <m in="0">
        <tpls c="5">
          <tpl fld="1" item="4"/>
          <tpl fld="2" item="8"/>
          <tpl hier="10" item="7"/>
          <tpl hier="11" item="10"/>
          <tpl fld="0" item="0"/>
        </tpls>
      </m>
      <m in="0">
        <tpls c="5">
          <tpl fld="1" item="9"/>
          <tpl fld="2" item="5"/>
          <tpl hier="10" item="7"/>
          <tpl hier="11" item="10"/>
          <tpl fld="0" item="0"/>
        </tpls>
      </m>
      <n v="-287252" in="0">
        <tpls c="5">
          <tpl fld="1" item="10"/>
          <tpl hier="9" item="4294967295"/>
          <tpl hier="10" item="7"/>
          <tpl hier="11" item="10"/>
          <tpl fld="0" item="1"/>
        </tpls>
      </n>
      <m in="0">
        <tpls c="5">
          <tpl fld="1" item="9"/>
          <tpl fld="2" item="12"/>
          <tpl hier="10" item="7"/>
          <tpl hier="11" item="10"/>
          <tpl fld="0" item="0"/>
        </tpls>
      </m>
      <m in="0">
        <tpls c="5">
          <tpl fld="1" item="5"/>
          <tpl fld="2" item="2"/>
          <tpl hier="10" item="7"/>
          <tpl hier="11" item="10"/>
          <tpl fld="0" item="0"/>
        </tpls>
      </m>
      <m in="0">
        <tpls c="5">
          <tpl fld="1" item="7"/>
          <tpl fld="2" item="4"/>
          <tpl hier="10" item="7"/>
          <tpl hier="11" item="10"/>
          <tpl fld="0" item="0"/>
        </tpls>
      </m>
      <m in="0">
        <tpls c="5">
          <tpl fld="1" item="3"/>
          <tpl fld="2" item="6"/>
          <tpl hier="10" item="7"/>
          <tpl hier="11" item="10"/>
          <tpl fld="0" item="0"/>
        </tpls>
      </m>
      <n v="-4447" in="0">
        <tpls c="5">
          <tpl fld="1" item="4"/>
          <tpl fld="2" item="13"/>
          <tpl hier="10" item="7"/>
          <tpl hier="11" item="10"/>
          <tpl fld="0" item="1"/>
        </tpls>
      </n>
      <n v="-2779" in="0">
        <tpls c="5">
          <tpl fld="1" item="9"/>
          <tpl fld="2" item="15"/>
          <tpl hier="10" item="7"/>
          <tpl hier="11" item="10"/>
          <tpl fld="0" item="1"/>
        </tpls>
      </n>
      <m in="0">
        <tpls c="5">
          <tpl fld="1" item="1"/>
          <tpl fld="2" item="3"/>
          <tpl hier="10" item="7"/>
          <tpl hier="11" item="10"/>
          <tpl fld="0" item="0"/>
        </tpls>
      </m>
      <m in="0">
        <tpls c="5">
          <tpl fld="1" item="7"/>
          <tpl fld="2" item="8"/>
          <tpl hier="10" item="7"/>
          <tpl hier="11" item="10"/>
          <tpl fld="0" item="0"/>
        </tpls>
      </m>
      <m in="0">
        <tpls c="4">
          <tpl fld="2" item="5"/>
          <tpl hier="10" item="7"/>
          <tpl hier="11" item="10"/>
          <tpl fld="0" item="0"/>
        </tpls>
      </m>
      <m in="0">
        <tpls c="5">
          <tpl fld="1" item="1"/>
          <tpl fld="2" item="10"/>
          <tpl hier="10" item="7"/>
          <tpl hier="11" item="10"/>
          <tpl fld="0" item="0"/>
        </tpls>
      </m>
      <n v="-224812" in="0">
        <tpls c="5">
          <tpl fld="1" item="10"/>
          <tpl fld="2" item="0"/>
          <tpl hier="10" item="7"/>
          <tpl hier="11" item="10"/>
          <tpl fld="0" item="1"/>
        </tpls>
      </n>
      <n v="-6984" in="0">
        <tpls c="5">
          <tpl fld="1" item="3"/>
          <tpl fld="2" item="12"/>
          <tpl hier="10" item="7"/>
          <tpl hier="11" item="10"/>
          <tpl fld="0" item="1"/>
        </tpls>
      </n>
      <m in="0">
        <tpls c="4">
          <tpl fld="2" item="9"/>
          <tpl hier="10" item="7"/>
          <tpl hier="11" item="10"/>
          <tpl fld="0" item="0"/>
        </tpls>
      </m>
      <m in="0">
        <tpls c="5">
          <tpl fld="1" item="2"/>
          <tpl fld="2" item="1"/>
          <tpl hier="10" item="7"/>
          <tpl hier="11" item="10"/>
          <tpl fld="0" item="0"/>
        </tpls>
      </m>
      <m in="0">
        <tpls c="4">
          <tpl fld="2" item="14"/>
          <tpl hier="10" item="7"/>
          <tpl hier="11" item="10"/>
          <tpl fld="0" item="0"/>
        </tpls>
      </m>
      <n v="-9836" in="0">
        <tpls c="5">
          <tpl fld="1" item="2"/>
          <tpl fld="2" item="10"/>
          <tpl hier="10" item="7"/>
          <tpl hier="11" item="10"/>
          <tpl fld="0" item="1"/>
        </tpls>
      </n>
      <m in="0">
        <tpls c="5">
          <tpl fld="1" item="6"/>
          <tpl fld="2" item="8"/>
          <tpl hier="10" item="7"/>
          <tpl hier="11" item="10"/>
          <tpl fld="0" item="1"/>
        </tpls>
      </m>
      <m in="0">
        <tpls c="4">
          <tpl fld="2" item="1"/>
          <tpl hier="10" item="7"/>
          <tpl hier="11" item="10"/>
          <tpl fld="0" item="0"/>
        </tpls>
      </m>
      <n v="-7576" in="0">
        <tpls c="5">
          <tpl fld="1" item="8"/>
          <tpl fld="2" item="6"/>
          <tpl hier="10" item="7"/>
          <tpl hier="11" item="10"/>
          <tpl fld="0" item="1"/>
        </tpls>
      </n>
      <m in="0">
        <tpls c="4">
          <tpl fld="2" item="8"/>
          <tpl hier="10" item="7"/>
          <tpl hier="11" item="10"/>
          <tpl fld="0" item="0"/>
        </tpls>
      </m>
      <n v="-533817" in="0">
        <tpls c="5">
          <tpl fld="1" item="1"/>
          <tpl hier="9" item="4294967295"/>
          <tpl hier="10" item="7"/>
          <tpl hier="11" item="10"/>
          <tpl fld="0" item="1"/>
        </tpls>
      </n>
      <m in="0">
        <tpls c="5">
          <tpl fld="1" item="8"/>
          <tpl fld="2" item="4"/>
          <tpl hier="10" item="7"/>
          <tpl hier="11" item="10"/>
          <tpl fld="0" item="0"/>
        </tpls>
      </m>
      <m in="0">
        <tpls c="5">
          <tpl fld="1" item="4"/>
          <tpl fld="2" item="8"/>
          <tpl hier="10" item="7"/>
          <tpl hier="11" item="10"/>
          <tpl fld="0" item="1"/>
        </tpls>
      </m>
      <m in="0">
        <tpls c="5">
          <tpl fld="1" item="7"/>
          <tpl fld="2" item="10"/>
          <tpl hier="10" item="7"/>
          <tpl hier="11" item="10"/>
          <tpl fld="0" item="0"/>
        </tpls>
      </m>
      <m in="0">
        <tpls c="5">
          <tpl fld="1" item="1"/>
          <tpl fld="2" item="15"/>
          <tpl hier="10" item="7"/>
          <tpl hier="11" item="10"/>
          <tpl fld="0" item="0"/>
        </tpls>
      </m>
      <m in="0">
        <tpls c="5">
          <tpl fld="1" item="2"/>
          <tpl fld="2" item="5"/>
          <tpl hier="10" item="7"/>
          <tpl hier="11" item="10"/>
          <tpl fld="0" item="0"/>
        </tpls>
      </m>
      <m in="0">
        <tpls c="5">
          <tpl fld="1" item="10"/>
          <tpl hier="9" item="4294967295"/>
          <tpl hier="10" item="7"/>
          <tpl hier="11" item="10"/>
          <tpl fld="0" item="0"/>
        </tpls>
      </m>
      <n v="-596" in="0">
        <tpls c="5">
          <tpl fld="1" item="2"/>
          <tpl fld="2" item="5"/>
          <tpl hier="10" item="7"/>
          <tpl hier="11" item="10"/>
          <tpl fld="0" item="1"/>
        </tpls>
      </n>
      <n v="-7521" in="0">
        <tpls c="5">
          <tpl fld="1" item="8"/>
          <tpl fld="2" item="13"/>
          <tpl hier="10" item="7"/>
          <tpl hier="11" item="10"/>
          <tpl fld="0" item="1"/>
        </tpls>
      </n>
      <n v="-2631" in="0">
        <tpls c="5">
          <tpl fld="1" item="6"/>
          <tpl fld="2" item="15"/>
          <tpl hier="10" item="7"/>
          <tpl hier="11" item="10"/>
          <tpl fld="0" item="1"/>
        </tpls>
      </n>
      <n v="-1976" in="0">
        <tpls c="5">
          <tpl fld="1" item="7"/>
          <tpl fld="2" item="3"/>
          <tpl hier="10" item="7"/>
          <tpl hier="11" item="10"/>
          <tpl fld="0" item="1"/>
        </tpls>
      </n>
      <m in="0">
        <tpls c="5">
          <tpl fld="1" item="9"/>
          <tpl fld="2" item="14"/>
          <tpl hier="10" item="7"/>
          <tpl hier="11" item="10"/>
          <tpl fld="0" item="1"/>
        </tpls>
      </m>
      <m in="0">
        <tpls c="5">
          <tpl fld="1" item="7"/>
          <tpl fld="2" item="2"/>
          <tpl hier="10" item="7"/>
          <tpl hier="11" item="10"/>
          <tpl fld="0" item="0"/>
        </tpls>
      </m>
      <m in="0">
        <tpls c="4">
          <tpl fld="2" item="2"/>
          <tpl hier="10" item="7"/>
          <tpl hier="11" item="10"/>
          <tpl fld="0" item="1"/>
        </tpls>
      </m>
      <m in="0">
        <tpls c="5">
          <tpl fld="1" item="7"/>
          <tpl fld="2" item="15"/>
          <tpl hier="10" item="7"/>
          <tpl hier="11" item="10"/>
          <tpl fld="0" item="0"/>
        </tpls>
      </m>
      <m in="0">
        <tpls c="5">
          <tpl fld="1" item="0"/>
          <tpl fld="2" item="0"/>
          <tpl hier="10" item="7"/>
          <tpl hier="11" item="10"/>
          <tpl fld="0" item="0"/>
        </tpls>
      </m>
      <m in="0">
        <tpls c="5">
          <tpl fld="1" item="4"/>
          <tpl fld="2" item="7"/>
          <tpl hier="10" item="7"/>
          <tpl hier="11" item="10"/>
          <tpl fld="0" item="1"/>
        </tpls>
      </m>
      <n v="-1730" in="0">
        <tpls c="5">
          <tpl fld="1" item="0"/>
          <tpl fld="2" item="1"/>
          <tpl hier="10" item="7"/>
          <tpl hier="11" item="10"/>
          <tpl fld="0" item="1"/>
        </tpls>
      </n>
      <n v="-7618" in="0">
        <tpls c="5">
          <tpl fld="1" item="9"/>
          <tpl fld="2" item="6"/>
          <tpl hier="10" item="7"/>
          <tpl hier="11" item="10"/>
          <tpl fld="0" item="1"/>
        </tpls>
      </n>
      <n v="-17698" in="0">
        <tpls c="5">
          <tpl fld="1" item="10"/>
          <tpl fld="2" item="10"/>
          <tpl hier="10" item="7"/>
          <tpl hier="11" item="10"/>
          <tpl fld="0" item="1"/>
        </tpls>
      </n>
      <m in="0">
        <tpls c="5">
          <tpl fld="1" item="0"/>
          <tpl fld="2" item="1"/>
          <tpl hier="10" item="7"/>
          <tpl hier="11" item="10"/>
          <tpl fld="0" item="0"/>
        </tpls>
      </m>
      <m in="0">
        <tpls c="5">
          <tpl fld="1" item="1"/>
          <tpl fld="2" item="1"/>
          <tpl hier="10" item="7"/>
          <tpl hier="11" item="10"/>
          <tpl fld="0" item="0"/>
        </tpls>
      </m>
      <n v="-3835" in="0">
        <tpls c="5">
          <tpl fld="1" item="1"/>
          <tpl fld="2" item="12"/>
          <tpl hier="10" item="7"/>
          <tpl hier="11" item="10"/>
          <tpl fld="0" item="1"/>
        </tpls>
      </n>
      <m in="0">
        <tpls c="5">
          <tpl fld="1" item="7"/>
          <tpl fld="2" item="0"/>
          <tpl hier="10" item="7"/>
          <tpl hier="11" item="10"/>
          <tpl fld="0" item="0"/>
        </tpls>
      </m>
      <m in="0">
        <tpls c="5">
          <tpl fld="1" item="9"/>
          <tpl fld="2" item="4"/>
          <tpl hier="10" item="7"/>
          <tpl hier="11" item="10"/>
          <tpl fld="0" item="1"/>
        </tpls>
      </m>
      <n v="-12722" in="0">
        <tpls c="5">
          <tpl fld="1" item="3"/>
          <tpl fld="2" item="10"/>
          <tpl hier="10" item="7"/>
          <tpl hier="11" item="10"/>
          <tpl fld="0" item="1"/>
        </tpls>
      </n>
      <m in="0">
        <tpls c="5">
          <tpl fld="1" item="2"/>
          <tpl fld="2" item="4"/>
          <tpl hier="10" item="7"/>
          <tpl hier="11" item="10"/>
          <tpl fld="0" item="0"/>
        </tpls>
      </m>
      <m in="0">
        <tpls c="5">
          <tpl fld="1" item="1"/>
          <tpl hier="9" item="4294967295"/>
          <tpl hier="10" item="7"/>
          <tpl hier="11" item="10"/>
          <tpl fld="0" item="0"/>
        </tpls>
      </m>
      <m in="0">
        <tpls c="5">
          <tpl fld="1" item="11"/>
          <tpl fld="2" item="8"/>
          <tpl hier="10" item="7"/>
          <tpl hier="11" item="10"/>
          <tpl fld="0" item="1"/>
        </tpls>
      </m>
      <n v="-23531" in="0">
        <tpls c="5">
          <tpl fld="1" item="1"/>
          <tpl fld="2" item="6"/>
          <tpl hier="10" item="7"/>
          <tpl hier="11" item="10"/>
          <tpl fld="0" item="1"/>
        </tpls>
      </n>
      <m in="0">
        <tpls c="5">
          <tpl fld="1" item="0"/>
          <tpl fld="2" item="7"/>
          <tpl hier="10" item="7"/>
          <tpl hier="11" item="10"/>
          <tpl fld="0" item="1"/>
        </tpls>
      </m>
      <m in="0">
        <tpls c="5">
          <tpl fld="1" item="1"/>
          <tpl fld="2" item="5"/>
          <tpl hier="10" item="7"/>
          <tpl hier="11" item="10"/>
          <tpl fld="0" item="0"/>
        </tpls>
      </m>
      <m in="0">
        <tpls c="5">
          <tpl fld="1" item="0"/>
          <tpl fld="2" item="7"/>
          <tpl hier="10" item="7"/>
          <tpl hier="11" item="10"/>
          <tpl fld="0" item="0"/>
        </tpls>
      </m>
      <m in="0">
        <tpls c="5">
          <tpl fld="1" item="7"/>
          <tpl fld="2" item="2"/>
          <tpl hier="10" item="7"/>
          <tpl hier="11" item="10"/>
          <tpl fld="0" item="1"/>
        </tpls>
      </m>
      <n v="-226918" in="0">
        <tpls c="5">
          <tpl fld="1" item="8"/>
          <tpl hier="9" item="4294967295"/>
          <tpl hier="10" item="7"/>
          <tpl hier="11" item="10"/>
          <tpl fld="0" item="1"/>
        </tpls>
      </n>
      <m in="0">
        <tpls c="5">
          <tpl fld="1" item="1"/>
          <tpl fld="2" item="9"/>
          <tpl hier="10" item="7"/>
          <tpl hier="11" item="10"/>
          <tpl fld="0" item="0"/>
        </tpls>
      </m>
      <m in="0">
        <tpls c="5">
          <tpl fld="1" item="2"/>
          <tpl fld="2" item="7"/>
          <tpl hier="10" item="7"/>
          <tpl hier="11" item="10"/>
          <tpl fld="0" item="1"/>
        </tpls>
      </m>
      <m in="0">
        <tpls c="5">
          <tpl fld="1" item="8"/>
          <tpl fld="2" item="2"/>
          <tpl hier="10" item="7"/>
          <tpl hier="11" item="10"/>
          <tpl fld="0" item="0"/>
        </tpls>
      </m>
      <n v="-1689" in="0">
        <tpls c="5">
          <tpl fld="1" item="6"/>
          <tpl fld="2" item="5"/>
          <tpl hier="10" item="7"/>
          <tpl hier="11" item="10"/>
          <tpl fld="0" item="1"/>
        </tpls>
      </n>
      <m in="0">
        <tpls c="5">
          <tpl fld="1" item="8"/>
          <tpl fld="2" item="7"/>
          <tpl hier="10" item="7"/>
          <tpl hier="11" item="10"/>
          <tpl fld="0" item="0"/>
        </tpls>
      </m>
      <m in="0">
        <tpls c="5">
          <tpl fld="1" item="4"/>
          <tpl fld="2" item="12"/>
          <tpl hier="10" item="7"/>
          <tpl hier="11" item="10"/>
          <tpl fld="0" item="0"/>
        </tpls>
      </m>
      <m in="0">
        <tpls c="5">
          <tpl fld="1" item="7"/>
          <tpl fld="2" item="7"/>
          <tpl hier="10" item="7"/>
          <tpl hier="11" item="10"/>
          <tpl fld="0" item="0"/>
        </tpls>
      </m>
      <n v="-1750" in="0">
        <tpls c="5">
          <tpl fld="1" item="4"/>
          <tpl fld="2" item="1"/>
          <tpl hier="10" item="7"/>
          <tpl hier="11" item="10"/>
          <tpl fld="0" item="1"/>
        </tpls>
      </n>
      <m in="0">
        <tpls c="5">
          <tpl fld="1" item="6"/>
          <tpl fld="2" item="11"/>
          <tpl hier="10" item="7"/>
          <tpl hier="11" item="10"/>
          <tpl fld="0" item="0"/>
        </tpls>
      </m>
      <m in="0">
        <tpls c="5">
          <tpl fld="1" item="2"/>
          <tpl fld="2" item="13"/>
          <tpl hier="10" item="7"/>
          <tpl hier="11" item="10"/>
          <tpl fld="0" item="0"/>
        </tpls>
      </m>
      <m in="0">
        <tpls c="5">
          <tpl fld="1" item="4"/>
          <tpl fld="2" item="5"/>
          <tpl hier="10" item="7"/>
          <tpl hier="11" item="10"/>
          <tpl fld="0" item="0"/>
        </tpls>
      </m>
      <m in="0">
        <tpls c="5">
          <tpl fld="1" item="10"/>
          <tpl fld="2" item="14"/>
          <tpl hier="10" item="7"/>
          <tpl hier="11" item="10"/>
          <tpl fld="0" item="1"/>
        </tpls>
      </m>
      <n v="-197904" in="0">
        <tpls c="4">
          <tpl fld="2" item="6"/>
          <tpl hier="10" item="7"/>
          <tpl hier="11" item="10"/>
          <tpl fld="0" item="1"/>
        </tpls>
      </n>
      <n v="-77052" in="0">
        <tpls c="5">
          <tpl fld="1" item="6"/>
          <tpl hier="9" item="4294967295"/>
          <tpl hier="10" item="7"/>
          <tpl hier="11" item="10"/>
          <tpl fld="0" item="1"/>
        </tpls>
      </n>
      <m in="0">
        <tpls c="5">
          <tpl fld="1" item="11"/>
          <tpl fld="2" item="15"/>
          <tpl hier="10" item="7"/>
          <tpl hier="11" item="10"/>
          <tpl fld="0" item="0"/>
        </tpls>
      </m>
      <n v="-13330" in="0">
        <tpls c="5">
          <tpl fld="1" item="0"/>
          <tpl fld="2" item="10"/>
          <tpl hier="10" item="7"/>
          <tpl hier="11" item="10"/>
          <tpl fld="0" item="1"/>
        </tpls>
      </n>
      <m in="0">
        <tpls c="5">
          <tpl fld="1" item="7"/>
          <tpl fld="2" item="1"/>
          <tpl hier="10" item="7"/>
          <tpl hier="11" item="10"/>
          <tpl fld="0" item="0"/>
        </tpls>
      </m>
      <n v="-2266" in="0">
        <tpls c="5">
          <tpl fld="1" item="4"/>
          <tpl fld="2" item="3"/>
          <tpl hier="10" item="7"/>
          <tpl hier="11" item="10"/>
          <tpl fld="0" item="1"/>
        </tpls>
      </n>
      <m in="0">
        <tpls c="5">
          <tpl fld="1" item="6"/>
          <tpl fld="2" item="7"/>
          <tpl hier="10" item="7"/>
          <tpl hier="11" item="10"/>
          <tpl fld="0" item="0"/>
        </tpls>
      </m>
      <m in="0">
        <tpls c="5">
          <tpl fld="1" item="1"/>
          <tpl fld="2" item="13"/>
          <tpl hier="10" item="7"/>
          <tpl hier="11" item="10"/>
          <tpl fld="0" item="0"/>
        </tpls>
      </m>
      <m in="0">
        <tpls c="5">
          <tpl fld="1" item="4"/>
          <tpl fld="2" item="14"/>
          <tpl hier="10" item="7"/>
          <tpl hier="11" item="10"/>
          <tpl fld="0" item="1"/>
        </tpls>
      </m>
      <n v="-2831710" in="0">
        <tpls c="4">
          <tpl hier="9" item="4294967295"/>
          <tpl hier="10" item="7"/>
          <tpl hier="11" item="10"/>
          <tpl fld="0" item="1"/>
        </tpls>
      </n>
      <n v="-315" in="0">
        <tpls c="5">
          <tpl fld="1" item="0"/>
          <tpl fld="2" item="11"/>
          <tpl hier="10" item="7"/>
          <tpl hier="11" item="10"/>
          <tpl fld="0" item="1"/>
        </tpls>
      </n>
      <m in="0">
        <tpls c="5">
          <tpl fld="1" item="2"/>
          <tpl fld="2" item="7"/>
          <tpl hier="10" item="7"/>
          <tpl hier="11" item="10"/>
          <tpl fld="0" item="0"/>
        </tpls>
      </m>
      <n v="-13011" in="0">
        <tpls c="5">
          <tpl fld="1" item="4"/>
          <tpl fld="2" item="10"/>
          <tpl hier="10" item="7"/>
          <tpl hier="11" item="10"/>
          <tpl fld="0" item="1"/>
        </tpls>
      </n>
      <n v="-7935" in="0">
        <tpls c="5">
          <tpl fld="1" item="11"/>
          <tpl fld="2" item="12"/>
          <tpl hier="10" item="7"/>
          <tpl hier="11" item="10"/>
          <tpl fld="0" item="1"/>
        </tpls>
      </n>
      <m in="0">
        <tpls c="5">
          <tpl fld="1" item="6"/>
          <tpl fld="2" item="7"/>
          <tpl hier="10" item="7"/>
          <tpl hier="11" item="10"/>
          <tpl fld="0" item="1"/>
        </tpls>
      </m>
      <n v="-5563" in="0">
        <tpls c="4">
          <tpl fld="2" item="11"/>
          <tpl hier="10" item="7"/>
          <tpl hier="11" item="10"/>
          <tpl fld="0" item="1"/>
        </tpls>
      </n>
      <m in="0">
        <tpls c="5">
          <tpl fld="1" item="4"/>
          <tpl fld="2" item="10"/>
          <tpl hier="10" item="7"/>
          <tpl hier="11" item="10"/>
          <tpl fld="0" item="0"/>
        </tpls>
      </m>
      <m in="0">
        <tpls c="4">
          <tpl fld="2" item="2"/>
          <tpl hier="10" item="7"/>
          <tpl hier="11" item="10"/>
          <tpl fld="0" item="0"/>
        </tpls>
      </m>
      <m in="0">
        <tpls c="5">
          <tpl fld="1" item="7"/>
          <tpl fld="2" item="14"/>
          <tpl hier="10" item="7"/>
          <tpl hier="11" item="10"/>
          <tpl fld="0" item="0"/>
        </tpls>
      </m>
      <m in="0">
        <tpls c="4">
          <tpl fld="2" item="7"/>
          <tpl hier="10" item="7"/>
          <tpl hier="11" item="10"/>
          <tpl fld="0" item="0"/>
        </tpls>
      </m>
      <m in="0">
        <tpls c="5">
          <tpl fld="1" item="5"/>
          <tpl fld="2" item="13"/>
          <tpl hier="10" item="7"/>
          <tpl hier="11" item="10"/>
          <tpl fld="0" item="0"/>
        </tpls>
      </m>
      <n v="-20920" in="0">
        <tpls c="4">
          <tpl fld="2" item="1"/>
          <tpl hier="10" item="7"/>
          <tpl hier="11" item="10"/>
          <tpl fld="0" item="1"/>
        </tpls>
      </n>
      <n v="-1058" in="0">
        <tpls c="5">
          <tpl fld="1" item="0"/>
          <tpl fld="2" item="12"/>
          <tpl hier="10" item="7"/>
          <tpl hier="11" item="10"/>
          <tpl fld="0" item="1"/>
        </tpls>
      </n>
      <m in="0">
        <tpls c="5">
          <tpl fld="1" item="2"/>
          <tpl fld="2" item="8"/>
          <tpl hier="10" item="7"/>
          <tpl hier="11" item="10"/>
          <tpl fld="0" item="1"/>
        </tpls>
      </m>
      <n v="-67694" in="0">
        <tpls c="5">
          <tpl fld="1" item="7"/>
          <tpl fld="2" item="0"/>
          <tpl hier="10" item="7"/>
          <tpl hier="11" item="10"/>
          <tpl fld="0" item="1"/>
        </tpls>
      </n>
      <m in="0">
        <tpls c="4">
          <tpl fld="2" item="7"/>
          <tpl hier="10" item="7"/>
          <tpl hier="11" item="10"/>
          <tpl fld="0" item="1"/>
        </tpls>
      </m>
      <n v="-931" in="0">
        <tpls c="5">
          <tpl fld="1" item="5"/>
          <tpl fld="2" item="13"/>
          <tpl hier="10" item="7"/>
          <tpl hier="11" item="10"/>
          <tpl fld="0" item="1"/>
        </tpls>
      </n>
      <m in="0">
        <tpls c="4">
          <tpl fld="2" item="6"/>
          <tpl hier="10" item="7"/>
          <tpl hier="11" item="10"/>
          <tpl fld="0" item="0"/>
        </tpls>
      </m>
      <m in="0">
        <tpls c="5">
          <tpl fld="1" item="11"/>
          <tpl fld="2" item="11"/>
          <tpl hier="10" item="7"/>
          <tpl hier="11" item="10"/>
          <tpl fld="0" item="0"/>
        </tpls>
      </m>
      <n v="-3646" in="0">
        <tpls c="5">
          <tpl fld="1" item="11"/>
          <tpl fld="2" item="3"/>
          <tpl hier="10" item="7"/>
          <tpl hier="11" item="10"/>
          <tpl fld="0" item="1"/>
        </tpls>
      </n>
      <m in="0">
        <tpls c="4">
          <tpl fld="2" item="10"/>
          <tpl hier="10" item="7"/>
          <tpl hier="11" item="10"/>
          <tpl fld="0" item="0"/>
        </tpls>
      </m>
      <m in="0">
        <tpls c="5">
          <tpl fld="1" item="11"/>
          <tpl fld="2" item="9"/>
          <tpl hier="10" item="7"/>
          <tpl hier="11" item="10"/>
          <tpl fld="0" item="0"/>
        </tpls>
      </m>
      <m in="0">
        <tpls c="4">
          <tpl fld="2" item="0"/>
          <tpl hier="10" item="7"/>
          <tpl hier="11" item="10"/>
          <tpl fld="0" item="0"/>
        </tpls>
      </m>
      <n v="-1770" in="0">
        <tpls c="5">
          <tpl fld="1" item="8"/>
          <tpl fld="2" item="1"/>
          <tpl hier="10" item="7"/>
          <tpl hier="11" item="10"/>
          <tpl fld="0" item="1"/>
        </tpls>
      </n>
      <n v="-11083" in="0">
        <tpls c="4">
          <tpl fld="2" item="5"/>
          <tpl hier="10" item="7"/>
          <tpl hier="11" item="10"/>
          <tpl fld="0" item="1"/>
        </tpls>
      </n>
      <n v="-143045" in="0">
        <tpls c="4">
          <tpl fld="2" item="10"/>
          <tpl hier="10" item="7"/>
          <tpl hier="11" item="10"/>
          <tpl fld="0" item="1"/>
        </tpls>
      </n>
      <m in="0">
        <tpls c="5">
          <tpl fld="1" item="11"/>
          <tpl fld="2" item="5"/>
          <tpl hier="10" item="7"/>
          <tpl hier="11" item="10"/>
          <tpl fld="0" item="0"/>
        </tpls>
      </m>
      <m in="0">
        <tpls c="4">
          <tpl fld="2" item="3"/>
          <tpl hier="10" item="7"/>
          <tpl hier="11" item="10"/>
          <tpl fld="0" item="0"/>
        </tpls>
      </m>
      <m in="0">
        <tpls c="5">
          <tpl fld="1" item="8"/>
          <tpl fld="2" item="4"/>
          <tpl hier="10" item="7"/>
          <tpl hier="11" item="10"/>
          <tpl fld="0" item="1"/>
        </tpls>
      </m>
      <m in="0">
        <tpls c="5">
          <tpl fld="1" item="11"/>
          <tpl fld="2" item="10"/>
          <tpl hier="10" item="7"/>
          <tpl hier="11" item="10"/>
          <tpl fld="0" item="0"/>
        </tpls>
      </m>
      <n v="-305998" in="0">
        <tpls c="5">
          <tpl fld="1" item="9"/>
          <tpl hier="9" item="4294967295"/>
          <tpl hier="10" item="7"/>
          <tpl hier="11" item="10"/>
          <tpl fld="0" item="1"/>
        </tpls>
      </n>
      <m in="0">
        <tpls c="5">
          <tpl fld="1" item="3"/>
          <tpl fld="2" item="3"/>
          <tpl hier="10" item="7"/>
          <tpl hier="11" item="10"/>
          <tpl fld="0" item="0"/>
        </tpls>
      </m>
      <m in="0">
        <tpls c="5">
          <tpl fld="1" item="9"/>
          <tpl fld="2" item="2"/>
          <tpl hier="10" item="7"/>
          <tpl hier="11" item="10"/>
          <tpl fld="0" item="0"/>
        </tpls>
      </m>
      <m in="0">
        <tpls c="5">
          <tpl fld="1" item="11"/>
          <tpl fld="2" item="2"/>
          <tpl hier="10" item="7"/>
          <tpl hier="11" item="10"/>
          <tpl fld="0" item="0"/>
        </tpls>
      </m>
      <m in="0">
        <tpls c="5">
          <tpl fld="1" item="10"/>
          <tpl fld="2" item="11"/>
          <tpl hier="10" item="7"/>
          <tpl hier="11" item="10"/>
          <tpl fld="0" item="0"/>
        </tpls>
      </m>
      <n v="-2032" in="0">
        <tpls c="5">
          <tpl fld="1" item="1"/>
          <tpl fld="2" item="3"/>
          <tpl hier="10" item="7"/>
          <tpl hier="11" item="10"/>
          <tpl fld="0" item="1"/>
        </tpls>
      </n>
      <n v="-5228" in="0">
        <tpls c="5">
          <tpl fld="1" item="2"/>
          <tpl fld="2" item="12"/>
          <tpl hier="10" item="7"/>
          <tpl hier="11" item="10"/>
          <tpl fld="0" item="1"/>
        </tpls>
      </n>
      <m in="0">
        <tpls c="4">
          <tpl fld="2" item="4"/>
          <tpl hier="10" item="7"/>
          <tpl hier="11" item="10"/>
          <tpl fld="0" item="0"/>
        </tpls>
      </m>
      <m in="0">
        <tpls c="5">
          <tpl fld="1" item="5"/>
          <tpl fld="2" item="8"/>
          <tpl hier="10" item="7"/>
          <tpl hier="11" item="10"/>
          <tpl fld="0" item="0"/>
        </tpls>
      </m>
      <m in="0">
        <tpls c="5">
          <tpl fld="1" item="1"/>
          <tpl fld="2" item="12"/>
          <tpl hier="10" item="7"/>
          <tpl hier="11" item="10"/>
          <tpl fld="0" item="0"/>
        </tpls>
      </m>
      <n v="-116386" in="0">
        <tpls c="5">
          <tpl fld="1" item="2"/>
          <tpl hier="9" item="4294967295"/>
          <tpl hier="10" item="7"/>
          <tpl hier="11" item="10"/>
          <tpl fld="0" item="1"/>
        </tpls>
      </n>
      <m in="0">
        <tpls c="5">
          <tpl fld="1" item="0"/>
          <tpl fld="2" item="15"/>
          <tpl hier="10" item="7"/>
          <tpl hier="11" item="10"/>
          <tpl fld="0" item="0"/>
        </tpls>
      </m>
      <m in="0">
        <tpls c="5">
          <tpl fld="1" item="10"/>
          <tpl fld="2" item="8"/>
          <tpl hier="10" item="7"/>
          <tpl hier="11" item="10"/>
          <tpl fld="0" item="1"/>
        </tpls>
      </m>
      <m in="0">
        <tpls c="5">
          <tpl fld="1" item="4"/>
          <tpl fld="2" item="11"/>
          <tpl hier="10" item="7"/>
          <tpl hier="11" item="10"/>
          <tpl fld="0" item="0"/>
        </tpls>
      </m>
      <m in="0">
        <tpls c="5">
          <tpl fld="1" item="11"/>
          <tpl fld="2" item="12"/>
          <tpl hier="10" item="7"/>
          <tpl hier="11" item="10"/>
          <tpl fld="0" item="0"/>
        </tpls>
      </m>
      <m in="0">
        <tpls c="5">
          <tpl fld="1" item="5"/>
          <tpl fld="2" item="12"/>
          <tpl hier="10" item="7"/>
          <tpl hier="11" item="10"/>
          <tpl fld="0" item="0"/>
        </tpls>
      </m>
      <n v="-2550" in="0">
        <tpls c="5">
          <tpl fld="1" item="2"/>
          <tpl fld="2" item="15"/>
          <tpl hier="10" item="7"/>
          <tpl hier="11" item="10"/>
          <tpl fld="0" item="1"/>
        </tpls>
      </n>
      <m in="0">
        <tpls c="5">
          <tpl fld="1" item="6"/>
          <tpl fld="2" item="6"/>
          <tpl hier="10" item="7"/>
          <tpl hier="11" item="10"/>
          <tpl fld="0" item="0"/>
        </tpls>
      </m>
      <m in="0">
        <tpls c="5">
          <tpl fld="1" item="8"/>
          <tpl fld="2" item="1"/>
          <tpl hier="10" item="7"/>
          <tpl hier="11" item="10"/>
          <tpl fld="0" item="0"/>
        </tpls>
      </m>
      <m in="0">
        <tpls c="5">
          <tpl fld="1" item="9"/>
          <tpl fld="2" item="9"/>
          <tpl hier="10" item="7"/>
          <tpl hier="11" item="10"/>
          <tpl fld="0" item="0"/>
        </tpls>
      </m>
      <m in="0">
        <tpls c="5">
          <tpl fld="1" item="9"/>
          <tpl fld="2" item="15"/>
          <tpl hier="10" item="7"/>
          <tpl hier="11" item="10"/>
          <tpl fld="0" item="0"/>
        </tpls>
      </m>
      <n v="-307" in="0">
        <tpls c="5">
          <tpl fld="1" item="2"/>
          <tpl fld="2" item="11"/>
          <tpl hier="10" item="7"/>
          <tpl hier="11" item="10"/>
          <tpl fld="0" item="1"/>
        </tpls>
      </n>
      <m in="0">
        <tpls c="5">
          <tpl fld="1" item="4"/>
          <tpl fld="2" item="14"/>
          <tpl hier="10" item="7"/>
          <tpl hier="11" item="10"/>
          <tpl fld="0" item="0"/>
        </tpls>
      </m>
      <m in="0">
        <tpls c="5">
          <tpl fld="1" item="2"/>
          <tpl fld="2" item="0"/>
          <tpl hier="10" item="7"/>
          <tpl hier="11" item="10"/>
          <tpl fld="0" item="0"/>
        </tpls>
      </m>
      <n v="-1720" in="0">
        <tpls c="5">
          <tpl fld="1" item="11"/>
          <tpl fld="2" item="1"/>
          <tpl hier="10" item="7"/>
          <tpl hier="11" item="10"/>
          <tpl fld="0" item="1"/>
        </tpls>
      </n>
      <m in="0">
        <tpls c="5">
          <tpl fld="1" item="5"/>
          <tpl fld="2" item="0"/>
          <tpl hier="10" item="7"/>
          <tpl hier="11" item="10"/>
          <tpl fld="0" item="0"/>
        </tpls>
      </m>
      <m in="0">
        <tpls c="5">
          <tpl fld="1" item="11"/>
          <tpl fld="2" item="9"/>
          <tpl hier="10" item="7"/>
          <tpl hier="11" item="10"/>
          <tpl fld="0" item="1"/>
        </tpls>
      </m>
      <m in="0">
        <tpls c="5">
          <tpl fld="1" item="6"/>
          <tpl fld="2" item="4"/>
          <tpl hier="10" item="7"/>
          <tpl hier="11" item="10"/>
          <tpl fld="0" item="0"/>
        </tpls>
      </m>
      <m in="0">
        <tpls c="5">
          <tpl fld="1" item="4"/>
          <tpl fld="2" item="4"/>
          <tpl hier="10" item="7"/>
          <tpl hier="11" item="10"/>
          <tpl fld="0" item="1"/>
        </tpls>
      </m>
      <m in="0">
        <tpls c="5">
          <tpl fld="1" item="3"/>
          <tpl fld="2" item="12"/>
          <tpl hier="10" item="7"/>
          <tpl hier="11" item="10"/>
          <tpl fld="0" item="0"/>
        </tpls>
      </m>
      <m in="0">
        <tpls c="5">
          <tpl fld="1" item="2"/>
          <tpl fld="2" item="11"/>
          <tpl hier="10" item="7"/>
          <tpl hier="11" item="10"/>
          <tpl fld="0" item="0"/>
        </tpls>
      </m>
      <m in="0">
        <tpls c="5">
          <tpl fld="1" item="5"/>
          <tpl fld="2" item="8"/>
          <tpl hier="10" item="7"/>
          <tpl hier="11" item="10"/>
          <tpl fld="0" item="1"/>
        </tpls>
      </m>
      <m in="0">
        <tpls c="5">
          <tpl fld="1" item="7"/>
          <tpl fld="2" item="5"/>
          <tpl hier="10" item="7"/>
          <tpl hier="11" item="10"/>
          <tpl fld="0" item="0"/>
        </tpls>
      </m>
      <m in="0">
        <tpls c="5">
          <tpl fld="1" item="7"/>
          <tpl fld="2" item="7"/>
          <tpl hier="10" item="7"/>
          <tpl hier="11" item="10"/>
          <tpl fld="0" item="1"/>
        </tpls>
      </m>
      <m in="0">
        <tpls c="5">
          <tpl fld="1" item="2"/>
          <tpl fld="2" item="10"/>
          <tpl hier="10" item="7"/>
          <tpl hier="11" item="10"/>
          <tpl fld="0" item="0"/>
        </tpls>
      </m>
      <n v="-646" in="0">
        <tpls c="5">
          <tpl fld="1" item="6"/>
          <tpl fld="2" item="11"/>
          <tpl hier="10" item="7"/>
          <tpl hier="11" item="10"/>
          <tpl fld="0" item="1"/>
        </tpls>
      </n>
      <n v="-6453" in="0">
        <tpls c="5">
          <tpl fld="1" item="2"/>
          <tpl fld="2" item="13"/>
          <tpl hier="10" item="7"/>
          <tpl hier="11" item="10"/>
          <tpl fld="0" item="1"/>
        </tpls>
      </n>
      <m in="0">
        <tpls c="5">
          <tpl fld="1" item="4"/>
          <tpl fld="2" item="4"/>
          <tpl hier="10" item="7"/>
          <tpl hier="11" item="10"/>
          <tpl fld="0" item="0"/>
        </tpls>
      </m>
      <m in="0">
        <tpls c="5">
          <tpl fld="1" item="7"/>
          <tpl fld="2" item="14"/>
          <tpl hier="10" item="7"/>
          <tpl hier="11" item="10"/>
          <tpl fld="0" item="1"/>
        </tpls>
      </m>
      <m in="0">
        <tpls c="4">
          <tpl fld="2" item="8"/>
          <tpl hier="10" item="7"/>
          <tpl hier="11" item="10"/>
          <tpl fld="0" item="1"/>
        </tpls>
      </m>
      <m in="0">
        <tpls c="4">
          <tpl hier="9" item="4294967295"/>
          <tpl hier="10" item="7"/>
          <tpl hier="11" item="10"/>
          <tpl fld="0" item="0"/>
        </tpls>
      </m>
      <m in="0">
        <tpls c="5">
          <tpl fld="1" item="10"/>
          <tpl fld="2" item="15"/>
          <tpl hier="10" item="7"/>
          <tpl hier="11" item="10"/>
          <tpl fld="0" item="0"/>
        </tpls>
      </m>
      <m in="0">
        <tpls c="5">
          <tpl fld="1" item="0"/>
          <tpl fld="2" item="10"/>
          <tpl hier="10" item="7"/>
          <tpl hier="11" item="10"/>
          <tpl fld="0" item="0"/>
        </tpls>
      </m>
      <m in="0">
        <tpls c="5">
          <tpl fld="1" item="2"/>
          <tpl fld="2" item="2"/>
          <tpl hier="10" item="7"/>
          <tpl hier="11" item="10"/>
          <tpl fld="0" item="0"/>
        </tpls>
      </m>
      <m in="0">
        <tpls c="5">
          <tpl fld="1" item="4"/>
          <tpl fld="2" item="13"/>
          <tpl hier="10" item="7"/>
          <tpl hier="11" item="10"/>
          <tpl fld="0" item="0"/>
        </tpls>
      </m>
      <n v="-14135" in="0">
        <tpls c="5">
          <tpl fld="1" item="1"/>
          <tpl fld="2" item="10"/>
          <tpl hier="10" item="7"/>
          <tpl hier="11" item="10"/>
          <tpl fld="0" item="1"/>
        </tpls>
      </n>
      <m in="0">
        <tpls c="4">
          <tpl fld="2" item="11"/>
          <tpl hier="10" item="7"/>
          <tpl hier="11" item="10"/>
          <tpl fld="0" item="0"/>
        </tpls>
      </m>
      <n v="-27075" in="0">
        <tpls c="4">
          <tpl fld="2" item="3"/>
          <tpl hier="10" item="7"/>
          <tpl hier="11" item="10"/>
          <tpl fld="0" item="1"/>
        </tpls>
      </n>
      <n v="-3542" in="0">
        <tpls c="5">
          <tpl fld="1" item="10"/>
          <tpl fld="2" item="15"/>
          <tpl hier="10" item="7"/>
          <tpl hier="11" item="10"/>
          <tpl fld="0" item="1"/>
        </tpls>
      </n>
      <m in="0">
        <tpls c="5">
          <tpl fld="1" item="1"/>
          <tpl fld="2" item="8"/>
          <tpl hier="10" item="7"/>
          <tpl hier="11" item="10"/>
          <tpl fld="0" item="1"/>
        </tpls>
      </m>
      <m in="0">
        <tpls c="5">
          <tpl fld="1" item="6"/>
          <tpl fld="2" item="3"/>
          <tpl hier="10" item="7"/>
          <tpl hier="11" item="10"/>
          <tpl fld="0" item="1"/>
        </tpls>
      </m>
      <n v="-1141" in="0">
        <tpls c="5">
          <tpl fld="1" item="8"/>
          <tpl fld="2" item="5"/>
          <tpl hier="10" item="7"/>
          <tpl hier="11" item="10"/>
          <tpl fld="0" item="1"/>
        </tpls>
      </n>
      <n v="-18585" in="0">
        <tpls c="5">
          <tpl fld="1" item="5"/>
          <tpl fld="2" item="10"/>
          <tpl hier="10" item="7"/>
          <tpl hier="11" item="10"/>
          <tpl fld="0" item="1"/>
        </tpls>
      </n>
      <n v="-3716" in="0">
        <tpls c="5">
          <tpl fld="1" item="1"/>
          <tpl fld="2" item="13"/>
          <tpl hier="10" item="7"/>
          <tpl hier="11" item="10"/>
          <tpl fld="0" item="1"/>
        </tpls>
      </n>
      <m in="0">
        <tpls c="5">
          <tpl fld="1" item="9"/>
          <tpl fld="2" item="14"/>
          <tpl hier="10" item="7"/>
          <tpl hier="11" item="10"/>
          <tpl fld="0" item="0"/>
        </tpls>
      </m>
      <m in="0">
        <tpls c="5">
          <tpl fld="1" item="0"/>
          <tpl fld="2" item="11"/>
          <tpl hier="10" item="7"/>
          <tpl hier="11" item="10"/>
          <tpl fld="0" item="0"/>
        </tpls>
      </m>
      <n v="-611" in="0">
        <tpls c="5">
          <tpl fld="1" item="7"/>
          <tpl fld="2" item="11"/>
          <tpl hier="10" item="7"/>
          <tpl hier="11" item="10"/>
          <tpl fld="0" item="1"/>
        </tpls>
      </n>
      <m in="0">
        <tpls c="5">
          <tpl fld="1" item="6"/>
          <tpl fld="2" item="13"/>
          <tpl hier="10" item="7"/>
          <tpl hier="11" item="10"/>
          <tpl fld="0" item="1"/>
        </tpls>
      </m>
      <m in="0">
        <tpls c="5">
          <tpl fld="1" item="6"/>
          <tpl fld="2" item="10"/>
          <tpl hier="10" item="7"/>
          <tpl hier="11" item="10"/>
          <tpl fld="0" item="0"/>
        </tpls>
      </m>
      <m in="0">
        <tpls c="5">
          <tpl fld="1" item="4"/>
          <tpl fld="2" item="0"/>
          <tpl hier="10" item="7"/>
          <tpl hier="11" item="10"/>
          <tpl fld="0" item="0"/>
        </tpls>
      </m>
      <m in="0">
        <tpls c="4">
          <tpl fld="2" item="13"/>
          <tpl hier="10" item="7"/>
          <tpl hier="11" item="10"/>
          <tpl fld="0" item="0"/>
        </tpls>
      </m>
      <m in="0">
        <tpls c="5">
          <tpl fld="1" item="3"/>
          <tpl fld="2" item="2"/>
          <tpl hier="10" item="7"/>
          <tpl hier="11" item="10"/>
          <tpl fld="0" item="1"/>
        </tpls>
      </m>
      <n v="-481273" in="0">
        <tpls c="5">
          <tpl fld="1" item="1"/>
          <tpl fld="2" item="0"/>
          <tpl hier="10" item="7"/>
          <tpl hier="11" item="10"/>
          <tpl fld="0" item="1"/>
        </tpls>
      </n>
      <m in="0">
        <tpls c="5">
          <tpl fld="1" item="6"/>
          <tpl fld="2" item="10"/>
          <tpl hier="10" item="7"/>
          <tpl hier="11" item="10"/>
          <tpl fld="0" item="1"/>
        </tpls>
      </m>
      <m in="0">
        <tpls c="5">
          <tpl fld="1" item="4"/>
          <tpl fld="2" item="1"/>
          <tpl hier="10" item="7"/>
          <tpl hier="11" item="10"/>
          <tpl fld="0" item="0"/>
        </tpls>
      </m>
      <m in="0">
        <tpls c="5">
          <tpl fld="1" item="3"/>
          <tpl fld="2" item="7"/>
          <tpl hier="10" item="7"/>
          <tpl hier="11" item="10"/>
          <tpl fld="0" item="1"/>
        </tpls>
      </m>
      <m in="0">
        <tpls c="5">
          <tpl fld="1" item="8"/>
          <tpl fld="2" item="8"/>
          <tpl hier="10" item="7"/>
          <tpl hier="11" item="10"/>
          <tpl fld="0" item="0"/>
        </tpls>
      </m>
      <m in="0">
        <tpls c="5">
          <tpl fld="1" item="9"/>
          <tpl fld="2" item="13"/>
          <tpl hier="10" item="7"/>
          <tpl hier="11" item="10"/>
          <tpl fld="0" item="0"/>
        </tpls>
      </m>
      <m in="0">
        <tpls c="5">
          <tpl fld="1" item="2"/>
          <tpl hier="9" item="4294967295"/>
          <tpl hier="10" item="7"/>
          <tpl hier="11" item="10"/>
          <tpl fld="0" item="0"/>
        </tpls>
      </m>
      <n v="-983" in="0">
        <tpls c="5">
          <tpl fld="1" item="0"/>
          <tpl fld="2" item="13"/>
          <tpl hier="10" item="7"/>
          <tpl hier="11" item="10"/>
          <tpl fld="0" item="1"/>
        </tpls>
      </n>
      <n v="-908" in="0">
        <tpls c="5">
          <tpl fld="1" item="1"/>
          <tpl fld="2" item="5"/>
          <tpl hier="10" item="7"/>
          <tpl hier="11" item="10"/>
          <tpl fld="0" item="1"/>
        </tpls>
      </n>
      <m in="0">
        <tpls c="5">
          <tpl fld="1" item="4"/>
          <tpl fld="2" item="2"/>
          <tpl hier="10" item="7"/>
          <tpl hier="11" item="10"/>
          <tpl fld="0" item="0"/>
        </tpls>
      </m>
      <n v="-8320" in="0">
        <tpls c="5">
          <tpl fld="1" item="9"/>
          <tpl fld="2" item="13"/>
          <tpl hier="10" item="7"/>
          <tpl hier="11" item="10"/>
          <tpl fld="0" item="1"/>
        </tpls>
      </n>
      <n v="-308710" in="0">
        <tpls c="5">
          <tpl fld="1" item="0"/>
          <tpl hier="9" item="4294967295"/>
          <tpl hier="10" item="7"/>
          <tpl hier="11" item="10"/>
          <tpl fld="0" item="1"/>
        </tpls>
      </n>
      <m in="0">
        <tpls c="5">
          <tpl fld="1" item="4"/>
          <tpl fld="2" item="6"/>
          <tpl hier="10" item="7"/>
          <tpl hier="11" item="10"/>
          <tpl fld="0" item="0"/>
        </tpls>
      </m>
      <m in="0">
        <tpls c="5">
          <tpl fld="1" item="4"/>
          <tpl fld="2" item="2"/>
          <tpl hier="10" item="7"/>
          <tpl hier="11" item="10"/>
          <tpl fld="0" item="1"/>
        </tpls>
      </m>
      <n v="-3926" in="0">
        <tpls c="5">
          <tpl fld="1" item="4"/>
          <tpl fld="2" item="12"/>
          <tpl hier="10" item="7"/>
          <tpl hier="11" item="10"/>
          <tpl fld="0" item="1"/>
        </tpls>
      </n>
      <m in="0">
        <tpls c="5">
          <tpl fld="1" item="6"/>
          <tpl fld="2" item="14"/>
          <tpl hier="10" item="7"/>
          <tpl hier="11" item="10"/>
          <tpl fld="0" item="0"/>
        </tpls>
      </m>
      <m in="0">
        <tpls c="5">
          <tpl fld="1" item="7"/>
          <tpl fld="2" item="8"/>
          <tpl hier="10" item="7"/>
          <tpl hier="11" item="10"/>
          <tpl fld="0" item="1"/>
        </tpls>
      </m>
      <m in="0">
        <tpls c="5">
          <tpl fld="1" item="6"/>
          <tpl fld="2" item="14"/>
          <tpl hier="10" item="7"/>
          <tpl hier="11" item="10"/>
          <tpl fld="0" item="1"/>
        </tpls>
      </m>
      <m in="0">
        <tpls c="5">
          <tpl fld="1" item="11"/>
          <tpl fld="2" item="7"/>
          <tpl hier="10" item="7"/>
          <tpl hier="11" item="10"/>
          <tpl fld="0" item="1"/>
        </tpls>
      </m>
      <m in="0">
        <tpls c="5">
          <tpl fld="1" item="6"/>
          <tpl fld="2" item="8"/>
          <tpl hier="10" item="7"/>
          <tpl hier="11" item="10"/>
          <tpl fld="0" item="0"/>
        </tpls>
      </m>
      <m in="0">
        <tpls c="5">
          <tpl fld="1" item="10"/>
          <tpl fld="2" item="13"/>
          <tpl hier="10" item="7"/>
          <tpl hier="11" item="10"/>
          <tpl fld="0" item="0"/>
        </tpls>
      </m>
      <n v="-3117" in="0">
        <tpls c="5">
          <tpl fld="1" item="0"/>
          <tpl fld="2" item="15"/>
          <tpl hier="10" item="7"/>
          <tpl hier="11" item="10"/>
          <tpl fld="0" item="1"/>
        </tpls>
      </n>
      <n v="-55678" in="0">
        <tpls c="5">
          <tpl fld="1" item="6"/>
          <tpl fld="2" item="0"/>
          <tpl hier="10" item="7"/>
          <tpl hier="11" item="10"/>
          <tpl fld="0" item="1"/>
        </tpls>
      </n>
      <m in="0">
        <tpls c="5">
          <tpl fld="1" item="5"/>
          <tpl fld="2" item="3"/>
          <tpl hier="10" item="7"/>
          <tpl hier="11" item="10"/>
          <tpl fld="0" item="0"/>
        </tpls>
      </m>
      <m in="0">
        <tpls c="4">
          <tpl fld="2" item="14"/>
          <tpl hier="10" item="7"/>
          <tpl hier="11" item="10"/>
          <tpl fld="0" item="1"/>
        </tpls>
      </m>
      <n v="-2590" in="0">
        <tpls c="5">
          <tpl fld="1" item="8"/>
          <tpl fld="2" item="3"/>
          <tpl hier="10" item="7"/>
          <tpl hier="11" item="10"/>
          <tpl fld="0" item="1"/>
        </tpls>
      </n>
      <m in="0">
        <tpls c="5">
          <tpl fld="1" item="9"/>
          <tpl fld="2" item="8"/>
          <tpl hier="10" item="7"/>
          <tpl hier="11" item="10"/>
          <tpl fld="0" item="1"/>
        </tpls>
      </m>
      <m in="0">
        <tpls c="5">
          <tpl fld="1" item="6"/>
          <tpl fld="2" item="3"/>
          <tpl hier="10" item="7"/>
          <tpl hier="11" item="10"/>
          <tpl fld="0" item="0"/>
        </tpls>
      </m>
      <m in="0">
        <tpls c="4">
          <tpl fld="2" item="9"/>
          <tpl hier="10" item="7"/>
          <tpl hier="11" item="10"/>
          <tpl fld="0" item="1"/>
        </tpls>
      </m>
      <m in="0">
        <tpls c="5">
          <tpl fld="1" item="3"/>
          <tpl hier="9" item="4294967295"/>
          <tpl hier="10" item="7"/>
          <tpl hier="11" item="10"/>
          <tpl fld="0" item="0"/>
        </tpls>
      </m>
      <m in="0">
        <tpls c="5">
          <tpl fld="1" item="8"/>
          <tpl fld="2" item="2"/>
          <tpl hier="10" item="7"/>
          <tpl hier="11" item="10"/>
          <tpl fld="0" item="1"/>
        </tpls>
      </m>
      <n v="-3888" in="0">
        <tpls c="5">
          <tpl fld="1" item="10"/>
          <tpl fld="2" item="12"/>
          <tpl hier="10" item="7"/>
          <tpl hier="11" item="10"/>
          <tpl fld="0" item="1"/>
        </tpls>
      </n>
      <n v="-3988" in="0">
        <tpls c="5">
          <tpl fld="1" item="0"/>
          <tpl fld="2" item="3"/>
          <tpl hier="10" item="7"/>
          <tpl hier="11" item="10"/>
          <tpl fld="0" item="1"/>
        </tpls>
      </n>
      <n v="-547" in="0">
        <tpls c="5">
          <tpl fld="1" item="11"/>
          <tpl fld="2" item="11"/>
          <tpl hier="10" item="7"/>
          <tpl hier="11" item="10"/>
          <tpl fld="0" item="1"/>
        </tpls>
      </n>
      <m in="0">
        <tpls c="5">
          <tpl fld="1" item="0"/>
          <tpl fld="2" item="6"/>
          <tpl hier="10" item="7"/>
          <tpl hier="11" item="10"/>
          <tpl fld="0" item="0"/>
        </tpls>
      </m>
      <n v="-12007" in="0">
        <tpls c="5">
          <tpl fld="1" item="6"/>
          <tpl fld="2" item="6"/>
          <tpl hier="10" item="7"/>
          <tpl hier="11" item="10"/>
          <tpl fld="0" item="1"/>
        </tpls>
      </n>
      <m in="0">
        <tpls c="5">
          <tpl fld="1" item="11"/>
          <tpl fld="2" item="4"/>
          <tpl hier="10" item="7"/>
          <tpl hier="11" item="10"/>
          <tpl fld="0" item="1"/>
        </tpls>
      </m>
      <m in="0">
        <tpls c="5">
          <tpl fld="1" item="7"/>
          <tpl fld="2" item="4"/>
          <tpl hier="10" item="7"/>
          <tpl hier="11" item="10"/>
          <tpl fld="0" item="1"/>
        </tpls>
      </m>
      <n v="-3826" in="0">
        <tpls c="5">
          <tpl fld="1" item="4"/>
          <tpl fld="2" item="15"/>
          <tpl hier="10" item="7"/>
          <tpl hier="11" item="10"/>
          <tpl fld="0" item="1"/>
        </tpls>
      </n>
      <m in="0">
        <tpls c="5">
          <tpl fld="1" item="11"/>
          <tpl fld="2" item="8"/>
          <tpl hier="10" item="7"/>
          <tpl hier="11" item="10"/>
          <tpl fld="0" item="0"/>
        </tpls>
      </m>
      <n v="-240" in="0">
        <tpls c="5">
          <tpl fld="1" item="9"/>
          <tpl fld="2" item="11"/>
          <tpl hier="10" item="7"/>
          <tpl hier="11" item="10"/>
          <tpl fld="0" item="1"/>
        </tpls>
      </n>
      <m in="0">
        <tpls c="5">
          <tpl fld="1" item="0"/>
          <tpl hier="9" item="4294967295"/>
          <tpl hier="10" item="7"/>
          <tpl hier="11" item="10"/>
          <tpl fld="0" item="0"/>
        </tpls>
      </m>
      <m in="0">
        <tpls c="5">
          <tpl fld="1" item="9"/>
          <tpl fld="2" item="4"/>
          <tpl hier="10" item="7"/>
          <tpl hier="11" item="10"/>
          <tpl fld="0" item="0"/>
        </tpls>
      </m>
      <m in="0">
        <tpls c="5">
          <tpl fld="1" item="0"/>
          <tpl fld="2" item="13"/>
          <tpl hier="10" item="7"/>
          <tpl hier="11" item="10"/>
          <tpl fld="0" item="0"/>
        </tpls>
      </m>
      <m in="0">
        <tpls c="5">
          <tpl fld="1" item="7"/>
          <tpl fld="2" item="3"/>
          <tpl hier="10" item="7"/>
          <tpl hier="11" item="10"/>
          <tpl fld="0" item="0"/>
        </tpls>
      </m>
      <m in="0">
        <tpls c="5">
          <tpl fld="1" item="11"/>
          <tpl fld="2" item="13"/>
          <tpl hier="10" item="7"/>
          <tpl hier="11" item="10"/>
          <tpl fld="0" item="0"/>
        </tpls>
      </m>
      <m in="0">
        <tpls c="5">
          <tpl fld="1" item="0"/>
          <tpl fld="2" item="14"/>
          <tpl hier="10" item="7"/>
          <tpl hier="11" item="10"/>
          <tpl fld="0" item="1"/>
        </tpls>
      </m>
      <n v="-2984" in="0">
        <tpls c="5">
          <tpl fld="1" item="9"/>
          <tpl fld="2" item="3"/>
          <tpl hier="10" item="7"/>
          <tpl hier="11" item="10"/>
          <tpl fld="0" item="1"/>
        </tpls>
      </n>
      <n v="-103" in="0">
        <tpls c="5">
          <tpl fld="1" item="1"/>
          <tpl fld="2" item="11"/>
          <tpl hier="10" item="7"/>
          <tpl hier="11" item="10"/>
          <tpl fld="0" item="1"/>
        </tpls>
      </n>
      <n v="-4837" in="0">
        <tpls c="5">
          <tpl fld="1" item="11"/>
          <tpl fld="2" item="13"/>
          <tpl hier="10" item="7"/>
          <tpl hier="11" item="10"/>
          <tpl fld="0" item="1"/>
        </tpls>
      </n>
      <m in="0">
        <tpls c="5">
          <tpl fld="1" item="0"/>
          <tpl fld="2" item="14"/>
          <tpl hier="10" item="7"/>
          <tpl hier="11" item="10"/>
          <tpl fld="0" item="0"/>
        </tpls>
      </m>
      <n v="-2547" in="0">
        <tpls c="5">
          <tpl fld="1" item="2"/>
          <tpl fld="2" item="3"/>
          <tpl hier="10" item="7"/>
          <tpl hier="11" item="10"/>
          <tpl fld="0" item="1"/>
        </tpls>
      </n>
      <n v="-44494" in="0">
        <tpls c="5">
          <tpl fld="1" item="3"/>
          <tpl hier="9" item="4294967295"/>
          <tpl hier="10" item="7"/>
          <tpl hier="11" item="10"/>
          <tpl fld="0" item="1"/>
        </tpls>
      </n>
      <m in="0">
        <tpls c="5">
          <tpl fld="1" item="5"/>
          <tpl fld="2" item="4"/>
          <tpl hier="10" item="7"/>
          <tpl hier="11" item="10"/>
          <tpl fld="0" item="1"/>
        </tpls>
      </m>
      <m in="0">
        <tpls c="5">
          <tpl fld="1" item="9"/>
          <tpl fld="2" item="2"/>
          <tpl hier="10" item="7"/>
          <tpl hier="11" item="10"/>
          <tpl fld="0" item="1"/>
        </tpls>
      </m>
      <m in="0">
        <tpls c="5">
          <tpl fld="1" item="10"/>
          <tpl fld="2" item="8"/>
          <tpl hier="10" item="7"/>
          <tpl hier="11" item="10"/>
          <tpl fld="0" item="0"/>
        </tpls>
      </m>
      <m in="0">
        <tpls c="5">
          <tpl fld="1" item="8"/>
          <tpl fld="2" item="10"/>
          <tpl hier="10" item="7"/>
          <tpl hier="11" item="10"/>
          <tpl fld="0" item="0"/>
        </tpls>
      </m>
      <m in="0">
        <tpls c="5">
          <tpl fld="1" item="2"/>
          <tpl fld="2" item="15"/>
          <tpl hier="10" item="7"/>
          <tpl hier="11" item="10"/>
          <tpl fld="0" item="0"/>
        </tpls>
      </m>
      <m in="0">
        <tpls c="5">
          <tpl fld="1" item="9"/>
          <tpl fld="2" item="7"/>
          <tpl hier="10" item="7"/>
          <tpl hier="11" item="10"/>
          <tpl fld="0" item="1"/>
        </tpls>
      </m>
      <m in="0">
        <tpls c="5">
          <tpl fld="1" item="4"/>
          <tpl fld="2" item="3"/>
          <tpl hier="10" item="7"/>
          <tpl hier="11" item="10"/>
          <tpl fld="0" item="0"/>
        </tpls>
      </m>
      <m in="0">
        <tpls c="5">
          <tpl fld="1" item="10"/>
          <tpl fld="2" item="4"/>
          <tpl hier="10" item="7"/>
          <tpl hier="11" item="10"/>
          <tpl fld="0" item="1"/>
        </tpls>
      </m>
      <m in="0">
        <tpls c="5">
          <tpl fld="1" item="1"/>
          <tpl fld="2" item="8"/>
          <tpl hier="10" item="7"/>
          <tpl hier="11" item="10"/>
          <tpl fld="0" item="0"/>
        </tpls>
      </m>
      <m in="0">
        <tpls c="5">
          <tpl fld="1" item="9"/>
          <tpl fld="2" item="9"/>
          <tpl hier="10" item="7"/>
          <tpl hier="11" item="10"/>
          <tpl fld="0" item="1"/>
        </tpls>
      </m>
      <m in="0">
        <tpls c="5">
          <tpl fld="1" item="2"/>
          <tpl fld="2" item="14"/>
          <tpl hier="10" item="7"/>
          <tpl hier="11" item="10"/>
          <tpl fld="0" item="1"/>
        </tpls>
      </m>
      <m in="0">
        <tpls c="5">
          <tpl fld="1" item="9"/>
          <tpl fld="2" item="10"/>
          <tpl hier="10" item="7"/>
          <tpl hier="11" item="10"/>
          <tpl fld="0" item="0"/>
        </tpls>
      </m>
      <m in="0">
        <tpls c="5">
          <tpl fld="1" item="5"/>
          <tpl fld="2" item="1"/>
          <tpl hier="10" item="7"/>
          <tpl hier="11" item="10"/>
          <tpl fld="0" item="0"/>
        </tpls>
      </m>
      <m in="0">
        <tpls c="5">
          <tpl fld="1" item="10"/>
          <tpl fld="2" item="12"/>
          <tpl hier="10" item="7"/>
          <tpl hier="11" item="10"/>
          <tpl fld="0" item="0"/>
        </tpls>
      </m>
      <n v="-333" in="0">
        <tpls c="5">
          <tpl fld="1" item="4"/>
          <tpl fld="2" item="11"/>
          <tpl hier="10" item="7"/>
          <tpl hier="11" item="10"/>
          <tpl fld="0" item="1"/>
        </tpls>
      </n>
      <m in="0">
        <tpls c="5">
          <tpl fld="1" item="8"/>
          <tpl hier="9" item="4294967295"/>
          <tpl hier="10" item="7"/>
          <tpl hier="11" item="10"/>
          <tpl fld="0" item="0"/>
        </tpls>
      </m>
      <m in="0">
        <tpls c="5">
          <tpl fld="1" item="1"/>
          <tpl fld="2" item="14"/>
          <tpl hier="10" item="7"/>
          <tpl hier="11" item="10"/>
          <tpl fld="0" item="0"/>
        </tpls>
      </m>
      <m in="0">
        <tpls c="5">
          <tpl fld="1" item="1"/>
          <tpl fld="2" item="2"/>
          <tpl hier="10" item="7"/>
          <tpl hier="11" item="10"/>
          <tpl fld="0" item="0"/>
        </tpls>
      </m>
      <m in="0">
        <tpls c="5">
          <tpl fld="1" item="2"/>
          <tpl fld="2" item="3"/>
          <tpl hier="10" item="7"/>
          <tpl hier="11" item="10"/>
          <tpl fld="0" item="0"/>
        </tpls>
      </m>
      <m in="0">
        <tpls c="5">
          <tpl fld="1" item="6"/>
          <tpl fld="2" item="5"/>
          <tpl hier="10" item="7"/>
          <tpl hier="11" item="10"/>
          <tpl fld="0" item="0"/>
        </tpls>
      </m>
      <m in="0">
        <tpls c="5">
          <tpl fld="1" item="2"/>
          <tpl fld="2" item="9"/>
          <tpl hier="10" item="7"/>
          <tpl hier="11" item="10"/>
          <tpl fld="0" item="1"/>
        </tpls>
      </m>
      <n v="-174903" in="0">
        <tpls c="5">
          <tpl fld="1" item="8"/>
          <tpl fld="2" item="0"/>
          <tpl hier="10" item="7"/>
          <tpl hier="11" item="10"/>
          <tpl fld="0" item="1"/>
        </tpls>
      </n>
      <m in="0">
        <tpls c="5">
          <tpl fld="1" item="9"/>
          <tpl fld="2" item="7"/>
          <tpl hier="10" item="7"/>
          <tpl hier="11" item="10"/>
          <tpl fld="0" item="0"/>
        </tpls>
      </m>
      <m in="0">
        <tpls c="5">
          <tpl fld="1" item="3"/>
          <tpl fld="2" item="9"/>
          <tpl hier="10" item="7"/>
          <tpl hier="11" item="10"/>
          <tpl fld="0" item="0"/>
        </tpls>
      </m>
      <m in="0">
        <tpls c="5">
          <tpl fld="1" item="1"/>
          <tpl fld="2" item="0"/>
          <tpl hier="10" item="7"/>
          <tpl hier="11" item="10"/>
          <tpl fld="0" item="0"/>
        </tpls>
      </m>
      <m in="0">
        <tpls c="5">
          <tpl fld="1" item="2"/>
          <tpl fld="2" item="4"/>
          <tpl hier="10" item="7"/>
          <tpl hier="11" item="10"/>
          <tpl fld="0" item="1"/>
        </tpls>
      </m>
      <m in="0">
        <tpls c="5">
          <tpl fld="1" item="10"/>
          <tpl fld="2" item="9"/>
          <tpl hier="10" item="7"/>
          <tpl hier="11" item="10"/>
          <tpl fld="0" item="1"/>
        </tpls>
      </m>
      <m in="0">
        <tpls c="5">
          <tpl fld="1" item="5"/>
          <tpl fld="2" item="9"/>
          <tpl hier="10" item="7"/>
          <tpl hier="11" item="10"/>
          <tpl fld="0" item="1"/>
        </tpls>
      </m>
      <m in="0">
        <tpls c="5">
          <tpl fld="1" item="8"/>
          <tpl fld="2" item="12"/>
          <tpl hier="10" item="7"/>
          <tpl hier="11" item="10"/>
          <tpl fld="0" item="0"/>
        </tpls>
      </m>
      <m in="0">
        <tpls c="5">
          <tpl fld="1" item="8"/>
          <tpl fld="2" item="5"/>
          <tpl hier="10" item="7"/>
          <tpl hier="11" item="10"/>
          <tpl fld="0" item="0"/>
        </tpls>
      </m>
      <n v="-696" in="0">
        <tpls c="5">
          <tpl fld="1" item="9"/>
          <tpl fld="2" item="5"/>
          <tpl hier="10" item="7"/>
          <tpl hier="11" item="10"/>
          <tpl fld="0" item="1"/>
        </tpls>
      </n>
      <n v="-727" in="0">
        <tpls c="5">
          <tpl fld="1" item="10"/>
          <tpl fld="2" item="5"/>
          <tpl hier="10" item="7"/>
          <tpl hier="11" item="10"/>
          <tpl fld="0" item="1"/>
        </tpls>
      </n>
      <m in="0">
        <tpls c="5">
          <tpl fld="1" item="5"/>
          <tpl hier="9" item="4294967295"/>
          <tpl hier="10" item="7"/>
          <tpl hier="11" item="10"/>
          <tpl fld="0" item="0"/>
        </tpls>
      </m>
      <n v="-2554" in="0">
        <tpls c="5">
          <tpl fld="1" item="1"/>
          <tpl fld="2" item="15"/>
          <tpl hier="10" item="7"/>
          <tpl hier="11" item="10"/>
          <tpl fld="0" item="1"/>
        </tpls>
      </n>
      <m in="0">
        <tpls c="5">
          <tpl fld="1" item="0"/>
          <tpl fld="2" item="3"/>
          <tpl hier="10" item="7"/>
          <tpl hier="11" item="10"/>
          <tpl fld="0" item="0"/>
        </tpls>
      </m>
      <m in="0">
        <tpls c="5">
          <tpl fld="1" item="3"/>
          <tpl fld="2" item="4"/>
          <tpl hier="10" item="7"/>
          <tpl hier="11" item="10"/>
          <tpl fld="0" item="0"/>
        </tpls>
      </m>
      <m in="0">
        <tpls c="5">
          <tpl fld="1" item="2"/>
          <tpl fld="2" item="9"/>
          <tpl hier="10" item="7"/>
          <tpl hier="11" item="10"/>
          <tpl fld="0" item="0"/>
        </tpls>
      </m>
      <n v="-15980" in="0">
        <tpls c="5">
          <tpl fld="1" item="7"/>
          <tpl fld="2" item="6"/>
          <tpl hier="10" item="7"/>
          <tpl hier="11" item="10"/>
          <tpl fld="0" item="1"/>
        </tpls>
      </n>
      <m in="0">
        <tpls c="5">
          <tpl fld="1" item="6"/>
          <tpl fld="2" item="2"/>
          <tpl hier="10" item="7"/>
          <tpl hier="11" item="10"/>
          <tpl fld="0" item="1"/>
        </tpls>
      </m>
      <m in="0">
        <tpls c="5">
          <tpl fld="1" item="1"/>
          <tpl fld="2" item="4"/>
          <tpl hier="10" item="7"/>
          <tpl hier="11" item="10"/>
          <tpl fld="0" item="0"/>
        </tpls>
      </m>
      <m in="0">
        <tpls c="5">
          <tpl fld="1" item="8"/>
          <tpl fld="2" item="9"/>
          <tpl hier="10" item="7"/>
          <tpl hier="11" item="10"/>
          <tpl fld="0" item="0"/>
        </tpls>
      </m>
      <n v="-1434" in="0">
        <tpls c="5">
          <tpl fld="1" item="5"/>
          <tpl fld="2" item="5"/>
          <tpl hier="10" item="7"/>
          <tpl hier="11" item="10"/>
          <tpl fld="0" item="1"/>
        </tpls>
      </n>
      <n v="-9524" in="0">
        <tpls c="5">
          <tpl fld="1" item="8"/>
          <tpl fld="2" item="12"/>
          <tpl hier="10" item="7"/>
          <tpl hier="11" item="10"/>
          <tpl fld="0" item="1"/>
        </tpls>
      </n>
      <m in="0">
        <tpls c="5">
          <tpl fld="1" item="10"/>
          <tpl fld="2" item="1"/>
          <tpl hier="10" item="7"/>
          <tpl hier="11" item="10"/>
          <tpl fld="0" item="0"/>
        </tpls>
      </m>
      <n v="-2621" in="0">
        <tpls c="5">
          <tpl fld="1" item="9"/>
          <tpl fld="2" item="10"/>
          <tpl hier="10" item="7"/>
          <tpl hier="11" item="10"/>
          <tpl fld="0" item="1"/>
        </tpls>
      </n>
      <m in="0">
        <tpls c="5">
          <tpl fld="1" item="10"/>
          <tpl fld="2" item="2"/>
          <tpl hier="10" item="7"/>
          <tpl hier="11" item="10"/>
          <tpl fld="0" item="1"/>
        </tpls>
      </m>
      <n v="-336986" in="0">
        <tpls c="5">
          <tpl fld="1" item="5"/>
          <tpl hier="9" item="4294967295"/>
          <tpl hier="10" item="7"/>
          <tpl hier="11" item="10"/>
          <tpl fld="0" item="1"/>
        </tpls>
      </n>
      <m in="0">
        <tpls c="5">
          <tpl fld="1" item="5"/>
          <tpl fld="2" item="15"/>
          <tpl hier="10" item="7"/>
          <tpl hier="11" item="10"/>
          <tpl fld="0" item="0"/>
        </tpls>
      </m>
      <m in="0">
        <tpls c="5">
          <tpl fld="1" item="0"/>
          <tpl fld="2" item="4"/>
          <tpl hier="10" item="7"/>
          <tpl hier="11" item="10"/>
          <tpl fld="0" item="1"/>
        </tpls>
      </m>
      <m in="0">
        <tpls c="5">
          <tpl fld="1" item="3"/>
          <tpl fld="2" item="1"/>
          <tpl hier="10" item="7"/>
          <tpl hier="11" item="10"/>
          <tpl fld="0" item="0"/>
        </tpls>
      </m>
      <n v="-274039" in="0">
        <tpls c="5">
          <tpl fld="1" item="5"/>
          <tpl fld="2" item="0"/>
          <tpl hier="10" item="7"/>
          <tpl hier="11" item="10"/>
          <tpl fld="0" item="1"/>
        </tpls>
      </n>
      <m in="0">
        <tpls c="5">
          <tpl fld="1" item="11"/>
          <tpl fld="2" item="3"/>
          <tpl hier="10" item="7"/>
          <tpl hier="11" item="10"/>
          <tpl fld="0" item="0"/>
        </tpls>
      </m>
      <m in="0">
        <tpls c="5">
          <tpl fld="1" item="1"/>
          <tpl fld="2" item="4"/>
          <tpl hier="10" item="7"/>
          <tpl hier="11" item="10"/>
          <tpl fld="0" item="1"/>
        </tpls>
      </m>
      <m in="0">
        <tpls c="5">
          <tpl fld="1" item="8"/>
          <tpl fld="2" item="9"/>
          <tpl hier="10" item="7"/>
          <tpl hier="11" item="10"/>
          <tpl fld="0" item="1"/>
        </tpls>
      </m>
      <m in="0">
        <tpls c="5">
          <tpl fld="1" item="5"/>
          <tpl fld="2" item="7"/>
          <tpl hier="10" item="7"/>
          <tpl hier="11" item="10"/>
          <tpl fld="0" item="1"/>
        </tpls>
      </m>
      <m in="0">
        <tpls c="5">
          <tpl fld="1" item="7"/>
          <tpl fld="2" item="12"/>
          <tpl hier="10" item="7"/>
          <tpl hier="11" item="10"/>
          <tpl fld="0" item="0"/>
        </tpls>
      </m>
      <m in="0">
        <tpls c="5">
          <tpl fld="1" item="10"/>
          <tpl fld="2" item="4"/>
          <tpl hier="10" item="7"/>
          <tpl hier="11" item="10"/>
          <tpl fld="0" item="0"/>
        </tpls>
      </m>
      <n v="-275264" in="0">
        <tpls c="5">
          <tpl fld="1" item="9"/>
          <tpl fld="2" item="0"/>
          <tpl hier="10" item="7"/>
          <tpl hier="11" item="10"/>
          <tpl fld="0" item="1"/>
        </tpls>
      </n>
      <m in="0">
        <tpls c="5">
          <tpl fld="1" item="5"/>
          <tpl fld="2" item="5"/>
          <tpl hier="10" item="7"/>
          <tpl hier="11" item="10"/>
          <tpl fld="0" item="0"/>
        </tpls>
      </m>
      <m in="0">
        <tpls c="5">
          <tpl fld="1" item="4"/>
          <tpl hier="9" item="4294967295"/>
          <tpl hier="10" item="7"/>
          <tpl hier="11" item="10"/>
          <tpl fld="0" item="0"/>
        </tpls>
      </m>
      <n v="-5825" in="0">
        <tpls c="5">
          <tpl fld="1" item="5"/>
          <tpl fld="2" item="15"/>
          <tpl hier="10" item="7"/>
          <tpl hier="11" item="10"/>
          <tpl fld="0" item="1"/>
        </tpls>
      </n>
      <m in="0">
        <tpls c="5">
          <tpl fld="1" item="0"/>
          <tpl fld="2" item="4"/>
          <tpl hier="10" item="7"/>
          <tpl hier="11" item="10"/>
          <tpl fld="0" item="0"/>
        </tpls>
      </m>
      <m in="0">
        <tpls c="5">
          <tpl fld="1" item="6"/>
          <tpl fld="2" item="1"/>
          <tpl hier="10" item="7"/>
          <tpl hier="11" item="10"/>
          <tpl fld="0" item="0"/>
        </tpls>
      </m>
      <m in="0">
        <tpls c="5">
          <tpl fld="1" item="9"/>
          <tpl fld="2" item="8"/>
          <tpl hier="10" item="7"/>
          <tpl hier="11" item="10"/>
          <tpl fld="0" item="0"/>
        </tpls>
      </m>
      <m in="0">
        <tpls c="5">
          <tpl fld="1" item="8"/>
          <tpl fld="2" item="0"/>
          <tpl hier="10" item="7"/>
          <tpl hier="11" item="10"/>
          <tpl fld="0" item="0"/>
        </tpls>
      </m>
      <n v="-1730" in="0">
        <tpls c="5">
          <tpl fld="1" item="1"/>
          <tpl fld="2" item="1"/>
          <tpl hier="10" item="7"/>
          <tpl hier="11" item="10"/>
          <tpl fld="0" item="1"/>
        </tpls>
      </n>
      <n v="-1098" in="0">
        <tpls c="5">
          <tpl fld="1" item="10"/>
          <tpl fld="2" item="3"/>
          <tpl hier="10" item="7"/>
          <tpl hier="11" item="10"/>
          <tpl fld="0" item="1"/>
        </tpls>
      </n>
      <n v="-9904" in="0">
        <tpls c="5">
          <tpl fld="1" item="11"/>
          <tpl fld="2" item="6"/>
          <tpl hier="10" item="7"/>
          <tpl hier="11" item="10"/>
          <tpl fld="0" item="1"/>
        </tpls>
      </n>
      <m in="0">
        <tpls c="5">
          <tpl fld="1" item="5"/>
          <tpl fld="2" item="4"/>
          <tpl hier="10" item="7"/>
          <tpl hier="11" item="10"/>
          <tpl fld="0" item="0"/>
        </tpls>
      </m>
      <m in="0">
        <tpls c="5">
          <tpl fld="1" item="7"/>
          <tpl fld="2" item="9"/>
          <tpl hier="10" item="7"/>
          <tpl hier="11" item="10"/>
          <tpl fld="0" item="0"/>
        </tpls>
      </m>
      <n v="-26744" in="0">
        <tpls c="5">
          <tpl fld="1" item="5"/>
          <tpl fld="2" item="6"/>
          <tpl hier="10" item="7"/>
          <tpl hier="11" item="10"/>
          <tpl fld="0" item="1"/>
        </tpls>
      </n>
      <n v="-5199" in="0">
        <tpls c="5">
          <tpl fld="1" item="7"/>
          <tpl fld="2" item="12"/>
          <tpl hier="10" item="7"/>
          <tpl hier="11" item="10"/>
          <tpl fld="0" item="1"/>
        </tpls>
      </n>
      <m in="0">
        <tpls c="5">
          <tpl fld="1" item="10"/>
          <tpl fld="2" item="5"/>
          <tpl hier="10" item="7"/>
          <tpl hier="11" item="10"/>
          <tpl fld="0" item="0"/>
        </tpls>
      </m>
      <m in="0">
        <tpls c="5">
          <tpl fld="1" item="3"/>
          <tpl fld="2" item="14"/>
          <tpl hier="10" item="7"/>
          <tpl hier="11" item="10"/>
          <tpl fld="0" item="0"/>
        </tpls>
      </m>
      <m in="0">
        <tpls c="5">
          <tpl fld="1" item="5"/>
          <tpl fld="2" item="10"/>
          <tpl hier="10" item="7"/>
          <tpl hier="11" item="10"/>
          <tpl fld="0" item="0"/>
        </tpls>
      </m>
      <n v="-202938" in="0">
        <tpls c="5">
          <tpl fld="1" item="4"/>
          <tpl hier="9" item="4294967295"/>
          <tpl hier="10" item="7"/>
          <tpl hier="11" item="10"/>
          <tpl fld="0" item="1"/>
        </tpls>
      </n>
      <n v="-4441" in="0">
        <tpls c="5">
          <tpl fld="1" item="3"/>
          <tpl fld="2" item="15"/>
          <tpl hier="10" item="7"/>
          <tpl hier="11" item="10"/>
          <tpl fld="0" item="1"/>
        </tpls>
      </n>
      <n v="-770" in="0">
        <tpls c="5">
          <tpl fld="1" item="0"/>
          <tpl fld="2" item="5"/>
          <tpl hier="10" item="7"/>
          <tpl hier="11" item="10"/>
          <tpl fld="0" item="1"/>
        </tpls>
      </n>
      <m in="0">
        <tpls c="5">
          <tpl fld="1" item="1"/>
          <tpl fld="2" item="7"/>
          <tpl hier="10" item="7"/>
          <tpl hier="11" item="10"/>
          <tpl fld="0" item="0"/>
        </tpls>
      </m>
      <m in="0">
        <tpls c="5">
          <tpl fld="1" item="7"/>
          <tpl fld="2" item="6"/>
          <tpl hier="10" item="7"/>
          <tpl hier="11" item="10"/>
          <tpl fld="0" item="0"/>
        </tpls>
      </m>
      <m in="0">
        <tpls c="5">
          <tpl fld="1" item="1"/>
          <tpl fld="2" item="14"/>
          <tpl hier="10" item="7"/>
          <tpl hier="11" item="10"/>
          <tpl fld="0" item="1"/>
        </tpls>
      </m>
      <m in="0">
        <tpls c="5">
          <tpl fld="1" item="8"/>
          <tpl fld="2" item="6"/>
          <tpl hier="10" item="7"/>
          <tpl hier="11" item="10"/>
          <tpl fld="0" item="0"/>
        </tpls>
      </m>
      <m in="0">
        <tpls c="5">
          <tpl fld="1" item="10"/>
          <tpl fld="2" item="7"/>
          <tpl hier="10" item="7"/>
          <tpl hier="11" item="10"/>
          <tpl fld="0" item="0"/>
        </tpls>
      </m>
      <m in="0">
        <tpls c="5">
          <tpl fld="1" item="3"/>
          <tpl fld="2" item="5"/>
          <tpl hier="10" item="7"/>
          <tpl hier="11" item="10"/>
          <tpl fld="0" item="0"/>
        </tpls>
      </m>
      <m in="0">
        <tpls c="5">
          <tpl fld="1" item="7"/>
          <tpl fld="2" item="9"/>
          <tpl hier="10" item="7"/>
          <tpl hier="11" item="10"/>
          <tpl fld="0" item="1"/>
        </tpls>
      </m>
      <n v="-1770" in="0">
        <tpls c="5">
          <tpl fld="1" item="5"/>
          <tpl fld="2" item="1"/>
          <tpl hier="10" item="7"/>
          <tpl hier="11" item="10"/>
          <tpl fld="0" item="1"/>
        </tpls>
      </n>
      <m in="0">
        <tpls c="5">
          <tpl fld="1" item="6"/>
          <tpl fld="2" item="12"/>
          <tpl hier="10" item="7"/>
          <tpl hier="11" item="10"/>
          <tpl fld="0" item="0"/>
        </tpls>
      </m>
      <m in="0">
        <tpls c="5">
          <tpl fld="1" item="10"/>
          <tpl fld="2" item="2"/>
          <tpl hier="10" item="7"/>
          <tpl hier="11" item="10"/>
          <tpl fld="0" item="0"/>
        </tpls>
      </m>
      <m in="0">
        <tpls c="5">
          <tpl fld="1" item="3"/>
          <tpl fld="2" item="14"/>
          <tpl hier="10" item="7"/>
          <tpl hier="11" item="10"/>
          <tpl fld="0" item="1"/>
        </tpls>
      </m>
      <m in="0">
        <tpls c="5">
          <tpl fld="1" item="5"/>
          <tpl fld="2" item="9"/>
          <tpl hier="10" item="7"/>
          <tpl hier="11" item="10"/>
          <tpl fld="0" item="0"/>
        </tpls>
      </m>
      <m in="0">
        <tpls c="5">
          <tpl fld="1" item="9"/>
          <tpl hier="9" item="4294967295"/>
          <tpl hier="10" item="7"/>
          <tpl hier="11" item="10"/>
          <tpl fld="0" item="0"/>
        </tpls>
      </m>
      <m in="0">
        <tpls c="5">
          <tpl fld="1" item="4"/>
          <tpl fld="2" item="15"/>
          <tpl hier="10" item="7"/>
          <tpl hier="11" item="10"/>
          <tpl fld="0" item="0"/>
        </tpls>
      </m>
      <m in="0">
        <tpls c="5">
          <tpl fld="1" item="0"/>
          <tpl fld="2" item="5"/>
          <tpl hier="10" item="7"/>
          <tpl hier="11" item="10"/>
          <tpl fld="0" item="0"/>
        </tpls>
      </m>
      <m in="0">
        <tpls c="5">
          <tpl fld="1" item="9"/>
          <tpl fld="2" item="3"/>
          <tpl hier="10" item="7"/>
          <tpl hier="11" item="10"/>
          <tpl fld="0" item="0"/>
        </tpls>
      </m>
      <m in="0">
        <tpls c="5">
          <tpl fld="1" item="1"/>
          <tpl fld="2" item="11"/>
          <tpl hier="10" item="7"/>
          <tpl hier="11" item="10"/>
          <tpl fld="0" item="0"/>
        </tpls>
      </m>
      <m in="0">
        <tpls c="5">
          <tpl fld="1" item="6"/>
          <tpl fld="2" item="0"/>
          <tpl hier="10" item="7"/>
          <tpl hier="11" item="10"/>
          <tpl fld="0" item="0"/>
        </tpls>
      </m>
      <n v="-823" in="0">
        <tpls c="5">
          <tpl fld="1" item="5"/>
          <tpl fld="2" item="11"/>
          <tpl hier="10" item="7"/>
          <tpl hier="11" item="10"/>
          <tpl fld="0" item="1"/>
        </tpls>
      </n>
      <n v="-590" in="0">
        <tpls c="5">
          <tpl fld="1" item="3"/>
          <tpl fld="2" item="5"/>
          <tpl hier="10" item="7"/>
          <tpl hier="11" item="10"/>
          <tpl fld="0" item="1"/>
        </tpls>
      </n>
      <m in="0">
        <tpls c="5">
          <tpl fld="1" item="6"/>
          <tpl fld="2" item="9"/>
          <tpl hier="10" item="7"/>
          <tpl hier="11" item="10"/>
          <tpl fld="0" item="0"/>
        </tpls>
      </m>
      <m in="0">
        <tpls c="5">
          <tpl fld="1" item="5"/>
          <tpl fld="2" item="2"/>
          <tpl hier="10" item="7"/>
          <tpl hier="11" item="10"/>
          <tpl fld="0" item="1"/>
        </tpls>
      </m>
      <n v="-2631" in="0">
        <tpls c="5">
          <tpl fld="1" item="6"/>
          <tpl fld="2" item="12"/>
          <tpl hier="10" item="7"/>
          <tpl hier="11" item="10"/>
          <tpl fld="0" item="1"/>
        </tpls>
      </n>
      <m in="0">
        <tpls c="5">
          <tpl fld="1" item="10"/>
          <tpl fld="2" item="0"/>
          <tpl hier="10" item="7"/>
          <tpl hier="11" item="10"/>
          <tpl fld="0" item="0"/>
        </tpls>
      </m>
      <m in="0">
        <tpls c="5">
          <tpl fld="1" item="2"/>
          <tpl fld="2" item="14"/>
          <tpl hier="10" item="7"/>
          <tpl hier="11" item="10"/>
          <tpl fld="0" item="0"/>
        </tpls>
      </m>
      <m in="0">
        <tpls c="5">
          <tpl fld="1" item="5"/>
          <tpl fld="2" item="7"/>
          <tpl hier="10" item="7"/>
          <tpl hier="11" item="10"/>
          <tpl fld="0" item="0"/>
        </tpls>
      </m>
      <m in="0">
        <tpls c="5">
          <tpl fld="1" item="11"/>
          <tpl hier="9" item="4294967295"/>
          <tpl hier="10" item="7"/>
          <tpl hier="11" item="10"/>
          <tpl fld="0" item="0"/>
        </tpls>
      </m>
      <m in="0">
        <tpls c="5">
          <tpl fld="1" item="3"/>
          <tpl fld="2" item="15"/>
          <tpl hier="10" item="7"/>
          <tpl hier="11" item="10"/>
          <tpl fld="0" item="0"/>
        </tpls>
      </m>
      <n v="-25696" in="0">
        <tpls c="5">
          <tpl fld="1" item="0"/>
          <tpl fld="2" item="6"/>
          <tpl hier="10" item="7"/>
          <tpl hier="11" item="10"/>
          <tpl fld="0" item="1"/>
        </tpls>
      </n>
      <n v="-1770" in="0">
        <tpls c="5">
          <tpl fld="1" item="7"/>
          <tpl fld="2" item="1"/>
          <tpl hier="10" item="7"/>
          <tpl hier="11" item="10"/>
          <tpl fld="0" item="1"/>
        </tpls>
      </n>
      <n v="-77721" in="0">
        <tpls c="5">
          <tpl fld="1" item="2"/>
          <tpl fld="2" item="0"/>
          <tpl hier="10" item="7"/>
          <tpl hier="11" item="10"/>
          <tpl fld="0" item="1"/>
        </tpls>
      </n>
      <m in="0">
        <tpls c="5">
          <tpl fld="1" item="1"/>
          <tpl fld="2" item="9"/>
          <tpl hier="10" item="7"/>
          <tpl hier="11" item="10"/>
          <tpl fld="0" item="1"/>
        </tpls>
      </m>
      <m in="0">
        <tpls c="5">
          <tpl fld="1" item="11"/>
          <tpl fld="2" item="6"/>
          <tpl hier="10" item="7"/>
          <tpl hier="11" item="10"/>
          <tpl fld="0" item="0"/>
        </tpls>
      </m>
      <m in="0">
        <tpls c="4">
          <tpl fld="2" item="12"/>
          <tpl hier="10" item="7"/>
          <tpl hier="11" item="10"/>
          <tpl fld="0" item="0"/>
        </tpls>
      </m>
      <n v="-25281" in="0">
        <tpls c="5">
          <tpl fld="1" item="4"/>
          <tpl fld="2" item="6"/>
          <tpl hier="10" item="7"/>
          <tpl hier="11" item="10"/>
          <tpl fld="0" item="1"/>
        </tpls>
      </n>
      <n v="-1088" in="0">
        <tpls c="5">
          <tpl fld="1" item="8"/>
          <tpl fld="2" item="11"/>
          <tpl hier="10" item="7"/>
          <tpl hier="11" item="10"/>
          <tpl fld="0" item="1"/>
        </tpls>
      </n>
      <m in="0">
        <tpls c="5">
          <tpl fld="1" item="1"/>
          <tpl fld="2" item="6"/>
          <tpl hier="10" item="7"/>
          <tpl hier="11" item="10"/>
          <tpl fld="0" item="0"/>
        </tpls>
      </m>
      <n v="-4249" in="0">
        <tpls c="5">
          <tpl fld="1" item="7"/>
          <tpl fld="2" item="13"/>
          <tpl hier="10" item="7"/>
          <tpl hier="11" item="10"/>
          <tpl fld="0" item="1"/>
        </tpls>
      </n>
      <n v="-18150" in="0">
        <tpls c="5">
          <tpl fld="1" item="7"/>
          <tpl fld="2" item="10"/>
          <tpl hier="10" item="7"/>
          <tpl hier="11" item="10"/>
          <tpl fld="0" item="1"/>
        </tpls>
      </n>
      <m in="0">
        <tpls c="5">
          <tpl fld="1" item="9"/>
          <tpl fld="2" item="1"/>
          <tpl hier="10" item="7"/>
          <tpl hier="11" item="10"/>
          <tpl fld="0" item="0"/>
        </tpls>
      </m>
      <m in="0">
        <tpls c="5">
          <tpl fld="1" item="0"/>
          <tpl fld="2" item="8"/>
          <tpl hier="10" item="7"/>
          <tpl hier="11" item="10"/>
          <tpl fld="0" item="1"/>
        </tpls>
      </m>
      <m in="0">
        <tpls c="5">
          <tpl fld="1" item="9"/>
          <tpl fld="2" item="0"/>
          <tpl hier="10" item="7"/>
          <tpl hier="11" item="10"/>
          <tpl fld="0" item="0"/>
        </tpls>
      </m>
      <m in="0">
        <tpls c="5">
          <tpl fld="1" item="4"/>
          <tpl fld="2" item="9"/>
          <tpl hier="10" item="7"/>
          <tpl hier="11" item="9"/>
          <tpl fld="0" item="0"/>
        </tpls>
      </m>
      <m in="0">
        <tpls c="5">
          <tpl fld="1" item="1"/>
          <tpl fld="2" item="7"/>
          <tpl hier="10" item="7"/>
          <tpl hier="11" item="9"/>
          <tpl fld="0" item="1"/>
        </tpls>
      </m>
      <m in="0">
        <tpls c="5">
          <tpl fld="1" item="3"/>
          <tpl fld="2" item="2"/>
          <tpl hier="10" item="7"/>
          <tpl hier="11" item="9"/>
          <tpl fld="0" item="0"/>
        </tpls>
      </m>
      <m in="0">
        <tpls c="5">
          <tpl fld="1" item="2"/>
          <tpl fld="2" item="6"/>
          <tpl hier="10" item="7"/>
          <tpl hier="11" item="9"/>
          <tpl fld="0" item="1"/>
        </tpls>
      </m>
      <m in="0">
        <tpls c="5">
          <tpl fld="1" item="3"/>
          <tpl fld="2" item="11"/>
          <tpl hier="10" item="7"/>
          <tpl hier="11" item="9"/>
          <tpl fld="0" item="1"/>
        </tpls>
      </m>
      <n v="-15073" in="0">
        <tpls c="5">
          <tpl fld="1" item="3"/>
          <tpl fld="2" item="10"/>
          <tpl hier="10" item="7"/>
          <tpl hier="11" item="9"/>
          <tpl fld="0" item="0"/>
        </tpls>
      </n>
      <n v="-3050.25" in="0">
        <tpls c="5">
          <tpl fld="1" item="10"/>
          <tpl fld="2" item="3"/>
          <tpl hier="10" item="7"/>
          <tpl hier="11" item="9"/>
          <tpl fld="0" item="0"/>
        </tpls>
      </n>
      <m in="0">
        <tpls c="5">
          <tpl fld="1" item="11"/>
          <tpl fld="2" item="7"/>
          <tpl hier="10" item="7"/>
          <tpl hier="11" item="9"/>
          <tpl fld="0" item="0"/>
        </tpls>
      </m>
      <m in="0">
        <tpls c="5">
          <tpl fld="1" item="3"/>
          <tpl fld="2" item="6"/>
          <tpl hier="10" item="7"/>
          <tpl hier="11" item="9"/>
          <tpl fld="0" item="1"/>
        </tpls>
      </m>
      <m in="0">
        <tpls c="5">
          <tpl fld="1" item="4"/>
          <tpl fld="2" item="9"/>
          <tpl hier="10" item="7"/>
          <tpl hier="11" item="9"/>
          <tpl fld="0" item="1"/>
        </tpls>
      </m>
      <m in="0">
        <tpls c="5">
          <tpl fld="1" item="10"/>
          <tpl fld="2" item="11"/>
          <tpl hier="10" item="7"/>
          <tpl hier="11" item="9"/>
          <tpl fld="0" item="1"/>
        </tpls>
      </m>
      <n v="-6133" in="0">
        <tpls c="5">
          <tpl fld="1" item="7"/>
          <tpl fld="2" item="13"/>
          <tpl hier="10" item="7"/>
          <tpl hier="11" item="9"/>
          <tpl fld="0" item="0"/>
        </tpls>
      </n>
      <m in="0">
        <tpls c="5">
          <tpl fld="1" item="11"/>
          <tpl fld="2" item="5"/>
          <tpl hier="10" item="7"/>
          <tpl hier="11" item="9"/>
          <tpl fld="0" item="1"/>
        </tpls>
      </m>
      <m in="0">
        <tpls c="5">
          <tpl fld="1" item="5"/>
          <tpl fld="2" item="14"/>
          <tpl hier="10" item="7"/>
          <tpl hier="11" item="9"/>
          <tpl fld="0" item="0"/>
        </tpls>
      </m>
      <m in="0">
        <tpls c="4">
          <tpl fld="2" item="13"/>
          <tpl hier="10" item="7"/>
          <tpl hier="11" item="9"/>
          <tpl fld="0" item="1"/>
        </tpls>
      </m>
      <n v="-307119.5" in="0">
        <tpls c="5">
          <tpl fld="1" item="7"/>
          <tpl hier="9" item="4294967295"/>
          <tpl hier="10" item="7"/>
          <tpl hier="11" item="9"/>
          <tpl fld="0" item="0"/>
        </tpls>
      </n>
      <m in="0">
        <tpls c="5">
          <tpl fld="1" item="11"/>
          <tpl fld="2" item="15"/>
          <tpl hier="10" item="7"/>
          <tpl hier="11" item="9"/>
          <tpl fld="0" item="1"/>
        </tpls>
      </m>
      <m in="0">
        <tpls c="5">
          <tpl fld="1" item="0"/>
          <tpl fld="2" item="8"/>
          <tpl hier="10" item="7"/>
          <tpl hier="11" item="9"/>
          <tpl fld="0" item="0"/>
        </tpls>
      </m>
      <m in="0">
        <tpls c="5">
          <tpl fld="1" item="6"/>
          <tpl fld="2" item="1"/>
          <tpl hier="10" item="7"/>
          <tpl hier="11" item="9"/>
          <tpl fld="0" item="1"/>
        </tpls>
      </m>
      <m in="0">
        <tpls c="5">
          <tpl fld="1" item="3"/>
          <tpl fld="2" item="7"/>
          <tpl hier="10" item="7"/>
          <tpl hier="11" item="9"/>
          <tpl fld="0" item="0"/>
        </tpls>
      </m>
      <m in="0">
        <tpls c="5">
          <tpl fld="1" item="6"/>
          <tpl fld="2" item="9"/>
          <tpl hier="10" item="7"/>
          <tpl hier="11" item="9"/>
          <tpl fld="0" item="1"/>
        </tpls>
      </m>
      <m in="0">
        <tpls c="5">
          <tpl fld="1" item="3"/>
          <tpl fld="2" item="3"/>
          <tpl hier="10" item="7"/>
          <tpl hier="11" item="9"/>
          <tpl fld="0" item="1"/>
        </tpls>
      </m>
      <n v="-512.25" in="0">
        <tpls c="5">
          <tpl fld="1" item="9"/>
          <tpl fld="2" item="11"/>
          <tpl hier="10" item="7"/>
          <tpl hier="11" item="9"/>
          <tpl fld="0" item="0"/>
        </tpls>
      </n>
      <m in="0">
        <tpls c="5">
          <tpl fld="1" item="10"/>
          <tpl fld="2" item="6"/>
          <tpl hier="10" item="7"/>
          <tpl hier="11" item="9"/>
          <tpl fld="0" item="1"/>
        </tpls>
      </m>
      <m in="0">
        <tpls c="5">
          <tpl fld="1" item="3"/>
          <tpl fld="2" item="0"/>
          <tpl hier="10" item="7"/>
          <tpl hier="11" item="9"/>
          <tpl fld="0" item="1"/>
        </tpls>
      </m>
      <n v="-13498.25" in="0">
        <tpls c="5">
          <tpl fld="1" item="2"/>
          <tpl fld="2" item="6"/>
          <tpl hier="10" item="7"/>
          <tpl hier="11" item="9"/>
          <tpl fld="0" item="0"/>
        </tpls>
      </n>
      <m in="0">
        <tpls c="5">
          <tpl fld="1" item="4"/>
          <tpl fld="2" item="5"/>
          <tpl hier="10" item="7"/>
          <tpl hier="11" item="9"/>
          <tpl fld="0" item="1"/>
        </tpls>
      </m>
      <n v="-539.25" in="0">
        <tpls c="5">
          <tpl fld="1" item="8"/>
          <tpl fld="2" item="11"/>
          <tpl hier="10" item="7"/>
          <tpl hier="11" item="9"/>
          <tpl fld="0" item="0"/>
        </tpls>
      </n>
      <n v="-5094.25" in="0">
        <tpls c="5">
          <tpl fld="1" item="3"/>
          <tpl fld="2" item="13"/>
          <tpl hier="10" item="7"/>
          <tpl hier="11" item="9"/>
          <tpl fld="0" item="0"/>
        </tpls>
      </n>
      <m in="0">
        <tpls c="5">
          <tpl fld="1" item="11"/>
          <tpl fld="2" item="2"/>
          <tpl hier="10" item="7"/>
          <tpl hier="11" item="9"/>
          <tpl fld="0" item="1"/>
        </tpls>
      </m>
      <m in="0">
        <tpls c="5">
          <tpl fld="1" item="5"/>
          <tpl fld="2" item="14"/>
          <tpl hier="10" item="7"/>
          <tpl hier="11" item="9"/>
          <tpl fld="0" item="1"/>
        </tpls>
      </m>
      <m in="0">
        <tpls c="4">
          <tpl fld="2" item="12"/>
          <tpl hier="10" item="7"/>
          <tpl hier="11" item="9"/>
          <tpl fld="0" item="1"/>
        </tpls>
      </m>
      <m in="0">
        <tpls c="5">
          <tpl fld="1" item="7"/>
          <tpl hier="9" item="4294967295"/>
          <tpl hier="10" item="7"/>
          <tpl hier="11" item="9"/>
          <tpl fld="0" item="1"/>
        </tpls>
      </m>
      <n v="-80698.75" in="0">
        <tpls c="4">
          <tpl fld="2" item="15"/>
          <tpl hier="10" item="7"/>
          <tpl hier="11" item="9"/>
          <tpl fld="0" item="0"/>
        </tpls>
      </n>
      <m in="0">
        <tpls c="5">
          <tpl fld="1" item="0"/>
          <tpl fld="2" item="9"/>
          <tpl hier="10" item="7"/>
          <tpl hier="11" item="9"/>
          <tpl fld="0" item="1"/>
        </tpls>
      </m>
      <m in="0">
        <tpls c="5">
          <tpl fld="1" item="6"/>
          <tpl fld="2" item="4"/>
          <tpl hier="10" item="7"/>
          <tpl hier="11" item="9"/>
          <tpl fld="0" item="1"/>
        </tpls>
      </m>
      <m in="0">
        <tpls c="5">
          <tpl fld="1" item="2"/>
          <tpl fld="2" item="1"/>
          <tpl hier="10" item="7"/>
          <tpl hier="11" item="9"/>
          <tpl fld="0" item="1"/>
        </tpls>
      </m>
      <m in="0">
        <tpls c="5">
          <tpl fld="1" item="2"/>
          <tpl fld="2" item="2"/>
          <tpl hier="10" item="7"/>
          <tpl hier="11" item="9"/>
          <tpl fld="0" item="1"/>
        </tpls>
      </m>
      <m in="0">
        <tpls c="5">
          <tpl fld="1" item="3"/>
          <tpl fld="2" item="8"/>
          <tpl hier="10" item="7"/>
          <tpl hier="11" item="9"/>
          <tpl fld="0" item="1"/>
        </tpls>
      </m>
      <m in="0">
        <tpls c="5">
          <tpl fld="1" item="3"/>
          <tpl fld="2" item="9"/>
          <tpl hier="10" item="7"/>
          <tpl hier="11" item="9"/>
          <tpl fld="0" item="1"/>
        </tpls>
      </m>
      <n v="-600.75" in="0">
        <tpls c="5">
          <tpl fld="1" item="5"/>
          <tpl fld="2" item="11"/>
          <tpl hier="10" item="7"/>
          <tpl hier="11" item="9"/>
          <tpl fld="0" item="0"/>
        </tpls>
      </n>
      <n v="-20324.25" in="0">
        <tpls c="5">
          <tpl fld="1" item="9"/>
          <tpl fld="2" item="6"/>
          <tpl hier="10" item="7"/>
          <tpl hier="11" item="9"/>
          <tpl fld="0" item="0"/>
        </tpls>
      </n>
      <m in="0">
        <tpls c="5">
          <tpl fld="1" item="4"/>
          <tpl fld="2" item="7"/>
          <tpl hier="10" item="7"/>
          <tpl hier="11" item="9"/>
          <tpl fld="0" item="0"/>
        </tpls>
      </m>
      <m in="0">
        <tpls c="5">
          <tpl fld="1" item="4"/>
          <tpl fld="2" item="0"/>
          <tpl hier="10" item="7"/>
          <tpl hier="11" item="9"/>
          <tpl fld="0" item="1"/>
        </tpls>
      </m>
      <n v="-630" in="0">
        <tpls c="5">
          <tpl fld="1" item="7"/>
          <tpl fld="2" item="11"/>
          <tpl hier="10" item="7"/>
          <tpl hier="11" item="9"/>
          <tpl fld="0" item="0"/>
        </tpls>
      </n>
      <m in="0">
        <tpls c="5">
          <tpl fld="1" item="3"/>
          <tpl fld="2" item="13"/>
          <tpl hier="10" item="7"/>
          <tpl hier="11" item="9"/>
          <tpl fld="0" item="1"/>
        </tpls>
      </m>
      <m in="0">
        <tpls c="5">
          <tpl fld="1" item="11"/>
          <tpl fld="2" item="0"/>
          <tpl hier="10" item="7"/>
          <tpl hier="11" item="9"/>
          <tpl fld="0" item="1"/>
        </tpls>
      </m>
      <m in="0">
        <tpls c="5">
          <tpl fld="1" item="11"/>
          <tpl fld="2" item="14"/>
          <tpl hier="10" item="7"/>
          <tpl hier="11" item="9"/>
          <tpl fld="0" item="0"/>
        </tpls>
      </m>
      <m in="0">
        <tpls c="4">
          <tpl fld="2" item="0"/>
          <tpl hier="10" item="7"/>
          <tpl hier="11" item="9"/>
          <tpl fld="0" item="1"/>
        </tpls>
      </m>
      <n v="-347955.5" in="0">
        <tpls c="5">
          <tpl fld="1" item="6"/>
          <tpl hier="9" item="4294967295"/>
          <tpl hier="10" item="7"/>
          <tpl hier="11" item="9"/>
          <tpl fld="0" item="0"/>
        </tpls>
      </n>
      <m in="0">
        <tpls c="4">
          <tpl fld="2" item="15"/>
          <tpl hier="10" item="7"/>
          <tpl hier="11" item="9"/>
          <tpl fld="0" item="1"/>
        </tpls>
      </m>
      <m in="0">
        <tpls c="5">
          <tpl fld="1" item="0"/>
          <tpl fld="2" item="9"/>
          <tpl hier="10" item="7"/>
          <tpl hier="11" item="9"/>
          <tpl fld="0" item="0"/>
        </tpls>
      </m>
      <m in="0">
        <tpls c="4">
          <tpl fld="2" item="4"/>
          <tpl hier="10" item="7"/>
          <tpl hier="11" item="9"/>
          <tpl fld="0" item="1"/>
        </tpls>
      </m>
      <n v="-7155" in="0">
        <tpls c="5">
          <tpl fld="1" item="8"/>
          <tpl fld="2" item="15"/>
          <tpl hier="10" item="7"/>
          <tpl hier="11" item="9"/>
          <tpl fld="0" item="0"/>
        </tpls>
      </n>
      <m in="0">
        <tpls c="5">
          <tpl fld="1" item="3"/>
          <tpl fld="2" item="8"/>
          <tpl hier="10" item="7"/>
          <tpl hier="11" item="9"/>
          <tpl fld="0" item="0"/>
        </tpls>
      </m>
      <n v="-548.75" in="0">
        <tpls c="5">
          <tpl fld="1" item="3"/>
          <tpl fld="2" item="11"/>
          <tpl hier="10" item="7"/>
          <tpl hier="11" item="9"/>
          <tpl fld="0" item="0"/>
        </tpls>
      </n>
      <m in="0">
        <tpls c="5">
          <tpl fld="1" item="11"/>
          <tpl fld="2" item="14"/>
          <tpl hier="10" item="7"/>
          <tpl hier="11" item="9"/>
          <tpl fld="0" item="1"/>
        </tpls>
      </m>
      <m in="0">
        <tpls c="5">
          <tpl fld="1" item="8"/>
          <tpl fld="2" item="15"/>
          <tpl hier="10" item="7"/>
          <tpl hier="11" item="9"/>
          <tpl fld="0" item="1"/>
        </tpls>
      </m>
      <m in="0">
        <tpls c="5">
          <tpl fld="1" item="3"/>
          <tpl fld="2" item="1"/>
          <tpl hier="10" item="7"/>
          <tpl hier="11" item="9"/>
          <tpl fld="0" item="1"/>
        </tpls>
      </m>
      <m in="0">
        <tpls c="5">
          <tpl fld="1" item="9"/>
          <tpl fld="2" item="1"/>
          <tpl hier="10" item="7"/>
          <tpl hier="11" item="9"/>
          <tpl fld="0" item="1"/>
        </tpls>
      </m>
      <m in="0">
        <tpls c="5">
          <tpl fld="1" item="9"/>
          <tpl fld="2" item="12"/>
          <tpl hier="10" item="7"/>
          <tpl hier="11" item="9"/>
          <tpl fld="0" item="1"/>
        </tpls>
      </m>
      <m in="0">
        <tpls c="5">
          <tpl fld="1" item="10"/>
          <tpl fld="2" item="14"/>
          <tpl hier="10" item="7"/>
          <tpl hier="11" item="9"/>
          <tpl fld="0" item="0"/>
        </tpls>
      </m>
      <n v="-5368" in="0">
        <tpls c="5">
          <tpl fld="1" item="0"/>
          <tpl fld="2" item="12"/>
          <tpl hier="10" item="7"/>
          <tpl hier="11" item="9"/>
          <tpl fld="0" item="0"/>
        </tpls>
      </n>
      <m in="0">
        <tpls c="5">
          <tpl fld="1" item="7"/>
          <tpl fld="2" item="5"/>
          <tpl hier="10" item="7"/>
          <tpl hier="11" item="9"/>
          <tpl fld="0" item="1"/>
        </tpls>
      </m>
      <n v="-4051" in="0">
        <tpls c="5">
          <tpl fld="1" item="11"/>
          <tpl fld="2" item="1"/>
          <tpl hier="10" item="7"/>
          <tpl hier="11" item="9"/>
          <tpl fld="0" item="0"/>
        </tpls>
      </n>
      <n v="-4966.75" in="0">
        <tpls c="5">
          <tpl fld="1" item="2"/>
          <tpl fld="2" item="12"/>
          <tpl hier="10" item="7"/>
          <tpl hier="11" item="9"/>
          <tpl fld="0" item="0"/>
        </tpls>
      </n>
      <m in="0">
        <tpls c="5">
          <tpl fld="1" item="8"/>
          <tpl fld="2" item="14"/>
          <tpl hier="10" item="7"/>
          <tpl hier="11" item="9"/>
          <tpl fld="0" item="0"/>
        </tpls>
      </m>
      <m in="0">
        <tpls c="5">
          <tpl fld="1" item="7"/>
          <tpl fld="2" item="15"/>
          <tpl hier="10" item="7"/>
          <tpl hier="11" item="9"/>
          <tpl fld="0" item="1"/>
        </tpls>
      </m>
      <m in="0">
        <tpls c="5">
          <tpl fld="1" item="2"/>
          <tpl fld="2" item="8"/>
          <tpl hier="10" item="7"/>
          <tpl hier="11" item="9"/>
          <tpl fld="0" item="0"/>
        </tpls>
      </m>
      <n v="-191221.25" in="0">
        <tpls c="5">
          <tpl fld="1" item="3"/>
          <tpl fld="2" item="0"/>
          <tpl hier="10" item="7"/>
          <tpl hier="11" item="9"/>
          <tpl fld="0" item="0"/>
        </tpls>
      </n>
      <m in="0">
        <tpls c="5">
          <tpl fld="1" item="8"/>
          <tpl fld="2" item="8"/>
          <tpl hier="10" item="7"/>
          <tpl hier="11" item="9"/>
          <tpl fld="0" item="1"/>
        </tpls>
      </m>
      <m in="0">
        <tpls c="5">
          <tpl fld="1" item="5"/>
          <tpl fld="2" item="12"/>
          <tpl hier="10" item="7"/>
          <tpl hier="11" item="9"/>
          <tpl fld="0" item="1"/>
        </tpls>
      </m>
      <m in="0">
        <tpls c="5">
          <tpl fld="1" item="8"/>
          <tpl fld="2" item="14"/>
          <tpl hier="10" item="7"/>
          <tpl hier="11" item="9"/>
          <tpl fld="0" item="1"/>
        </tpls>
      </m>
      <n v="-5956.75" in="0">
        <tpls c="5">
          <tpl fld="1" item="6"/>
          <tpl fld="2" item="15"/>
          <tpl hier="10" item="7"/>
          <tpl hier="11" item="9"/>
          <tpl fld="0" item="0"/>
        </tpls>
      </n>
      <n v="-18513" in="0">
        <tpls c="5">
          <tpl fld="1" item="10"/>
          <tpl fld="2" item="6"/>
          <tpl hier="10" item="7"/>
          <tpl hier="11" item="9"/>
          <tpl fld="0" item="0"/>
        </tpls>
      </n>
      <m in="0">
        <tpls c="5">
          <tpl fld="1" item="11"/>
          <tpl fld="2" item="4"/>
          <tpl hier="10" item="7"/>
          <tpl hier="11" item="9"/>
          <tpl fld="0" item="0"/>
        </tpls>
      </m>
      <m in="0">
        <tpls c="5">
          <tpl fld="1" item="0"/>
          <tpl fld="2" item="0"/>
          <tpl hier="10" item="7"/>
          <tpl hier="11" item="9"/>
          <tpl fld="0" item="1"/>
        </tpls>
      </m>
      <m in="0">
        <tpls c="5">
          <tpl fld="1" item="1"/>
          <tpl fld="2" item="2"/>
          <tpl hier="10" item="7"/>
          <tpl hier="11" item="9"/>
          <tpl fld="0" item="1"/>
        </tpls>
      </m>
      <m in="0">
        <tpls c="5">
          <tpl fld="1" item="11"/>
          <tpl fld="2" item="10"/>
          <tpl hier="10" item="7"/>
          <tpl hier="11" item="9"/>
          <tpl fld="0" item="1"/>
        </tpls>
      </m>
      <m in="0">
        <tpls c="5">
          <tpl fld="1" item="11"/>
          <tpl hier="9" item="4294967295"/>
          <tpl hier="10" item="7"/>
          <tpl hier="11" item="9"/>
          <tpl fld="0" item="1"/>
        </tpls>
      </m>
      <n v="-2479.75" in="0">
        <tpls c="5">
          <tpl fld="1" item="8"/>
          <tpl fld="2" item="3"/>
          <tpl hier="10" item="7"/>
          <tpl hier="11" item="9"/>
          <tpl fld="0" item="0"/>
        </tpls>
      </n>
      <m in="0">
        <tpls c="5">
          <tpl fld="1" item="10"/>
          <tpl fld="2" item="7"/>
          <tpl hier="10" item="7"/>
          <tpl hier="11" item="9"/>
          <tpl fld="0" item="1"/>
        </tpls>
      </m>
      <n v="-11801.5" in="0">
        <tpls c="5">
          <tpl fld="1" item="10"/>
          <tpl fld="2" item="10"/>
          <tpl hier="10" item="7"/>
          <tpl hier="11" item="9"/>
          <tpl fld="0" item="0"/>
        </tpls>
      </n>
      <n v="-192807" in="0">
        <tpls c="5">
          <tpl fld="1" item="11"/>
          <tpl fld="2" item="0"/>
          <tpl hier="10" item="7"/>
          <tpl hier="11" item="9"/>
          <tpl fld="0" item="0"/>
        </tpls>
      </n>
      <m in="0">
        <tpls c="5">
          <tpl fld="1" item="3"/>
          <tpl fld="2" item="4"/>
          <tpl hier="10" item="7"/>
          <tpl hier="11" item="9"/>
          <tpl fld="0" item="1"/>
        </tpls>
      </m>
      <m in="0">
        <tpls c="5">
          <tpl fld="1" item="10"/>
          <tpl fld="2" item="13"/>
          <tpl hier="10" item="7"/>
          <tpl hier="11" item="9"/>
          <tpl fld="0" item="1"/>
        </tpls>
      </m>
      <m in="0">
        <tpls c="5">
          <tpl fld="1" item="5"/>
          <tpl fld="2" item="3"/>
          <tpl hier="10" item="7"/>
          <tpl hier="11" item="9"/>
          <tpl fld="0" item="1"/>
        </tpls>
      </m>
      <n v="-6753" in="0">
        <tpls c="5">
          <tpl fld="1" item="8"/>
          <tpl fld="2" item="13"/>
          <tpl hier="10" item="7"/>
          <tpl hier="11" item="9"/>
          <tpl fld="0" item="0"/>
        </tpls>
      </n>
      <m in="0">
        <tpls c="5">
          <tpl fld="1" item="0"/>
          <tpl fld="2" item="2"/>
          <tpl hier="10" item="7"/>
          <tpl hier="11" item="9"/>
          <tpl fld="0" item="1"/>
        </tpls>
      </m>
      <m in="0">
        <tpls c="5">
          <tpl fld="1" item="6"/>
          <tpl fld="2" item="2"/>
          <tpl hier="10" item="7"/>
          <tpl hier="11" item="9"/>
          <tpl fld="0" item="0"/>
        </tpls>
      </m>
      <m in="0">
        <tpls c="5">
          <tpl fld="1" item="8"/>
          <tpl fld="2" item="10"/>
          <tpl hier="10" item="7"/>
          <tpl hier="11" item="9"/>
          <tpl fld="0" item="1"/>
        </tpls>
      </m>
      <m in="0">
        <tpls c="5">
          <tpl fld="1" item="0"/>
          <tpl fld="2" item="2"/>
          <tpl hier="10" item="7"/>
          <tpl hier="11" item="9"/>
          <tpl fld="0" item="0"/>
        </tpls>
      </m>
      <n v="-4700" in="0">
        <tpls c="5">
          <tpl fld="1" item="6"/>
          <tpl fld="2" item="13"/>
          <tpl hier="10" item="7"/>
          <tpl hier="11" item="9"/>
          <tpl fld="0" item="0"/>
        </tpls>
      </n>
      <m in="0">
        <tpls c="5">
          <tpl fld="1" item="10"/>
          <tpl fld="2" item="9"/>
          <tpl hier="10" item="7"/>
          <tpl hier="11" item="9"/>
          <tpl fld="0" item="0"/>
        </tpls>
      </m>
      <m in="0">
        <tpls c="5">
          <tpl fld="1" item="10"/>
          <tpl fld="2" item="1"/>
          <tpl hier="10" item="7"/>
          <tpl hier="11" item="9"/>
          <tpl fld="0" item="1"/>
        </tpls>
      </m>
      <m in="0">
        <tpls c="5">
          <tpl fld="1" item="8"/>
          <tpl fld="2" item="7"/>
          <tpl hier="10" item="7"/>
          <tpl hier="11" item="9"/>
          <tpl fld="0" item="1"/>
        </tpls>
      </m>
      <n v="-17168" in="0">
        <tpls c="5">
          <tpl fld="1" item="5"/>
          <tpl fld="2" item="6"/>
          <tpl hier="10" item="7"/>
          <tpl hier="11" item="9"/>
          <tpl fld="0" item="0"/>
        </tpls>
      </n>
      <m in="0">
        <tpls c="5">
          <tpl fld="1" item="4"/>
          <tpl fld="2" item="8"/>
          <tpl hier="10" item="7"/>
          <tpl hier="11" item="9"/>
          <tpl fld="0" item="0"/>
        </tpls>
      </m>
      <n v="-1476.25" in="0">
        <tpls c="5">
          <tpl fld="1" item="9"/>
          <tpl fld="2" item="5"/>
          <tpl hier="10" item="7"/>
          <tpl hier="11" item="9"/>
          <tpl fld="0" item="0"/>
        </tpls>
      </n>
      <m in="0">
        <tpls c="5">
          <tpl fld="1" item="10"/>
          <tpl hier="9" item="4294967295"/>
          <tpl hier="10" item="7"/>
          <tpl hier="11" item="9"/>
          <tpl fld="0" item="1"/>
        </tpls>
      </m>
      <n v="-4390.25" in="0">
        <tpls c="5">
          <tpl fld="1" item="9"/>
          <tpl fld="2" item="12"/>
          <tpl hier="10" item="7"/>
          <tpl hier="11" item="9"/>
          <tpl fld="0" item="0"/>
        </tpls>
      </n>
      <m in="0">
        <tpls c="5">
          <tpl fld="1" item="5"/>
          <tpl fld="2" item="2"/>
          <tpl hier="10" item="7"/>
          <tpl hier="11" item="9"/>
          <tpl fld="0" item="0"/>
        </tpls>
      </m>
      <m in="0">
        <tpls c="5">
          <tpl fld="1" item="7"/>
          <tpl fld="2" item="4"/>
          <tpl hier="10" item="7"/>
          <tpl hier="11" item="9"/>
          <tpl fld="0" item="0"/>
        </tpls>
      </m>
      <n v="-16113" in="0">
        <tpls c="5">
          <tpl fld="1" item="3"/>
          <tpl fld="2" item="6"/>
          <tpl hier="10" item="7"/>
          <tpl hier="11" item="9"/>
          <tpl fld="0" item="0"/>
        </tpls>
      </n>
      <m in="0">
        <tpls c="5">
          <tpl fld="1" item="4"/>
          <tpl fld="2" item="13"/>
          <tpl hier="10" item="7"/>
          <tpl hier="11" item="9"/>
          <tpl fld="0" item="1"/>
        </tpls>
      </m>
      <m in="0">
        <tpls c="5">
          <tpl fld="1" item="9"/>
          <tpl fld="2" item="15"/>
          <tpl hier="10" item="7"/>
          <tpl hier="11" item="9"/>
          <tpl fld="0" item="1"/>
        </tpls>
      </m>
      <n v="-2374.5" in="0">
        <tpls c="5">
          <tpl fld="1" item="1"/>
          <tpl fld="2" item="3"/>
          <tpl hier="10" item="7"/>
          <tpl hier="11" item="9"/>
          <tpl fld="0" item="0"/>
        </tpls>
      </n>
      <m in="0">
        <tpls c="5">
          <tpl fld="1" item="7"/>
          <tpl fld="2" item="8"/>
          <tpl hier="10" item="7"/>
          <tpl hier="11" item="9"/>
          <tpl fld="0" item="0"/>
        </tpls>
      </m>
      <n v="-14459" in="0">
        <tpls c="4">
          <tpl fld="2" item="5"/>
          <tpl hier="10" item="7"/>
          <tpl hier="11" item="9"/>
          <tpl fld="0" item="0"/>
        </tpls>
      </n>
      <n v="-12465.25" in="0">
        <tpls c="5">
          <tpl fld="1" item="1"/>
          <tpl fld="2" item="10"/>
          <tpl hier="10" item="7"/>
          <tpl hier="11" item="9"/>
          <tpl fld="0" item="0"/>
        </tpls>
      </n>
      <m in="0">
        <tpls c="5">
          <tpl fld="1" item="10"/>
          <tpl fld="2" item="0"/>
          <tpl hier="10" item="7"/>
          <tpl hier="11" item="9"/>
          <tpl fld="0" item="1"/>
        </tpls>
      </m>
      <m in="0">
        <tpls c="5">
          <tpl fld="1" item="3"/>
          <tpl fld="2" item="12"/>
          <tpl hier="10" item="7"/>
          <tpl hier="11" item="9"/>
          <tpl fld="0" item="1"/>
        </tpls>
      </m>
      <m in="0">
        <tpls c="4">
          <tpl fld="2" item="9"/>
          <tpl hier="10" item="7"/>
          <tpl hier="11" item="9"/>
          <tpl fld="0" item="0"/>
        </tpls>
      </m>
      <n v="-4371" in="0">
        <tpls c="5">
          <tpl fld="1" item="2"/>
          <tpl fld="2" item="1"/>
          <tpl hier="10" item="7"/>
          <tpl hier="11" item="9"/>
          <tpl fld="0" item="0"/>
        </tpls>
      </n>
      <m in="0">
        <tpls c="4">
          <tpl fld="2" item="14"/>
          <tpl hier="10" item="7"/>
          <tpl hier="11" item="9"/>
          <tpl fld="0" item="0"/>
        </tpls>
      </m>
      <m in="0">
        <tpls c="5">
          <tpl fld="1" item="2"/>
          <tpl fld="2" item="10"/>
          <tpl hier="10" item="7"/>
          <tpl hier="11" item="9"/>
          <tpl fld="0" item="1"/>
        </tpls>
      </m>
      <m in="0">
        <tpls c="5">
          <tpl fld="1" item="6"/>
          <tpl fld="2" item="8"/>
          <tpl hier="10" item="7"/>
          <tpl hier="11" item="9"/>
          <tpl fld="0" item="1"/>
        </tpls>
      </m>
      <n v="-53906.5" in="0">
        <tpls c="4">
          <tpl fld="2" item="1"/>
          <tpl hier="10" item="7"/>
          <tpl hier="11" item="9"/>
          <tpl fld="0" item="0"/>
        </tpls>
      </n>
      <m in="0">
        <tpls c="5">
          <tpl fld="1" item="8"/>
          <tpl fld="2" item="6"/>
          <tpl hier="10" item="7"/>
          <tpl hier="11" item="9"/>
          <tpl fld="0" item="1"/>
        </tpls>
      </m>
      <m in="0">
        <tpls c="4">
          <tpl fld="2" item="8"/>
          <tpl hier="10" item="7"/>
          <tpl hier="11" item="9"/>
          <tpl fld="0" item="0"/>
        </tpls>
      </m>
      <m in="0">
        <tpls c="5">
          <tpl fld="1" item="1"/>
          <tpl hier="9" item="4294967295"/>
          <tpl hier="10" item="7"/>
          <tpl hier="11" item="9"/>
          <tpl fld="0" item="1"/>
        </tpls>
      </m>
      <m in="0">
        <tpls c="5">
          <tpl fld="1" item="8"/>
          <tpl fld="2" item="4"/>
          <tpl hier="10" item="7"/>
          <tpl hier="11" item="9"/>
          <tpl fld="0" item="0"/>
        </tpls>
      </m>
      <m in="0">
        <tpls c="5">
          <tpl fld="1" item="4"/>
          <tpl fld="2" item="8"/>
          <tpl hier="10" item="7"/>
          <tpl hier="11" item="9"/>
          <tpl fld="0" item="1"/>
        </tpls>
      </m>
      <n v="-17308" in="0">
        <tpls c="5">
          <tpl fld="1" item="7"/>
          <tpl fld="2" item="10"/>
          <tpl hier="10" item="7"/>
          <tpl hier="11" item="9"/>
          <tpl fld="0" item="0"/>
        </tpls>
      </n>
      <n v="-5290" in="0">
        <tpls c="5">
          <tpl fld="1" item="1"/>
          <tpl fld="2" item="15"/>
          <tpl hier="10" item="7"/>
          <tpl hier="11" item="9"/>
          <tpl fld="0" item="0"/>
        </tpls>
      </n>
      <n v="-1035" in="0">
        <tpls c="5">
          <tpl fld="1" item="2"/>
          <tpl fld="2" item="5"/>
          <tpl hier="10" item="7"/>
          <tpl hier="11" item="9"/>
          <tpl fld="0" item="0"/>
        </tpls>
      </n>
      <n v="-333934.25" in="0">
        <tpls c="5">
          <tpl fld="1" item="10"/>
          <tpl hier="9" item="4294967295"/>
          <tpl hier="10" item="7"/>
          <tpl hier="11" item="9"/>
          <tpl fld="0" item="0"/>
        </tpls>
      </n>
      <m in="0">
        <tpls c="5">
          <tpl fld="1" item="2"/>
          <tpl fld="2" item="5"/>
          <tpl hier="10" item="7"/>
          <tpl hier="11" item="9"/>
          <tpl fld="0" item="1"/>
        </tpls>
      </m>
      <m in="0">
        <tpls c="5">
          <tpl fld="1" item="8"/>
          <tpl fld="2" item="13"/>
          <tpl hier="10" item="7"/>
          <tpl hier="11" item="9"/>
          <tpl fld="0" item="1"/>
        </tpls>
      </m>
      <m in="0">
        <tpls c="5">
          <tpl fld="1" item="6"/>
          <tpl fld="2" item="15"/>
          <tpl hier="10" item="7"/>
          <tpl hier="11" item="9"/>
          <tpl fld="0" item="1"/>
        </tpls>
      </m>
      <m in="0">
        <tpls c="5">
          <tpl fld="1" item="7"/>
          <tpl fld="2" item="3"/>
          <tpl hier="10" item="7"/>
          <tpl hier="11" item="9"/>
          <tpl fld="0" item="1"/>
        </tpls>
      </m>
      <m in="0">
        <tpls c="5">
          <tpl fld="1" item="9"/>
          <tpl fld="2" item="14"/>
          <tpl hier="10" item="7"/>
          <tpl hier="11" item="9"/>
          <tpl fld="0" item="1"/>
        </tpls>
      </m>
      <m in="0">
        <tpls c="5">
          <tpl fld="1" item="7"/>
          <tpl fld="2" item="2"/>
          <tpl hier="10" item="7"/>
          <tpl hier="11" item="9"/>
          <tpl fld="0" item="0"/>
        </tpls>
      </m>
      <m in="0">
        <tpls c="4">
          <tpl fld="2" item="2"/>
          <tpl hier="10" item="7"/>
          <tpl hier="11" item="9"/>
          <tpl fld="0" item="1"/>
        </tpls>
      </m>
      <n v="-5772.25" in="0">
        <tpls c="5">
          <tpl fld="1" item="7"/>
          <tpl fld="2" item="15"/>
          <tpl hier="10" item="7"/>
          <tpl hier="11" item="9"/>
          <tpl fld="0" item="0"/>
        </tpls>
      </n>
      <n v="-261651" in="0">
        <tpls c="5">
          <tpl fld="1" item="0"/>
          <tpl fld="2" item="0"/>
          <tpl hier="10" item="7"/>
          <tpl hier="11" item="9"/>
          <tpl fld="0" item="0"/>
        </tpls>
      </n>
      <m in="0">
        <tpls c="5">
          <tpl fld="1" item="4"/>
          <tpl fld="2" item="7"/>
          <tpl hier="10" item="7"/>
          <tpl hier="11" item="9"/>
          <tpl fld="0" item="1"/>
        </tpls>
      </m>
      <m in="0">
        <tpls c="5">
          <tpl fld="1" item="0"/>
          <tpl fld="2" item="1"/>
          <tpl hier="10" item="7"/>
          <tpl hier="11" item="9"/>
          <tpl fld="0" item="1"/>
        </tpls>
      </m>
      <m in="0">
        <tpls c="5">
          <tpl fld="1" item="9"/>
          <tpl fld="2" item="6"/>
          <tpl hier="10" item="7"/>
          <tpl hier="11" item="9"/>
          <tpl fld="0" item="1"/>
        </tpls>
      </m>
      <m in="0">
        <tpls c="5">
          <tpl fld="1" item="10"/>
          <tpl fld="2" item="10"/>
          <tpl hier="10" item="7"/>
          <tpl hier="11" item="9"/>
          <tpl fld="0" item="1"/>
        </tpls>
      </m>
      <n v="-5149.5" in="0">
        <tpls c="5">
          <tpl fld="1" item="0"/>
          <tpl fld="2" item="1"/>
          <tpl hier="10" item="7"/>
          <tpl hier="11" item="9"/>
          <tpl fld="0" item="0"/>
        </tpls>
      </n>
      <n v="-4519.25" in="0">
        <tpls c="5">
          <tpl fld="1" item="1"/>
          <tpl fld="2" item="1"/>
          <tpl hier="10" item="7"/>
          <tpl hier="11" item="9"/>
          <tpl fld="0" item="0"/>
        </tpls>
      </n>
      <m in="0">
        <tpls c="5">
          <tpl fld="1" item="1"/>
          <tpl fld="2" item="12"/>
          <tpl hier="10" item="7"/>
          <tpl hier="11" item="9"/>
          <tpl fld="0" item="1"/>
        </tpls>
      </m>
      <n v="-246487.25" in="0">
        <tpls c="5">
          <tpl fld="1" item="7"/>
          <tpl fld="2" item="0"/>
          <tpl hier="10" item="7"/>
          <tpl hier="11" item="9"/>
          <tpl fld="0" item="0"/>
        </tpls>
      </n>
      <m in="0">
        <tpls c="5">
          <tpl fld="1" item="9"/>
          <tpl fld="2" item="4"/>
          <tpl hier="10" item="7"/>
          <tpl hier="11" item="9"/>
          <tpl fld="0" item="1"/>
        </tpls>
      </m>
      <m in="0">
        <tpls c="5">
          <tpl fld="1" item="3"/>
          <tpl fld="2" item="10"/>
          <tpl hier="10" item="7"/>
          <tpl hier="11" item="9"/>
          <tpl fld="0" item="1"/>
        </tpls>
      </m>
      <m in="0">
        <tpls c="5">
          <tpl fld="1" item="2"/>
          <tpl fld="2" item="4"/>
          <tpl hier="10" item="7"/>
          <tpl hier="11" item="9"/>
          <tpl fld="0" item="0"/>
        </tpls>
      </m>
      <n v="-270305" in="0">
        <tpls c="5">
          <tpl fld="1" item="1"/>
          <tpl hier="9" item="4294967295"/>
          <tpl hier="10" item="7"/>
          <tpl hier="11" item="9"/>
          <tpl fld="0" item="0"/>
        </tpls>
      </n>
      <m in="0">
        <tpls c="5">
          <tpl fld="1" item="11"/>
          <tpl fld="2" item="8"/>
          <tpl hier="10" item="7"/>
          <tpl hier="11" item="9"/>
          <tpl fld="0" item="1"/>
        </tpls>
      </m>
      <m in="0">
        <tpls c="5">
          <tpl fld="1" item="1"/>
          <tpl fld="2" item="6"/>
          <tpl hier="10" item="7"/>
          <tpl hier="11" item="9"/>
          <tpl fld="0" item="1"/>
        </tpls>
      </m>
      <m in="0">
        <tpls c="5">
          <tpl fld="1" item="0"/>
          <tpl fld="2" item="7"/>
          <tpl hier="10" item="7"/>
          <tpl hier="11" item="9"/>
          <tpl fld="0" item="1"/>
        </tpls>
      </m>
      <n v="-1340.25" in="0">
        <tpls c="5">
          <tpl fld="1" item="1"/>
          <tpl fld="2" item="5"/>
          <tpl hier="10" item="7"/>
          <tpl hier="11" item="9"/>
          <tpl fld="0" item="0"/>
        </tpls>
      </n>
      <m in="0">
        <tpls c="5">
          <tpl fld="1" item="0"/>
          <tpl fld="2" item="7"/>
          <tpl hier="10" item="7"/>
          <tpl hier="11" item="9"/>
          <tpl fld="0" item="0"/>
        </tpls>
      </m>
      <m in="0">
        <tpls c="5">
          <tpl fld="1" item="7"/>
          <tpl fld="2" item="2"/>
          <tpl hier="10" item="7"/>
          <tpl hier="11" item="9"/>
          <tpl fld="0" item="1"/>
        </tpls>
      </m>
      <m in="0">
        <tpls c="5">
          <tpl fld="1" item="8"/>
          <tpl hier="9" item="4294967295"/>
          <tpl hier="10" item="7"/>
          <tpl hier="11" item="9"/>
          <tpl fld="0" item="1"/>
        </tpls>
      </m>
      <m in="0">
        <tpls c="5">
          <tpl fld="1" item="1"/>
          <tpl fld="2" item="9"/>
          <tpl hier="10" item="7"/>
          <tpl hier="11" item="9"/>
          <tpl fld="0" item="0"/>
        </tpls>
      </m>
      <m in="0">
        <tpls c="5">
          <tpl fld="1" item="2"/>
          <tpl fld="2" item="7"/>
          <tpl hier="10" item="7"/>
          <tpl hier="11" item="9"/>
          <tpl fld="0" item="1"/>
        </tpls>
      </m>
      <m in="0">
        <tpls c="5">
          <tpl fld="1" item="8"/>
          <tpl fld="2" item="2"/>
          <tpl hier="10" item="7"/>
          <tpl hier="11" item="9"/>
          <tpl fld="0" item="0"/>
        </tpls>
      </m>
      <m in="0">
        <tpls c="5">
          <tpl fld="1" item="6"/>
          <tpl fld="2" item="5"/>
          <tpl hier="10" item="7"/>
          <tpl hier="11" item="9"/>
          <tpl fld="0" item="1"/>
        </tpls>
      </m>
      <m in="0">
        <tpls c="5">
          <tpl fld="1" item="8"/>
          <tpl fld="2" item="7"/>
          <tpl hier="10" item="7"/>
          <tpl hier="11" item="9"/>
          <tpl fld="0" item="0"/>
        </tpls>
      </m>
      <n v="-3607.75" in="0">
        <tpls c="5">
          <tpl fld="1" item="4"/>
          <tpl fld="2" item="12"/>
          <tpl hier="10" item="7"/>
          <tpl hier="11" item="9"/>
          <tpl fld="0" item="0"/>
        </tpls>
      </n>
      <m in="0">
        <tpls c="5">
          <tpl fld="1" item="7"/>
          <tpl fld="2" item="7"/>
          <tpl hier="10" item="7"/>
          <tpl hier="11" item="9"/>
          <tpl fld="0" item="0"/>
        </tpls>
      </m>
      <m in="0">
        <tpls c="5">
          <tpl fld="1" item="4"/>
          <tpl fld="2" item="1"/>
          <tpl hier="10" item="7"/>
          <tpl hier="11" item="9"/>
          <tpl fld="0" item="1"/>
        </tpls>
      </m>
      <n v="-725.5" in="0">
        <tpls c="5">
          <tpl fld="1" item="6"/>
          <tpl fld="2" item="11"/>
          <tpl hier="10" item="7"/>
          <tpl hier="11" item="9"/>
          <tpl fld="0" item="0"/>
        </tpls>
      </n>
      <n v="-5129.5" in="0">
        <tpls c="5">
          <tpl fld="1" item="2"/>
          <tpl fld="2" item="13"/>
          <tpl hier="10" item="7"/>
          <tpl hier="11" item="9"/>
          <tpl fld="0" item="0"/>
        </tpls>
      </n>
      <n v="-928.5" in="0">
        <tpls c="5">
          <tpl fld="1" item="4"/>
          <tpl fld="2" item="5"/>
          <tpl hier="10" item="7"/>
          <tpl hier="11" item="9"/>
          <tpl fld="0" item="0"/>
        </tpls>
      </n>
      <m in="0">
        <tpls c="5">
          <tpl fld="1" item="10"/>
          <tpl fld="2" item="14"/>
          <tpl hier="10" item="7"/>
          <tpl hier="11" item="9"/>
          <tpl fld="0" item="1"/>
        </tpls>
      </m>
      <m in="0">
        <tpls c="4">
          <tpl fld="2" item="6"/>
          <tpl hier="10" item="7"/>
          <tpl hier="11" item="9"/>
          <tpl fld="0" item="1"/>
        </tpls>
      </m>
      <m in="0">
        <tpls c="5">
          <tpl fld="1" item="6"/>
          <tpl hier="9" item="4294967295"/>
          <tpl hier="10" item="7"/>
          <tpl hier="11" item="9"/>
          <tpl fld="0" item="1"/>
        </tpls>
      </m>
      <n v="-5577.5" in="0">
        <tpls c="5">
          <tpl fld="1" item="11"/>
          <tpl fld="2" item="15"/>
          <tpl hier="10" item="7"/>
          <tpl hier="11" item="9"/>
          <tpl fld="0" item="0"/>
        </tpls>
      </n>
      <m in="0">
        <tpls c="5">
          <tpl fld="1" item="0"/>
          <tpl fld="2" item="10"/>
          <tpl hier="10" item="7"/>
          <tpl hier="11" item="9"/>
          <tpl fld="0" item="1"/>
        </tpls>
      </m>
      <n v="-5074.75" in="0">
        <tpls c="5">
          <tpl fld="1" item="7"/>
          <tpl fld="2" item="1"/>
          <tpl hier="10" item="7"/>
          <tpl hier="11" item="9"/>
          <tpl fld="0" item="0"/>
        </tpls>
      </n>
      <m in="0">
        <tpls c="5">
          <tpl fld="1" item="4"/>
          <tpl fld="2" item="3"/>
          <tpl hier="10" item="7"/>
          <tpl hier="11" item="9"/>
          <tpl fld="0" item="1"/>
        </tpls>
      </m>
      <m in="0">
        <tpls c="5">
          <tpl fld="1" item="6"/>
          <tpl fld="2" item="7"/>
          <tpl hier="10" item="7"/>
          <tpl hier="11" item="9"/>
          <tpl fld="0" item="0"/>
        </tpls>
      </m>
      <n v="-5622.25" in="0">
        <tpls c="5">
          <tpl fld="1" item="1"/>
          <tpl fld="2" item="13"/>
          <tpl hier="10" item="7"/>
          <tpl hier="11" item="9"/>
          <tpl fld="0" item="0"/>
        </tpls>
      </n>
      <m in="0">
        <tpls c="5">
          <tpl fld="1" item="4"/>
          <tpl fld="2" item="14"/>
          <tpl hier="10" item="7"/>
          <tpl hier="11" item="9"/>
          <tpl fld="0" item="1"/>
        </tpls>
      </m>
      <m in="0">
        <tpls c="4">
          <tpl hier="9" item="4294967295"/>
          <tpl hier="10" item="7"/>
          <tpl hier="11" item="9"/>
          <tpl fld="0" item="1"/>
        </tpls>
      </m>
      <m in="0">
        <tpls c="5">
          <tpl fld="1" item="0"/>
          <tpl fld="2" item="11"/>
          <tpl hier="10" item="7"/>
          <tpl hier="11" item="9"/>
          <tpl fld="0" item="1"/>
        </tpls>
      </m>
      <m in="0">
        <tpls c="5">
          <tpl fld="1" item="2"/>
          <tpl fld="2" item="7"/>
          <tpl hier="10" item="7"/>
          <tpl hier="11" item="9"/>
          <tpl fld="0" item="0"/>
        </tpls>
      </m>
      <m in="0">
        <tpls c="5">
          <tpl fld="1" item="4"/>
          <tpl fld="2" item="10"/>
          <tpl hier="10" item="7"/>
          <tpl hier="11" item="9"/>
          <tpl fld="0" item="1"/>
        </tpls>
      </m>
      <m in="0">
        <tpls c="5">
          <tpl fld="1" item="11"/>
          <tpl fld="2" item="12"/>
          <tpl hier="10" item="7"/>
          <tpl hier="11" item="9"/>
          <tpl fld="0" item="1"/>
        </tpls>
      </m>
      <m in="0">
        <tpls c="5">
          <tpl fld="1" item="6"/>
          <tpl fld="2" item="7"/>
          <tpl hier="10" item="7"/>
          <tpl hier="11" item="9"/>
          <tpl fld="0" item="1"/>
        </tpls>
      </m>
      <m in="0">
        <tpls c="4">
          <tpl fld="2" item="11"/>
          <tpl hier="10" item="7"/>
          <tpl hier="11" item="9"/>
          <tpl fld="0" item="1"/>
        </tpls>
      </m>
      <n v="-12959" in="0">
        <tpls c="5">
          <tpl fld="1" item="4"/>
          <tpl fld="2" item="10"/>
          <tpl hier="10" item="7"/>
          <tpl hier="11" item="9"/>
          <tpl fld="0" item="0"/>
        </tpls>
      </n>
      <m in="0">
        <tpls c="4">
          <tpl fld="2" item="2"/>
          <tpl hier="10" item="7"/>
          <tpl hier="11" item="9"/>
          <tpl fld="0" item="0"/>
        </tpls>
      </m>
      <m in="0">
        <tpls c="5">
          <tpl fld="1" item="7"/>
          <tpl fld="2" item="14"/>
          <tpl hier="10" item="7"/>
          <tpl hier="11" item="9"/>
          <tpl fld="0" item="0"/>
        </tpls>
      </m>
      <m in="0">
        <tpls c="4">
          <tpl fld="2" item="7"/>
          <tpl hier="10" item="7"/>
          <tpl hier="11" item="9"/>
          <tpl fld="0" item="0"/>
        </tpls>
      </m>
      <n v="-5502.5" in="0">
        <tpls c="5">
          <tpl fld="1" item="5"/>
          <tpl fld="2" item="13"/>
          <tpl hier="10" item="7"/>
          <tpl hier="11" item="9"/>
          <tpl fld="0" item="0"/>
        </tpls>
      </n>
      <m in="0">
        <tpls c="4">
          <tpl fld="2" item="1"/>
          <tpl hier="10" item="7"/>
          <tpl hier="11" item="9"/>
          <tpl fld="0" item="1"/>
        </tpls>
      </m>
      <m in="0">
        <tpls c="5">
          <tpl fld="1" item="0"/>
          <tpl fld="2" item="12"/>
          <tpl hier="10" item="7"/>
          <tpl hier="11" item="9"/>
          <tpl fld="0" item="1"/>
        </tpls>
      </m>
      <m in="0">
        <tpls c="5">
          <tpl fld="1" item="2"/>
          <tpl fld="2" item="8"/>
          <tpl hier="10" item="7"/>
          <tpl hier="11" item="9"/>
          <tpl fld="0" item="1"/>
        </tpls>
      </m>
      <m in="0">
        <tpls c="5">
          <tpl fld="1" item="7"/>
          <tpl fld="2" item="0"/>
          <tpl hier="10" item="7"/>
          <tpl hier="11" item="9"/>
          <tpl fld="0" item="1"/>
        </tpls>
      </m>
      <m in="0">
        <tpls c="4">
          <tpl fld="2" item="7"/>
          <tpl hier="10" item="7"/>
          <tpl hier="11" item="9"/>
          <tpl fld="0" item="1"/>
        </tpls>
      </m>
      <m in="0">
        <tpls c="5">
          <tpl fld="1" item="5"/>
          <tpl fld="2" item="13"/>
          <tpl hier="10" item="7"/>
          <tpl hier="11" item="9"/>
          <tpl fld="0" item="1"/>
        </tpls>
      </m>
      <n v="-219824.75" in="0">
        <tpls c="4">
          <tpl fld="2" item="6"/>
          <tpl hier="10" item="7"/>
          <tpl hier="11" item="9"/>
          <tpl fld="0" item="0"/>
        </tpls>
      </n>
      <n v="-677.25" in="0">
        <tpls c="5">
          <tpl fld="1" item="11"/>
          <tpl fld="2" item="11"/>
          <tpl hier="10" item="7"/>
          <tpl hier="11" item="9"/>
          <tpl fld="0" item="0"/>
        </tpls>
      </n>
      <m in="0">
        <tpls c="5">
          <tpl fld="1" item="11"/>
          <tpl fld="2" item="3"/>
          <tpl hier="10" item="7"/>
          <tpl hier="11" item="9"/>
          <tpl fld="0" item="1"/>
        </tpls>
      </m>
      <n v="-152345.5" in="0">
        <tpls c="4">
          <tpl fld="2" item="10"/>
          <tpl hier="10" item="7"/>
          <tpl hier="11" item="9"/>
          <tpl fld="0" item="0"/>
        </tpls>
      </n>
      <m in="0">
        <tpls c="5">
          <tpl fld="1" item="11"/>
          <tpl fld="2" item="9"/>
          <tpl hier="10" item="7"/>
          <tpl hier="11" item="9"/>
          <tpl fld="0" item="0"/>
        </tpls>
      </m>
      <n v="-2763496" in="0">
        <tpls c="4">
          <tpl fld="2" item="0"/>
          <tpl hier="10" item="7"/>
          <tpl hier="11" item="9"/>
          <tpl fld="0" item="0"/>
        </tpls>
      </n>
      <m in="0">
        <tpls c="5">
          <tpl fld="1" item="8"/>
          <tpl fld="2" item="1"/>
          <tpl hier="10" item="7"/>
          <tpl hier="11" item="9"/>
          <tpl fld="0" item="1"/>
        </tpls>
      </m>
      <m in="0">
        <tpls c="4">
          <tpl fld="2" item="5"/>
          <tpl hier="10" item="7"/>
          <tpl hier="11" item="9"/>
          <tpl fld="0" item="1"/>
        </tpls>
      </m>
      <m in="0">
        <tpls c="4">
          <tpl fld="2" item="10"/>
          <tpl hier="10" item="7"/>
          <tpl hier="11" item="9"/>
          <tpl fld="0" item="1"/>
        </tpls>
      </m>
      <n v="-1355" in="0">
        <tpls c="5">
          <tpl fld="1" item="11"/>
          <tpl fld="2" item="5"/>
          <tpl hier="10" item="7"/>
          <tpl hier="11" item="9"/>
          <tpl fld="0" item="0"/>
        </tpls>
      </n>
      <n v="-28008.25" in="0">
        <tpls c="4">
          <tpl fld="2" item="3"/>
          <tpl hier="10" item="7"/>
          <tpl hier="11" item="9"/>
          <tpl fld="0" item="0"/>
        </tpls>
      </n>
      <m in="0">
        <tpls c="5">
          <tpl fld="1" item="8"/>
          <tpl fld="2" item="4"/>
          <tpl hier="10" item="7"/>
          <tpl hier="11" item="9"/>
          <tpl fld="0" item="1"/>
        </tpls>
      </m>
      <n v="-10979" in="0">
        <tpls c="5">
          <tpl fld="1" item="11"/>
          <tpl fld="2" item="10"/>
          <tpl hier="10" item="7"/>
          <tpl hier="11" item="9"/>
          <tpl fld="0" item="0"/>
        </tpls>
      </n>
      <m in="0">
        <tpls c="5">
          <tpl fld="1" item="9"/>
          <tpl hier="9" item="4294967295"/>
          <tpl hier="10" item="7"/>
          <tpl hier="11" item="9"/>
          <tpl fld="0" item="1"/>
        </tpls>
      </m>
      <n v="-2809.5" in="0">
        <tpls c="5">
          <tpl fld="1" item="3"/>
          <tpl fld="2" item="3"/>
          <tpl hier="10" item="7"/>
          <tpl hier="11" item="9"/>
          <tpl fld="0" item="0"/>
        </tpls>
      </n>
      <m in="0">
        <tpls c="5">
          <tpl fld="1" item="9"/>
          <tpl fld="2" item="2"/>
          <tpl hier="10" item="7"/>
          <tpl hier="11" item="9"/>
          <tpl fld="0" item="0"/>
        </tpls>
      </m>
      <m in="0">
        <tpls c="5">
          <tpl fld="1" item="11"/>
          <tpl fld="2" item="2"/>
          <tpl hier="10" item="7"/>
          <tpl hier="11" item="9"/>
          <tpl fld="0" item="0"/>
        </tpls>
      </m>
      <n v="-569.75" in="0">
        <tpls c="5">
          <tpl fld="1" item="10"/>
          <tpl fld="2" item="11"/>
          <tpl hier="10" item="7"/>
          <tpl hier="11" item="9"/>
          <tpl fld="0" item="0"/>
        </tpls>
      </n>
      <m in="0">
        <tpls c="5">
          <tpl fld="1" item="1"/>
          <tpl fld="2" item="3"/>
          <tpl hier="10" item="7"/>
          <tpl hier="11" item="9"/>
          <tpl fld="0" item="1"/>
        </tpls>
      </m>
      <m in="0">
        <tpls c="5">
          <tpl fld="1" item="2"/>
          <tpl fld="2" item="12"/>
          <tpl hier="10" item="7"/>
          <tpl hier="11" item="9"/>
          <tpl fld="0" item="1"/>
        </tpls>
      </m>
      <m in="0">
        <tpls c="4">
          <tpl fld="2" item="4"/>
          <tpl hier="10" item="7"/>
          <tpl hier="11" item="9"/>
          <tpl fld="0" item="0"/>
        </tpls>
      </m>
      <m in="0">
        <tpls c="5">
          <tpl fld="1" item="5"/>
          <tpl fld="2" item="8"/>
          <tpl hier="10" item="7"/>
          <tpl hier="11" item="9"/>
          <tpl fld="0" item="0"/>
        </tpls>
      </m>
      <n v="-3548.5" in="0">
        <tpls c="5">
          <tpl fld="1" item="1"/>
          <tpl fld="2" item="12"/>
          <tpl hier="10" item="7"/>
          <tpl hier="11" item="9"/>
          <tpl fld="0" item="0"/>
        </tpls>
      </n>
      <m in="0">
        <tpls c="5">
          <tpl fld="1" item="2"/>
          <tpl hier="9" item="4294967295"/>
          <tpl hier="10" item="7"/>
          <tpl hier="11" item="9"/>
          <tpl fld="0" item="1"/>
        </tpls>
      </m>
      <n v="-8617.5" in="0">
        <tpls c="5">
          <tpl fld="1" item="0"/>
          <tpl fld="2" item="15"/>
          <tpl hier="10" item="7"/>
          <tpl hier="11" item="9"/>
          <tpl fld="0" item="0"/>
        </tpls>
      </n>
      <m in="0">
        <tpls c="5">
          <tpl fld="1" item="10"/>
          <tpl fld="2" item="8"/>
          <tpl hier="10" item="7"/>
          <tpl hier="11" item="9"/>
          <tpl fld="0" item="1"/>
        </tpls>
      </m>
      <n v="-544" in="0">
        <tpls c="5">
          <tpl fld="1" item="4"/>
          <tpl fld="2" item="11"/>
          <tpl hier="10" item="7"/>
          <tpl hier="11" item="9"/>
          <tpl fld="0" item="0"/>
        </tpls>
      </n>
      <n v="-4724.75" in="0">
        <tpls c="5">
          <tpl fld="1" item="11"/>
          <tpl fld="2" item="12"/>
          <tpl hier="10" item="7"/>
          <tpl hier="11" item="9"/>
          <tpl fld="0" item="0"/>
        </tpls>
      </n>
      <n v="-5773" in="0">
        <tpls c="5">
          <tpl fld="1" item="5"/>
          <tpl fld="2" item="12"/>
          <tpl hier="10" item="7"/>
          <tpl hier="11" item="9"/>
          <tpl fld="0" item="0"/>
        </tpls>
      </n>
      <m in="0">
        <tpls c="5">
          <tpl fld="1" item="2"/>
          <tpl fld="2" item="15"/>
          <tpl hier="10" item="7"/>
          <tpl hier="11" item="9"/>
          <tpl fld="0" item="1"/>
        </tpls>
      </m>
      <n v="-22781" in="0">
        <tpls c="5">
          <tpl fld="1" item="6"/>
          <tpl fld="2" item="6"/>
          <tpl hier="10" item="7"/>
          <tpl hier="11" item="9"/>
          <tpl fld="0" item="0"/>
        </tpls>
      </n>
      <n v="-4547.25" in="0">
        <tpls c="5">
          <tpl fld="1" item="8"/>
          <tpl fld="2" item="1"/>
          <tpl hier="10" item="7"/>
          <tpl hier="11" item="9"/>
          <tpl fld="0" item="0"/>
        </tpls>
      </n>
      <m in="0">
        <tpls c="5">
          <tpl fld="1" item="9"/>
          <tpl fld="2" item="9"/>
          <tpl hier="10" item="7"/>
          <tpl hier="11" item="9"/>
          <tpl fld="0" item="0"/>
        </tpls>
      </m>
      <n v="-6879" in="0">
        <tpls c="5">
          <tpl fld="1" item="9"/>
          <tpl fld="2" item="15"/>
          <tpl hier="10" item="7"/>
          <tpl hier="11" item="9"/>
          <tpl fld="0" item="0"/>
        </tpls>
      </n>
      <m in="0">
        <tpls c="5">
          <tpl fld="1" item="2"/>
          <tpl fld="2" item="11"/>
          <tpl hier="10" item="7"/>
          <tpl hier="11" item="9"/>
          <tpl fld="0" item="1"/>
        </tpls>
      </m>
      <m in="0">
        <tpls c="5">
          <tpl fld="1" item="4"/>
          <tpl fld="2" item="14"/>
          <tpl hier="10" item="7"/>
          <tpl hier="11" item="9"/>
          <tpl fld="0" item="0"/>
        </tpls>
      </m>
      <n v="-279336.5" in="0">
        <tpls c="5">
          <tpl fld="1" item="2"/>
          <tpl fld="2" item="0"/>
          <tpl hier="10" item="7"/>
          <tpl hier="11" item="9"/>
          <tpl fld="0" item="0"/>
        </tpls>
      </n>
      <m in="0">
        <tpls c="5">
          <tpl fld="1" item="11"/>
          <tpl fld="2" item="1"/>
          <tpl hier="10" item="7"/>
          <tpl hier="11" item="9"/>
          <tpl fld="0" item="1"/>
        </tpls>
      </m>
      <n v="-212361.25" in="0">
        <tpls c="5">
          <tpl fld="1" item="5"/>
          <tpl fld="2" item="0"/>
          <tpl hier="10" item="7"/>
          <tpl hier="11" item="9"/>
          <tpl fld="0" item="0"/>
        </tpls>
      </n>
      <m in="0">
        <tpls c="5">
          <tpl fld="1" item="11"/>
          <tpl fld="2" item="9"/>
          <tpl hier="10" item="7"/>
          <tpl hier="11" item="9"/>
          <tpl fld="0" item="1"/>
        </tpls>
      </m>
      <m in="0">
        <tpls c="5">
          <tpl fld="1" item="6"/>
          <tpl fld="2" item="4"/>
          <tpl hier="10" item="7"/>
          <tpl hier="11" item="9"/>
          <tpl fld="0" item="0"/>
        </tpls>
      </m>
      <m in="0">
        <tpls c="5">
          <tpl fld="1" item="4"/>
          <tpl fld="2" item="4"/>
          <tpl hier="10" item="7"/>
          <tpl hier="11" item="9"/>
          <tpl fld="0" item="1"/>
        </tpls>
      </m>
      <n v="-5722.5" in="0">
        <tpls c="5">
          <tpl fld="1" item="3"/>
          <tpl fld="2" item="12"/>
          <tpl hier="10" item="7"/>
          <tpl hier="11" item="9"/>
          <tpl fld="0" item="0"/>
        </tpls>
      </n>
      <n v="-514.75" in="0">
        <tpls c="5">
          <tpl fld="1" item="2"/>
          <tpl fld="2" item="11"/>
          <tpl hier="10" item="7"/>
          <tpl hier="11" item="9"/>
          <tpl fld="0" item="0"/>
        </tpls>
      </n>
      <m in="0">
        <tpls c="5">
          <tpl fld="1" item="5"/>
          <tpl fld="2" item="8"/>
          <tpl hier="10" item="7"/>
          <tpl hier="11" item="9"/>
          <tpl fld="0" item="1"/>
        </tpls>
      </m>
      <n v="-1216.75" in="0">
        <tpls c="5">
          <tpl fld="1" item="7"/>
          <tpl fld="2" item="5"/>
          <tpl hier="10" item="7"/>
          <tpl hier="11" item="9"/>
          <tpl fld="0" item="0"/>
        </tpls>
      </n>
      <m in="0">
        <tpls c="5">
          <tpl fld="1" item="7"/>
          <tpl fld="2" item="7"/>
          <tpl hier="10" item="7"/>
          <tpl hier="11" item="9"/>
          <tpl fld="0" item="1"/>
        </tpls>
      </m>
      <n v="-14684.75" in="0">
        <tpls c="5">
          <tpl fld="1" item="2"/>
          <tpl fld="2" item="10"/>
          <tpl hier="10" item="7"/>
          <tpl hier="11" item="9"/>
          <tpl fld="0" item="0"/>
        </tpls>
      </n>
      <m in="0">
        <tpls c="5">
          <tpl fld="1" item="6"/>
          <tpl fld="2" item="11"/>
          <tpl hier="10" item="7"/>
          <tpl hier="11" item="9"/>
          <tpl fld="0" item="1"/>
        </tpls>
      </m>
      <m in="0">
        <tpls c="5">
          <tpl fld="1" item="2"/>
          <tpl fld="2" item="13"/>
          <tpl hier="10" item="7"/>
          <tpl hier="11" item="9"/>
          <tpl fld="0" item="1"/>
        </tpls>
      </m>
      <m in="0">
        <tpls c="5">
          <tpl fld="1" item="4"/>
          <tpl fld="2" item="4"/>
          <tpl hier="10" item="7"/>
          <tpl hier="11" item="9"/>
          <tpl fld="0" item="0"/>
        </tpls>
      </m>
      <m in="0">
        <tpls c="5">
          <tpl fld="1" item="7"/>
          <tpl fld="2" item="14"/>
          <tpl hier="10" item="7"/>
          <tpl hier="11" item="9"/>
          <tpl fld="0" item="1"/>
        </tpls>
      </m>
      <m in="0">
        <tpls c="4">
          <tpl fld="2" item="8"/>
          <tpl hier="10" item="7"/>
          <tpl hier="11" item="9"/>
          <tpl fld="0" item="1"/>
        </tpls>
      </m>
      <n v="-3442117" in="0">
        <tpls c="4">
          <tpl hier="9" item="4294967295"/>
          <tpl hier="10" item="7"/>
          <tpl hier="11" item="9"/>
          <tpl fld="0" item="0"/>
        </tpls>
      </n>
      <n v="-7255.25" in="0">
        <tpls c="5">
          <tpl fld="1" item="10"/>
          <tpl fld="2" item="15"/>
          <tpl hier="10" item="7"/>
          <tpl hier="11" item="9"/>
          <tpl fld="0" item="0"/>
        </tpls>
      </n>
      <n v="-9847.25" in="0">
        <tpls c="5">
          <tpl fld="1" item="0"/>
          <tpl fld="2" item="10"/>
          <tpl hier="10" item="7"/>
          <tpl hier="11" item="9"/>
          <tpl fld="0" item="0"/>
        </tpls>
      </n>
      <m in="0">
        <tpls c="5">
          <tpl fld="1" item="2"/>
          <tpl fld="2" item="2"/>
          <tpl hier="10" item="7"/>
          <tpl hier="11" item="9"/>
          <tpl fld="0" item="0"/>
        </tpls>
      </m>
      <n v="-5354.75" in="0">
        <tpls c="5">
          <tpl fld="1" item="4"/>
          <tpl fld="2" item="13"/>
          <tpl hier="10" item="7"/>
          <tpl hier="11" item="9"/>
          <tpl fld="0" item="0"/>
        </tpls>
      </n>
      <m in="0">
        <tpls c="5">
          <tpl fld="1" item="1"/>
          <tpl fld="2" item="10"/>
          <tpl hier="10" item="7"/>
          <tpl hier="11" item="9"/>
          <tpl fld="0" item="1"/>
        </tpls>
      </m>
      <n v="-6814.25" in="0">
        <tpls c="4">
          <tpl fld="2" item="11"/>
          <tpl hier="10" item="7"/>
          <tpl hier="11" item="9"/>
          <tpl fld="0" item="0"/>
        </tpls>
      </n>
      <m in="0">
        <tpls c="4">
          <tpl fld="2" item="3"/>
          <tpl hier="10" item="7"/>
          <tpl hier="11" item="9"/>
          <tpl fld="0" item="1"/>
        </tpls>
      </m>
      <m in="0">
        <tpls c="5">
          <tpl fld="1" item="10"/>
          <tpl fld="2" item="15"/>
          <tpl hier="10" item="7"/>
          <tpl hier="11" item="9"/>
          <tpl fld="0" item="1"/>
        </tpls>
      </m>
      <m in="0">
        <tpls c="5">
          <tpl fld="1" item="1"/>
          <tpl fld="2" item="8"/>
          <tpl hier="10" item="7"/>
          <tpl hier="11" item="9"/>
          <tpl fld="0" item="1"/>
        </tpls>
      </m>
      <m in="0">
        <tpls c="5">
          <tpl fld="1" item="6"/>
          <tpl fld="2" item="3"/>
          <tpl hier="10" item="7"/>
          <tpl hier="11" item="9"/>
          <tpl fld="0" item="1"/>
        </tpls>
      </m>
      <m in="0">
        <tpls c="5">
          <tpl fld="1" item="8"/>
          <tpl fld="2" item="5"/>
          <tpl hier="10" item="7"/>
          <tpl hier="11" item="9"/>
          <tpl fld="0" item="1"/>
        </tpls>
      </m>
      <m in="0">
        <tpls c="5">
          <tpl fld="1" item="5"/>
          <tpl fld="2" item="10"/>
          <tpl hier="10" item="7"/>
          <tpl hier="11" item="9"/>
          <tpl fld="0" item="1"/>
        </tpls>
      </m>
      <m in="0">
        <tpls c="5">
          <tpl fld="1" item="1"/>
          <tpl fld="2" item="13"/>
          <tpl hier="10" item="7"/>
          <tpl hier="11" item="9"/>
          <tpl fld="0" item="1"/>
        </tpls>
      </m>
      <m in="0">
        <tpls c="5">
          <tpl fld="1" item="9"/>
          <tpl fld="2" item="14"/>
          <tpl hier="10" item="7"/>
          <tpl hier="11" item="9"/>
          <tpl fld="0" item="0"/>
        </tpls>
      </m>
      <n v="-493.75" in="0">
        <tpls c="5">
          <tpl fld="1" item="0"/>
          <tpl fld="2" item="11"/>
          <tpl hier="10" item="7"/>
          <tpl hier="11" item="9"/>
          <tpl fld="0" item="0"/>
        </tpls>
      </n>
      <m in="0">
        <tpls c="5">
          <tpl fld="1" item="7"/>
          <tpl fld="2" item="11"/>
          <tpl hier="10" item="7"/>
          <tpl hier="11" item="9"/>
          <tpl fld="0" item="1"/>
        </tpls>
      </m>
      <m in="0">
        <tpls c="5">
          <tpl fld="1" item="6"/>
          <tpl fld="2" item="13"/>
          <tpl hier="10" item="7"/>
          <tpl hier="11" item="9"/>
          <tpl fld="0" item="1"/>
        </tpls>
      </m>
      <n v="-8828" in="0">
        <tpls c="5">
          <tpl fld="1" item="6"/>
          <tpl fld="2" item="10"/>
          <tpl hier="10" item="7"/>
          <tpl hier="11" item="9"/>
          <tpl fld="0" item="0"/>
        </tpls>
      </n>
      <n v="-188474.25" in="0">
        <tpls c="5">
          <tpl fld="1" item="4"/>
          <tpl fld="2" item="0"/>
          <tpl hier="10" item="7"/>
          <tpl hier="11" item="9"/>
          <tpl fld="0" item="0"/>
        </tpls>
      </n>
      <n v="-65677" in="0">
        <tpls c="4">
          <tpl fld="2" item="13"/>
          <tpl hier="10" item="7"/>
          <tpl hier="11" item="9"/>
          <tpl fld="0" item="0"/>
        </tpls>
      </n>
      <m in="0">
        <tpls c="5">
          <tpl fld="1" item="3"/>
          <tpl fld="2" item="2"/>
          <tpl hier="10" item="7"/>
          <tpl hier="11" item="9"/>
          <tpl fld="0" item="1"/>
        </tpls>
      </m>
      <m in="0">
        <tpls c="5">
          <tpl fld="1" item="1"/>
          <tpl fld="2" item="0"/>
          <tpl hier="10" item="7"/>
          <tpl hier="11" item="9"/>
          <tpl fld="0" item="1"/>
        </tpls>
      </m>
      <m in="0">
        <tpls c="5">
          <tpl fld="1" item="6"/>
          <tpl fld="2" item="10"/>
          <tpl hier="10" item="7"/>
          <tpl hier="11" item="9"/>
          <tpl fld="0" item="1"/>
        </tpls>
      </m>
      <n v="-5171.5" in="0">
        <tpls c="5">
          <tpl fld="1" item="4"/>
          <tpl fld="2" item="1"/>
          <tpl hier="10" item="7"/>
          <tpl hier="11" item="9"/>
          <tpl fld="0" item="0"/>
        </tpls>
      </n>
      <m in="0">
        <tpls c="5">
          <tpl fld="1" item="3"/>
          <tpl fld="2" item="7"/>
          <tpl hier="10" item="7"/>
          <tpl hier="11" item="9"/>
          <tpl fld="0" item="1"/>
        </tpls>
      </m>
      <m in="0">
        <tpls c="5">
          <tpl fld="1" item="8"/>
          <tpl fld="2" item="8"/>
          <tpl hier="10" item="7"/>
          <tpl hier="11" item="9"/>
          <tpl fld="0" item="0"/>
        </tpls>
      </m>
      <n v="-3915.75" in="0">
        <tpls c="5">
          <tpl fld="1" item="9"/>
          <tpl fld="2" item="13"/>
          <tpl hier="10" item="7"/>
          <tpl hier="11" item="9"/>
          <tpl fld="0" item="0"/>
        </tpls>
      </n>
      <n v="-331594.75" in="0">
        <tpls c="5">
          <tpl fld="1" item="2"/>
          <tpl hier="9" item="4294967295"/>
          <tpl hier="10" item="7"/>
          <tpl hier="11" item="9"/>
          <tpl fld="0" item="0"/>
        </tpls>
      </n>
      <m in="0">
        <tpls c="5">
          <tpl fld="1" item="0"/>
          <tpl fld="2" item="13"/>
          <tpl hier="10" item="7"/>
          <tpl hier="11" item="9"/>
          <tpl fld="0" item="1"/>
        </tpls>
      </m>
      <m in="0">
        <tpls c="5">
          <tpl fld="1" item="1"/>
          <tpl fld="2" item="5"/>
          <tpl hier="10" item="7"/>
          <tpl hier="11" item="9"/>
          <tpl fld="0" item="1"/>
        </tpls>
      </m>
      <m in="0">
        <tpls c="5">
          <tpl fld="1" item="4"/>
          <tpl fld="2" item="2"/>
          <tpl hier="10" item="7"/>
          <tpl hier="11" item="9"/>
          <tpl fld="0" item="0"/>
        </tpls>
      </m>
      <m in="0">
        <tpls c="5">
          <tpl fld="1" item="9"/>
          <tpl fld="2" item="13"/>
          <tpl hier="10" item="7"/>
          <tpl hier="11" item="9"/>
          <tpl fld="0" item="1"/>
        </tpls>
      </m>
      <m in="0">
        <tpls c="5">
          <tpl fld="1" item="0"/>
          <tpl hier="9" item="4294967295"/>
          <tpl hier="10" item="7"/>
          <tpl hier="11" item="9"/>
          <tpl fld="0" item="1"/>
        </tpls>
      </m>
      <n v="-20742.25" in="0">
        <tpls c="5">
          <tpl fld="1" item="4"/>
          <tpl fld="2" item="6"/>
          <tpl hier="10" item="7"/>
          <tpl hier="11" item="9"/>
          <tpl fld="0" item="0"/>
        </tpls>
      </n>
      <m in="0">
        <tpls c="5">
          <tpl fld="1" item="4"/>
          <tpl fld="2" item="2"/>
          <tpl hier="10" item="7"/>
          <tpl hier="11" item="9"/>
          <tpl fld="0" item="1"/>
        </tpls>
      </m>
      <m in="0">
        <tpls c="5">
          <tpl fld="1" item="4"/>
          <tpl fld="2" item="12"/>
          <tpl hier="10" item="7"/>
          <tpl hier="11" item="9"/>
          <tpl fld="0" item="1"/>
        </tpls>
      </m>
      <m in="0">
        <tpls c="5">
          <tpl fld="1" item="6"/>
          <tpl fld="2" item="14"/>
          <tpl hier="10" item="7"/>
          <tpl hier="11" item="9"/>
          <tpl fld="0" item="0"/>
        </tpls>
      </m>
      <m in="0">
        <tpls c="5">
          <tpl fld="1" item="7"/>
          <tpl fld="2" item="8"/>
          <tpl hier="10" item="7"/>
          <tpl hier="11" item="9"/>
          <tpl fld="0" item="1"/>
        </tpls>
      </m>
      <m in="0">
        <tpls c="5">
          <tpl fld="1" item="6"/>
          <tpl fld="2" item="14"/>
          <tpl hier="10" item="7"/>
          <tpl hier="11" item="9"/>
          <tpl fld="0" item="1"/>
        </tpls>
      </m>
      <m in="0">
        <tpls c="5">
          <tpl fld="1" item="11"/>
          <tpl fld="2" item="7"/>
          <tpl hier="10" item="7"/>
          <tpl hier="11" item="9"/>
          <tpl fld="0" item="1"/>
        </tpls>
      </m>
      <m in="0">
        <tpls c="5">
          <tpl fld="1" item="6"/>
          <tpl fld="2" item="8"/>
          <tpl hier="10" item="7"/>
          <tpl hier="11" item="9"/>
          <tpl fld="0" item="0"/>
        </tpls>
      </m>
      <n v="-5388" in="0">
        <tpls c="5">
          <tpl fld="1" item="10"/>
          <tpl fld="2" item="13"/>
          <tpl hier="10" item="7"/>
          <tpl hier="11" item="9"/>
          <tpl fld="0" item="0"/>
        </tpls>
      </n>
      <m in="0">
        <tpls c="5">
          <tpl fld="1" item="0"/>
          <tpl fld="2" item="15"/>
          <tpl hier="10" item="7"/>
          <tpl hier="11" item="9"/>
          <tpl fld="0" item="1"/>
        </tpls>
      </m>
      <m in="0">
        <tpls c="5">
          <tpl fld="1" item="6"/>
          <tpl fld="2" item="0"/>
          <tpl hier="10" item="7"/>
          <tpl hier="11" item="9"/>
          <tpl fld="0" item="1"/>
        </tpls>
      </m>
      <n v="-1843.5" in="0">
        <tpls c="5">
          <tpl fld="1" item="5"/>
          <tpl fld="2" item="3"/>
          <tpl hier="10" item="7"/>
          <tpl hier="11" item="9"/>
          <tpl fld="0" item="0"/>
        </tpls>
      </n>
      <m in="0">
        <tpls c="4">
          <tpl fld="2" item="14"/>
          <tpl hier="10" item="7"/>
          <tpl hier="11" item="9"/>
          <tpl fld="0" item="1"/>
        </tpls>
      </m>
      <m in="0">
        <tpls c="5">
          <tpl fld="1" item="8"/>
          <tpl fld="2" item="3"/>
          <tpl hier="10" item="7"/>
          <tpl hier="11" item="9"/>
          <tpl fld="0" item="1"/>
        </tpls>
      </m>
      <m in="0">
        <tpls c="5">
          <tpl fld="1" item="9"/>
          <tpl fld="2" item="8"/>
          <tpl hier="10" item="7"/>
          <tpl hier="11" item="9"/>
          <tpl fld="0" item="1"/>
        </tpls>
      </m>
      <n v="-2147.5" in="0">
        <tpls c="5">
          <tpl fld="1" item="6"/>
          <tpl fld="2" item="3"/>
          <tpl hier="10" item="7"/>
          <tpl hier="11" item="9"/>
          <tpl fld="0" item="0"/>
        </tpls>
      </n>
      <m in="0">
        <tpls c="4">
          <tpl fld="2" item="9"/>
          <tpl hier="10" item="7"/>
          <tpl hier="11" item="9"/>
          <tpl fld="0" item="1"/>
        </tpls>
      </m>
      <n v="-248218.25" in="0">
        <tpls c="5">
          <tpl fld="1" item="3"/>
          <tpl hier="9" item="4294967295"/>
          <tpl hier="10" item="7"/>
          <tpl hier="11" item="9"/>
          <tpl fld="0" item="0"/>
        </tpls>
      </n>
      <m in="0">
        <tpls c="5">
          <tpl fld="1" item="8"/>
          <tpl fld="2" item="2"/>
          <tpl hier="10" item="7"/>
          <tpl hier="11" item="9"/>
          <tpl fld="0" item="1"/>
        </tpls>
      </m>
      <m in="0">
        <tpls c="5">
          <tpl fld="1" item="10"/>
          <tpl fld="2" item="12"/>
          <tpl hier="10" item="7"/>
          <tpl hier="11" item="9"/>
          <tpl fld="0" item="1"/>
        </tpls>
      </m>
      <m in="0">
        <tpls c="5">
          <tpl fld="1" item="0"/>
          <tpl fld="2" item="3"/>
          <tpl hier="10" item="7"/>
          <tpl hier="11" item="9"/>
          <tpl fld="0" item="1"/>
        </tpls>
      </m>
      <m in="0">
        <tpls c="5">
          <tpl fld="1" item="11"/>
          <tpl fld="2" item="11"/>
          <tpl hier="10" item="7"/>
          <tpl hier="11" item="9"/>
          <tpl fld="0" item="1"/>
        </tpls>
      </m>
      <n v="-17338" in="0">
        <tpls c="5">
          <tpl fld="1" item="0"/>
          <tpl fld="2" item="6"/>
          <tpl hier="10" item="7"/>
          <tpl hier="11" item="9"/>
          <tpl fld="0" item="0"/>
        </tpls>
      </n>
      <m in="0">
        <tpls c="5">
          <tpl fld="1" item="6"/>
          <tpl fld="2" item="6"/>
          <tpl hier="10" item="7"/>
          <tpl hier="11" item="9"/>
          <tpl fld="0" item="1"/>
        </tpls>
      </m>
      <m in="0">
        <tpls c="5">
          <tpl fld="1" item="11"/>
          <tpl fld="2" item="4"/>
          <tpl hier="10" item="7"/>
          <tpl hier="11" item="9"/>
          <tpl fld="0" item="1"/>
        </tpls>
      </m>
      <m in="0">
        <tpls c="5">
          <tpl fld="1" item="7"/>
          <tpl fld="2" item="4"/>
          <tpl hier="10" item="7"/>
          <tpl hier="11" item="9"/>
          <tpl fld="0" item="1"/>
        </tpls>
      </m>
      <m in="0">
        <tpls c="5">
          <tpl fld="1" item="4"/>
          <tpl fld="2" item="15"/>
          <tpl hier="10" item="7"/>
          <tpl hier="11" item="9"/>
          <tpl fld="0" item="1"/>
        </tpls>
      </m>
      <m in="0">
        <tpls c="5">
          <tpl fld="1" item="11"/>
          <tpl fld="2" item="8"/>
          <tpl hier="10" item="7"/>
          <tpl hier="11" item="9"/>
          <tpl fld="0" item="0"/>
        </tpls>
      </m>
      <m in="0">
        <tpls c="5">
          <tpl fld="1" item="9"/>
          <tpl fld="2" item="11"/>
          <tpl hier="10" item="7"/>
          <tpl hier="11" item="9"/>
          <tpl fld="0" item="1"/>
        </tpls>
      </m>
      <n v="-317781.25" in="0">
        <tpls c="5">
          <tpl fld="1" item="0"/>
          <tpl hier="9" item="4294967295"/>
          <tpl hier="10" item="7"/>
          <tpl hier="11" item="9"/>
          <tpl fld="0" item="0"/>
        </tpls>
      </n>
      <m in="0">
        <tpls c="5">
          <tpl fld="1" item="9"/>
          <tpl fld="2" item="4"/>
          <tpl hier="10" item="7"/>
          <tpl hier="11" item="9"/>
          <tpl fld="0" item="0"/>
        </tpls>
      </m>
      <n v="-5402.25" in="0">
        <tpls c="5">
          <tpl fld="1" item="0"/>
          <tpl fld="2" item="13"/>
          <tpl hier="10" item="7"/>
          <tpl hier="11" item="9"/>
          <tpl fld="0" item="0"/>
        </tpls>
      </n>
      <n v="-2179.25" in="0">
        <tpls c="5">
          <tpl fld="1" item="7"/>
          <tpl fld="2" item="3"/>
          <tpl hier="10" item="7"/>
          <tpl hier="11" item="9"/>
          <tpl fld="0" item="0"/>
        </tpls>
      </n>
      <n v="-6681.75" in="0">
        <tpls c="5">
          <tpl fld="1" item="11"/>
          <tpl fld="2" item="13"/>
          <tpl hier="10" item="7"/>
          <tpl hier="11" item="9"/>
          <tpl fld="0" item="0"/>
        </tpls>
      </n>
      <m in="0">
        <tpls c="5">
          <tpl fld="1" item="0"/>
          <tpl fld="2" item="14"/>
          <tpl hier="10" item="7"/>
          <tpl hier="11" item="9"/>
          <tpl fld="0" item="1"/>
        </tpls>
      </m>
      <m in="0">
        <tpls c="5">
          <tpl fld="1" item="9"/>
          <tpl fld="2" item="3"/>
          <tpl hier="10" item="7"/>
          <tpl hier="11" item="9"/>
          <tpl fld="0" item="1"/>
        </tpls>
      </m>
      <m in="0">
        <tpls c="5">
          <tpl fld="1" item="1"/>
          <tpl fld="2" item="11"/>
          <tpl hier="10" item="7"/>
          <tpl hier="11" item="9"/>
          <tpl fld="0" item="1"/>
        </tpls>
      </m>
      <m in="0">
        <tpls c="5">
          <tpl fld="1" item="11"/>
          <tpl fld="2" item="13"/>
          <tpl hier="10" item="7"/>
          <tpl hier="11" item="9"/>
          <tpl fld="0" item="1"/>
        </tpls>
      </m>
      <m in="0">
        <tpls c="5">
          <tpl fld="1" item="0"/>
          <tpl fld="2" item="14"/>
          <tpl hier="10" item="7"/>
          <tpl hier="11" item="9"/>
          <tpl fld="0" item="0"/>
        </tpls>
      </m>
      <m in="0">
        <tpls c="5">
          <tpl fld="1" item="2"/>
          <tpl fld="2" item="3"/>
          <tpl hier="10" item="7"/>
          <tpl hier="11" item="9"/>
          <tpl fld="0" item="1"/>
        </tpls>
      </m>
      <m in="0">
        <tpls c="5">
          <tpl fld="1" item="3"/>
          <tpl hier="9" item="4294967295"/>
          <tpl hier="10" item="7"/>
          <tpl hier="11" item="9"/>
          <tpl fld="0" item="1"/>
        </tpls>
      </m>
      <m in="0">
        <tpls c="5">
          <tpl fld="1" item="5"/>
          <tpl fld="2" item="4"/>
          <tpl hier="10" item="7"/>
          <tpl hier="11" item="9"/>
          <tpl fld="0" item="1"/>
        </tpls>
      </m>
      <m in="0">
        <tpls c="5">
          <tpl fld="1" item="9"/>
          <tpl fld="2" item="2"/>
          <tpl hier="10" item="7"/>
          <tpl hier="11" item="9"/>
          <tpl fld="0" item="1"/>
        </tpls>
      </m>
      <m in="0">
        <tpls c="5">
          <tpl fld="1" item="10"/>
          <tpl fld="2" item="8"/>
          <tpl hier="10" item="7"/>
          <tpl hier="11" item="9"/>
          <tpl fld="0" item="0"/>
        </tpls>
      </m>
      <n v="-12608.5" in="0">
        <tpls c="5">
          <tpl fld="1" item="8"/>
          <tpl fld="2" item="10"/>
          <tpl hier="10" item="7"/>
          <tpl hier="11" item="9"/>
          <tpl fld="0" item="0"/>
        </tpls>
      </n>
      <n v="-6078.75" in="0">
        <tpls c="5">
          <tpl fld="1" item="2"/>
          <tpl fld="2" item="15"/>
          <tpl hier="10" item="7"/>
          <tpl hier="11" item="9"/>
          <tpl fld="0" item="0"/>
        </tpls>
      </n>
      <m in="0">
        <tpls c="5">
          <tpl fld="1" item="9"/>
          <tpl fld="2" item="7"/>
          <tpl hier="10" item="7"/>
          <tpl hier="11" item="9"/>
          <tpl fld="0" item="1"/>
        </tpls>
      </m>
      <n v="-2013.5" in="0">
        <tpls c="5">
          <tpl fld="1" item="4"/>
          <tpl fld="2" item="3"/>
          <tpl hier="10" item="7"/>
          <tpl hier="11" item="9"/>
          <tpl fld="0" item="0"/>
        </tpls>
      </n>
      <m in="0">
        <tpls c="5">
          <tpl fld="1" item="10"/>
          <tpl fld="2" item="4"/>
          <tpl hier="10" item="7"/>
          <tpl hier="11" item="9"/>
          <tpl fld="0" item="1"/>
        </tpls>
      </m>
      <m in="0">
        <tpls c="5">
          <tpl fld="1" item="1"/>
          <tpl fld="2" item="8"/>
          <tpl hier="10" item="7"/>
          <tpl hier="11" item="9"/>
          <tpl fld="0" item="0"/>
        </tpls>
      </m>
      <m in="0">
        <tpls c="5">
          <tpl fld="1" item="9"/>
          <tpl fld="2" item="9"/>
          <tpl hier="10" item="7"/>
          <tpl hier="11" item="9"/>
          <tpl fld="0" item="1"/>
        </tpls>
      </m>
      <m in="0">
        <tpls c="5">
          <tpl fld="1" item="2"/>
          <tpl fld="2" item="14"/>
          <tpl hier="10" item="7"/>
          <tpl hier="11" item="9"/>
          <tpl fld="0" item="1"/>
        </tpls>
      </m>
      <n v="-14109" in="0">
        <tpls c="5">
          <tpl fld="1" item="9"/>
          <tpl fld="2" item="10"/>
          <tpl hier="10" item="7"/>
          <tpl hier="11" item="9"/>
          <tpl fld="0" item="0"/>
        </tpls>
      </n>
      <n v="-3962.5" in="0">
        <tpls c="5">
          <tpl fld="1" item="5"/>
          <tpl fld="2" item="1"/>
          <tpl hier="10" item="7"/>
          <tpl hier="11" item="9"/>
          <tpl fld="0" item="0"/>
        </tpls>
      </n>
      <n v="-4259.5" in="0">
        <tpls c="5">
          <tpl fld="1" item="10"/>
          <tpl fld="2" item="12"/>
          <tpl hier="10" item="7"/>
          <tpl hier="11" item="9"/>
          <tpl fld="0" item="0"/>
        </tpls>
      </n>
      <m in="0">
        <tpls c="5">
          <tpl fld="1" item="4"/>
          <tpl fld="2" item="11"/>
          <tpl hier="10" item="7"/>
          <tpl hier="11" item="9"/>
          <tpl fld="0" item="1"/>
        </tpls>
      </m>
      <n v="-252107.5" in="0">
        <tpls c="5">
          <tpl fld="1" item="8"/>
          <tpl hier="9" item="4294967295"/>
          <tpl hier="10" item="7"/>
          <tpl hier="11" item="9"/>
          <tpl fld="0" item="0"/>
        </tpls>
      </n>
      <m in="0">
        <tpls c="5">
          <tpl fld="1" item="1"/>
          <tpl fld="2" item="14"/>
          <tpl hier="10" item="7"/>
          <tpl hier="11" item="9"/>
          <tpl fld="0" item="0"/>
        </tpls>
      </m>
      <m in="0">
        <tpls c="5">
          <tpl fld="1" item="1"/>
          <tpl fld="2" item="2"/>
          <tpl hier="10" item="7"/>
          <tpl hier="11" item="9"/>
          <tpl fld="0" item="0"/>
        </tpls>
      </m>
      <n v="-1979.5" in="0">
        <tpls c="5">
          <tpl fld="1" item="2"/>
          <tpl fld="2" item="3"/>
          <tpl hier="10" item="7"/>
          <tpl hier="11" item="9"/>
          <tpl fld="0" item="0"/>
        </tpls>
      </n>
      <n v="-1152.75" in="0">
        <tpls c="5">
          <tpl fld="1" item="6"/>
          <tpl fld="2" item="5"/>
          <tpl hier="10" item="7"/>
          <tpl hier="11" item="9"/>
          <tpl fld="0" item="0"/>
        </tpls>
      </n>
      <m in="0">
        <tpls c="5">
          <tpl fld="1" item="2"/>
          <tpl fld="2" item="9"/>
          <tpl hier="10" item="7"/>
          <tpl hier="11" item="9"/>
          <tpl fld="0" item="1"/>
        </tpls>
      </m>
      <m in="0">
        <tpls c="5">
          <tpl fld="1" item="8"/>
          <tpl fld="2" item="0"/>
          <tpl hier="10" item="7"/>
          <tpl hier="11" item="9"/>
          <tpl fld="0" item="1"/>
        </tpls>
      </m>
      <m in="0">
        <tpls c="5">
          <tpl fld="1" item="9"/>
          <tpl fld="2" item="7"/>
          <tpl hier="10" item="7"/>
          <tpl hier="11" item="9"/>
          <tpl fld="0" item="0"/>
        </tpls>
      </m>
      <m in="0">
        <tpls c="5">
          <tpl fld="1" item="3"/>
          <tpl fld="2" item="9"/>
          <tpl hier="10" item="7"/>
          <tpl hier="11" item="9"/>
          <tpl fld="0" item="0"/>
        </tpls>
      </m>
      <n v="-219095" in="0">
        <tpls c="5">
          <tpl fld="1" item="1"/>
          <tpl fld="2" item="0"/>
          <tpl hier="10" item="7"/>
          <tpl hier="11" item="9"/>
          <tpl fld="0" item="0"/>
        </tpls>
      </n>
      <m in="0">
        <tpls c="5">
          <tpl fld="1" item="2"/>
          <tpl fld="2" item="4"/>
          <tpl hier="10" item="7"/>
          <tpl hier="11" item="9"/>
          <tpl fld="0" item="1"/>
        </tpls>
      </m>
      <m in="0">
        <tpls c="5">
          <tpl fld="1" item="10"/>
          <tpl fld="2" item="9"/>
          <tpl hier="10" item="7"/>
          <tpl hier="11" item="9"/>
          <tpl fld="0" item="1"/>
        </tpls>
      </m>
      <m in="0">
        <tpls c="5">
          <tpl fld="1" item="5"/>
          <tpl fld="2" item="9"/>
          <tpl hier="10" item="7"/>
          <tpl hier="11" item="9"/>
          <tpl fld="0" item="1"/>
        </tpls>
      </m>
      <n v="-4404.5" in="0">
        <tpls c="5">
          <tpl fld="1" item="8"/>
          <tpl fld="2" item="12"/>
          <tpl hier="10" item="7"/>
          <tpl hier="11" item="9"/>
          <tpl fld="0" item="0"/>
        </tpls>
      </n>
      <n v="-1355" in="0">
        <tpls c="5">
          <tpl fld="1" item="8"/>
          <tpl fld="2" item="5"/>
          <tpl hier="10" item="7"/>
          <tpl hier="11" item="9"/>
          <tpl fld="0" item="0"/>
        </tpls>
      </n>
      <m in="0">
        <tpls c="5">
          <tpl fld="1" item="9"/>
          <tpl fld="2" item="5"/>
          <tpl hier="10" item="7"/>
          <tpl hier="11" item="9"/>
          <tpl fld="0" item="1"/>
        </tpls>
      </m>
      <m in="0">
        <tpls c="5">
          <tpl fld="1" item="10"/>
          <tpl fld="2" item="5"/>
          <tpl hier="10" item="7"/>
          <tpl hier="11" item="9"/>
          <tpl fld="0" item="1"/>
        </tpls>
      </m>
      <n v="-268799.75" in="0">
        <tpls c="5">
          <tpl fld="1" item="5"/>
          <tpl hier="9" item="4294967295"/>
          <tpl hier="10" item="7"/>
          <tpl hier="11" item="9"/>
          <tpl fld="0" item="0"/>
        </tpls>
      </n>
      <m in="0">
        <tpls c="5">
          <tpl fld="1" item="1"/>
          <tpl fld="2" item="15"/>
          <tpl hier="10" item="7"/>
          <tpl hier="11" item="9"/>
          <tpl fld="0" item="1"/>
        </tpls>
      </m>
      <n v="-2774.25" in="0">
        <tpls c="5">
          <tpl fld="1" item="0"/>
          <tpl fld="2" item="3"/>
          <tpl hier="10" item="7"/>
          <tpl hier="11" item="9"/>
          <tpl fld="0" item="0"/>
        </tpls>
      </n>
      <m in="0">
        <tpls c="5">
          <tpl fld="1" item="3"/>
          <tpl fld="2" item="4"/>
          <tpl hier="10" item="7"/>
          <tpl hier="11" item="9"/>
          <tpl fld="0" item="0"/>
        </tpls>
      </m>
      <m in="0">
        <tpls c="5">
          <tpl fld="1" item="2"/>
          <tpl fld="2" item="9"/>
          <tpl hier="10" item="7"/>
          <tpl hier="11" item="9"/>
          <tpl fld="0" item="0"/>
        </tpls>
      </m>
      <m in="0">
        <tpls c="5">
          <tpl fld="1" item="7"/>
          <tpl fld="2" item="6"/>
          <tpl hier="10" item="7"/>
          <tpl hier="11" item="9"/>
          <tpl fld="0" item="1"/>
        </tpls>
      </m>
      <m in="0">
        <tpls c="5">
          <tpl fld="1" item="6"/>
          <tpl fld="2" item="2"/>
          <tpl hier="10" item="7"/>
          <tpl hier="11" item="9"/>
          <tpl fld="0" item="1"/>
        </tpls>
      </m>
      <m in="0">
        <tpls c="5">
          <tpl fld="1" item="1"/>
          <tpl fld="2" item="4"/>
          <tpl hier="10" item="7"/>
          <tpl hier="11" item="9"/>
          <tpl fld="0" item="0"/>
        </tpls>
      </m>
      <m in="0">
        <tpls c="5">
          <tpl fld="1" item="8"/>
          <tpl fld="2" item="9"/>
          <tpl hier="10" item="7"/>
          <tpl hier="11" item="9"/>
          <tpl fld="0" item="0"/>
        </tpls>
      </m>
      <m in="0">
        <tpls c="5">
          <tpl fld="1" item="5"/>
          <tpl fld="2" item="5"/>
          <tpl hier="10" item="7"/>
          <tpl hier="11" item="9"/>
          <tpl fld="0" item="1"/>
        </tpls>
      </m>
      <m in="0">
        <tpls c="5">
          <tpl fld="1" item="8"/>
          <tpl fld="2" item="12"/>
          <tpl hier="10" item="7"/>
          <tpl hier="11" item="9"/>
          <tpl fld="0" item="1"/>
        </tpls>
      </m>
      <n v="-4519.25" in="0">
        <tpls c="5">
          <tpl fld="1" item="10"/>
          <tpl fld="2" item="1"/>
          <tpl hier="10" item="7"/>
          <tpl hier="11" item="9"/>
          <tpl fld="0" item="0"/>
        </tpls>
      </n>
      <m in="0">
        <tpls c="5">
          <tpl fld="1" item="9"/>
          <tpl fld="2" item="10"/>
          <tpl hier="10" item="7"/>
          <tpl hier="11" item="9"/>
          <tpl fld="0" item="1"/>
        </tpls>
      </m>
      <m in="0">
        <tpls c="5">
          <tpl fld="1" item="10"/>
          <tpl fld="2" item="2"/>
          <tpl hier="10" item="7"/>
          <tpl hier="11" item="9"/>
          <tpl fld="0" item="1"/>
        </tpls>
      </m>
      <m in="0">
        <tpls c="5">
          <tpl fld="1" item="5"/>
          <tpl hier="9" item="4294967295"/>
          <tpl hier="10" item="7"/>
          <tpl hier="11" item="9"/>
          <tpl fld="0" item="1"/>
        </tpls>
      </m>
      <n v="-8839.75" in="0">
        <tpls c="5">
          <tpl fld="1" item="5"/>
          <tpl fld="2" item="15"/>
          <tpl hier="10" item="7"/>
          <tpl hier="11" item="9"/>
          <tpl fld="0" item="0"/>
        </tpls>
      </n>
      <m in="0">
        <tpls c="5">
          <tpl fld="1" item="0"/>
          <tpl fld="2" item="4"/>
          <tpl hier="10" item="7"/>
          <tpl hier="11" item="9"/>
          <tpl fld="0" item="1"/>
        </tpls>
      </m>
      <n v="-4051.5" in="0">
        <tpls c="5">
          <tpl fld="1" item="3"/>
          <tpl fld="2" item="1"/>
          <tpl hier="10" item="7"/>
          <tpl hier="11" item="9"/>
          <tpl fld="0" item="0"/>
        </tpls>
      </n>
      <m in="0">
        <tpls c="5">
          <tpl fld="1" item="5"/>
          <tpl fld="2" item="0"/>
          <tpl hier="10" item="7"/>
          <tpl hier="11" item="9"/>
          <tpl fld="0" item="1"/>
        </tpls>
      </m>
      <n v="-1919.5" in="0">
        <tpls c="5">
          <tpl fld="1" item="11"/>
          <tpl fld="2" item="3"/>
          <tpl hier="10" item="7"/>
          <tpl hier="11" item="9"/>
          <tpl fld="0" item="0"/>
        </tpls>
      </n>
      <m in="0">
        <tpls c="5">
          <tpl fld="1" item="1"/>
          <tpl fld="2" item="4"/>
          <tpl hier="10" item="7"/>
          <tpl hier="11" item="9"/>
          <tpl fld="0" item="1"/>
        </tpls>
      </m>
      <m in="0">
        <tpls c="5">
          <tpl fld="1" item="8"/>
          <tpl fld="2" item="9"/>
          <tpl hier="10" item="7"/>
          <tpl hier="11" item="9"/>
          <tpl fld="0" item="1"/>
        </tpls>
      </m>
      <m in="0">
        <tpls c="5">
          <tpl fld="1" item="5"/>
          <tpl fld="2" item="7"/>
          <tpl hier="10" item="7"/>
          <tpl hier="11" item="9"/>
          <tpl fld="0" item="1"/>
        </tpls>
      </m>
      <n v="-5158.75" in="0">
        <tpls c="5">
          <tpl fld="1" item="7"/>
          <tpl fld="2" item="12"/>
          <tpl hier="10" item="7"/>
          <tpl hier="11" item="9"/>
          <tpl fld="0" item="0"/>
        </tpls>
      </n>
      <m in="0">
        <tpls c="5">
          <tpl fld="1" item="10"/>
          <tpl fld="2" item="4"/>
          <tpl hier="10" item="7"/>
          <tpl hier="11" item="9"/>
          <tpl fld="0" item="0"/>
        </tpls>
      </m>
      <m in="0">
        <tpls c="5">
          <tpl fld="1" item="9"/>
          <tpl fld="2" item="0"/>
          <tpl hier="10" item="7"/>
          <tpl hier="11" item="9"/>
          <tpl fld="0" item="1"/>
        </tpls>
      </m>
      <n v="-1066.25" in="0">
        <tpls c="5">
          <tpl fld="1" item="5"/>
          <tpl fld="2" item="5"/>
          <tpl hier="10" item="7"/>
          <tpl hier="11" item="9"/>
          <tpl fld="0" item="0"/>
        </tpls>
      </n>
      <n v="-246824" in="0">
        <tpls c="5">
          <tpl fld="1" item="4"/>
          <tpl hier="9" item="4294967295"/>
          <tpl hier="10" item="7"/>
          <tpl hier="11" item="9"/>
          <tpl fld="0" item="0"/>
        </tpls>
      </n>
      <m in="0">
        <tpls c="5">
          <tpl fld="1" item="5"/>
          <tpl fld="2" item="15"/>
          <tpl hier="10" item="7"/>
          <tpl hier="11" item="9"/>
          <tpl fld="0" item="1"/>
        </tpls>
      </m>
      <m in="0">
        <tpls c="5">
          <tpl fld="1" item="0"/>
          <tpl fld="2" item="4"/>
          <tpl hier="10" item="7"/>
          <tpl hier="11" item="9"/>
          <tpl fld="0" item="0"/>
        </tpls>
      </m>
      <n v="-4388.25" in="0">
        <tpls c="5">
          <tpl fld="1" item="6"/>
          <tpl fld="2" item="1"/>
          <tpl hier="10" item="7"/>
          <tpl hier="11" item="9"/>
          <tpl fld="0" item="0"/>
        </tpls>
      </n>
      <m in="0">
        <tpls c="5">
          <tpl fld="1" item="9"/>
          <tpl fld="2" item="8"/>
          <tpl hier="10" item="7"/>
          <tpl hier="11" item="9"/>
          <tpl fld="0" item="0"/>
        </tpls>
      </m>
      <n v="-195567.25" in="0">
        <tpls c="5">
          <tpl fld="1" item="8"/>
          <tpl fld="2" item="0"/>
          <tpl hier="10" item="7"/>
          <tpl hier="11" item="9"/>
          <tpl fld="0" item="0"/>
        </tpls>
      </n>
      <m in="0">
        <tpls c="5">
          <tpl fld="1" item="1"/>
          <tpl fld="2" item="1"/>
          <tpl hier="10" item="7"/>
          <tpl hier="11" item="9"/>
          <tpl fld="0" item="1"/>
        </tpls>
      </m>
      <m in="0">
        <tpls c="5">
          <tpl fld="1" item="10"/>
          <tpl fld="2" item="3"/>
          <tpl hier="10" item="7"/>
          <tpl hier="11" item="9"/>
          <tpl fld="0" item="1"/>
        </tpls>
      </m>
      <m in="0">
        <tpls c="5">
          <tpl fld="1" item="11"/>
          <tpl fld="2" item="6"/>
          <tpl hier="10" item="7"/>
          <tpl hier="11" item="9"/>
          <tpl fld="0" item="1"/>
        </tpls>
      </m>
      <m in="0">
        <tpls c="5">
          <tpl fld="1" item="5"/>
          <tpl fld="2" item="4"/>
          <tpl hier="10" item="7"/>
          <tpl hier="11" item="9"/>
          <tpl fld="0" item="0"/>
        </tpls>
      </m>
      <m in="0">
        <tpls c="5">
          <tpl fld="1" item="7"/>
          <tpl fld="2" item="9"/>
          <tpl hier="10" item="7"/>
          <tpl hier="11" item="9"/>
          <tpl fld="0" item="0"/>
        </tpls>
      </m>
      <m in="0">
        <tpls c="5">
          <tpl fld="1" item="5"/>
          <tpl fld="2" item="6"/>
          <tpl hier="10" item="7"/>
          <tpl hier="11" item="9"/>
          <tpl fld="0" item="1"/>
        </tpls>
      </m>
      <m in="0">
        <tpls c="5">
          <tpl fld="1" item="7"/>
          <tpl fld="2" item="12"/>
          <tpl hier="10" item="7"/>
          <tpl hier="11" item="9"/>
          <tpl fld="0" item="1"/>
        </tpls>
      </m>
      <n v="-1057.5" in="0">
        <tpls c="5">
          <tpl fld="1" item="10"/>
          <tpl fld="2" item="5"/>
          <tpl hier="10" item="7"/>
          <tpl hier="11" item="9"/>
          <tpl fld="0" item="0"/>
        </tpls>
      </n>
      <m in="0">
        <tpls c="5">
          <tpl fld="1" item="3"/>
          <tpl fld="2" item="14"/>
          <tpl hier="10" item="7"/>
          <tpl hier="11" item="9"/>
          <tpl fld="0" item="0"/>
        </tpls>
      </m>
      <n v="-11682.25" in="0">
        <tpls c="5">
          <tpl fld="1" item="5"/>
          <tpl fld="2" item="10"/>
          <tpl hier="10" item="7"/>
          <tpl hier="11" item="9"/>
          <tpl fld="0" item="0"/>
        </tpls>
      </n>
      <m in="0">
        <tpls c="5">
          <tpl fld="1" item="4"/>
          <tpl hier="9" item="4294967295"/>
          <tpl hier="10" item="7"/>
          <tpl hier="11" item="9"/>
          <tpl fld="0" item="1"/>
        </tpls>
      </m>
      <m in="0">
        <tpls c="5">
          <tpl fld="1" item="3"/>
          <tpl fld="2" item="15"/>
          <tpl hier="10" item="7"/>
          <tpl hier="11" item="9"/>
          <tpl fld="0" item="1"/>
        </tpls>
      </m>
      <m in="0">
        <tpls c="5">
          <tpl fld="1" item="0"/>
          <tpl fld="2" item="5"/>
          <tpl hier="10" item="7"/>
          <tpl hier="11" item="9"/>
          <tpl fld="0" item="1"/>
        </tpls>
      </m>
      <m in="0">
        <tpls c="5">
          <tpl fld="1" item="1"/>
          <tpl fld="2" item="7"/>
          <tpl hier="10" item="7"/>
          <tpl hier="11" item="9"/>
          <tpl fld="0" item="0"/>
        </tpls>
      </m>
      <n v="-17159.5" in="0">
        <tpls c="5">
          <tpl fld="1" item="7"/>
          <tpl fld="2" item="6"/>
          <tpl hier="10" item="7"/>
          <tpl hier="11" item="9"/>
          <tpl fld="0" item="0"/>
        </tpls>
      </n>
      <m in="0">
        <tpls c="5">
          <tpl fld="1" item="1"/>
          <tpl fld="2" item="14"/>
          <tpl hier="10" item="7"/>
          <tpl hier="11" item="9"/>
          <tpl fld="0" item="1"/>
        </tpls>
      </m>
      <n v="-16698" in="0">
        <tpls c="5">
          <tpl fld="1" item="8"/>
          <tpl fld="2" item="6"/>
          <tpl hier="10" item="7"/>
          <tpl hier="11" item="9"/>
          <tpl fld="0" item="0"/>
        </tpls>
      </n>
      <m in="0">
        <tpls c="5">
          <tpl fld="1" item="10"/>
          <tpl fld="2" item="7"/>
          <tpl hier="10" item="7"/>
          <tpl hier="11" item="9"/>
          <tpl fld="0" item="0"/>
        </tpls>
      </m>
      <n v="-1336" in="0">
        <tpls c="5">
          <tpl fld="1" item="3"/>
          <tpl fld="2" item="5"/>
          <tpl hier="10" item="7"/>
          <tpl hier="11" item="9"/>
          <tpl fld="0" item="0"/>
        </tpls>
      </n>
      <m in="0">
        <tpls c="5">
          <tpl fld="1" item="7"/>
          <tpl fld="2" item="9"/>
          <tpl hier="10" item="7"/>
          <tpl hier="11" item="9"/>
          <tpl fld="0" item="1"/>
        </tpls>
      </m>
      <m in="0">
        <tpls c="5">
          <tpl fld="1" item="5"/>
          <tpl fld="2" item="1"/>
          <tpl hier="10" item="7"/>
          <tpl hier="11" item="9"/>
          <tpl fld="0" item="1"/>
        </tpls>
      </m>
      <n v="-4962.75" in="0">
        <tpls c="5">
          <tpl fld="1" item="6"/>
          <tpl fld="2" item="12"/>
          <tpl hier="10" item="7"/>
          <tpl hier="11" item="9"/>
          <tpl fld="0" item="0"/>
        </tpls>
      </n>
      <m in="0">
        <tpls c="5">
          <tpl fld="1" item="10"/>
          <tpl fld="2" item="2"/>
          <tpl hier="10" item="7"/>
          <tpl hier="11" item="9"/>
          <tpl fld="0" item="0"/>
        </tpls>
      </m>
      <m in="0">
        <tpls c="5">
          <tpl fld="1" item="3"/>
          <tpl fld="2" item="14"/>
          <tpl hier="10" item="7"/>
          <tpl hier="11" item="9"/>
          <tpl fld="0" item="1"/>
        </tpls>
      </m>
      <m in="0">
        <tpls c="5">
          <tpl fld="1" item="5"/>
          <tpl fld="2" item="9"/>
          <tpl hier="10" item="7"/>
          <tpl hier="11" item="9"/>
          <tpl fld="0" item="0"/>
        </tpls>
      </m>
      <n v="-264806.75" in="0">
        <tpls c="5">
          <tpl fld="1" item="9"/>
          <tpl hier="9" item="4294967295"/>
          <tpl hier="10" item="7"/>
          <tpl hier="11" item="9"/>
          <tpl fld="0" item="0"/>
        </tpls>
      </n>
      <n v="-7028.5" in="0">
        <tpls c="5">
          <tpl fld="1" item="4"/>
          <tpl fld="2" item="15"/>
          <tpl hier="10" item="7"/>
          <tpl hier="11" item="9"/>
          <tpl fld="0" item="0"/>
        </tpls>
      </n>
      <n v="-1139.75" in="0">
        <tpls c="5">
          <tpl fld="1" item="0"/>
          <tpl fld="2" item="5"/>
          <tpl hier="10" item="7"/>
          <tpl hier="11" item="9"/>
          <tpl fld="0" item="0"/>
        </tpls>
      </n>
      <n v="-2437.25" in="0">
        <tpls c="5">
          <tpl fld="1" item="9"/>
          <tpl fld="2" item="3"/>
          <tpl hier="10" item="7"/>
          <tpl hier="11" item="9"/>
          <tpl fld="0" item="0"/>
        </tpls>
      </n>
      <n v="-458.25" in="0">
        <tpls c="5">
          <tpl fld="1" item="1"/>
          <tpl fld="2" item="11"/>
          <tpl hier="10" item="7"/>
          <tpl hier="11" item="9"/>
          <tpl fld="0" item="0"/>
        </tpls>
      </n>
      <n v="-292313" in="0">
        <tpls c="5">
          <tpl fld="1" item="6"/>
          <tpl fld="2" item="0"/>
          <tpl hier="10" item="7"/>
          <tpl hier="11" item="9"/>
          <tpl fld="0" item="0"/>
        </tpls>
      </n>
      <m in="0">
        <tpls c="5">
          <tpl fld="1" item="5"/>
          <tpl fld="2" item="11"/>
          <tpl hier="10" item="7"/>
          <tpl hier="11" item="9"/>
          <tpl fld="0" item="1"/>
        </tpls>
      </m>
      <m in="0">
        <tpls c="5">
          <tpl fld="1" item="3"/>
          <tpl fld="2" item="5"/>
          <tpl hier="10" item="7"/>
          <tpl hier="11" item="9"/>
          <tpl fld="0" item="1"/>
        </tpls>
      </m>
      <m in="0">
        <tpls c="5">
          <tpl fld="1" item="6"/>
          <tpl fld="2" item="9"/>
          <tpl hier="10" item="7"/>
          <tpl hier="11" item="9"/>
          <tpl fld="0" item="0"/>
        </tpls>
      </m>
      <m in="0">
        <tpls c="5">
          <tpl fld="1" item="5"/>
          <tpl fld="2" item="2"/>
          <tpl hier="10" item="7"/>
          <tpl hier="11" item="9"/>
          <tpl fld="0" item="1"/>
        </tpls>
      </m>
      <m in="0">
        <tpls c="5">
          <tpl fld="1" item="6"/>
          <tpl fld="2" item="12"/>
          <tpl hier="10" item="7"/>
          <tpl hier="11" item="9"/>
          <tpl fld="0" item="1"/>
        </tpls>
      </m>
      <n v="-277520.25" in="0">
        <tpls c="5">
          <tpl fld="1" item="10"/>
          <tpl fld="2" item="0"/>
          <tpl hier="10" item="7"/>
          <tpl hier="11" item="9"/>
          <tpl fld="0" item="0"/>
        </tpls>
      </n>
      <m in="0">
        <tpls c="5">
          <tpl fld="1" item="2"/>
          <tpl fld="2" item="14"/>
          <tpl hier="10" item="7"/>
          <tpl hier="11" item="9"/>
          <tpl fld="0" item="0"/>
        </tpls>
      </m>
      <m in="0">
        <tpls c="5">
          <tpl fld="1" item="5"/>
          <tpl fld="2" item="7"/>
          <tpl hier="10" item="7"/>
          <tpl hier="11" item="9"/>
          <tpl fld="0" item="0"/>
        </tpls>
      </m>
      <n v="-252670.5" in="0">
        <tpls c="5">
          <tpl fld="1" item="11"/>
          <tpl hier="9" item="4294967295"/>
          <tpl hier="10" item="7"/>
          <tpl hier="11" item="9"/>
          <tpl fld="0" item="0"/>
        </tpls>
      </n>
      <n v="-6248.5" in="0">
        <tpls c="5">
          <tpl fld="1" item="3"/>
          <tpl fld="2" item="15"/>
          <tpl hier="10" item="7"/>
          <tpl hier="11" item="9"/>
          <tpl fld="0" item="0"/>
        </tpls>
      </n>
      <m in="0">
        <tpls c="5">
          <tpl fld="1" item="0"/>
          <tpl fld="2" item="6"/>
          <tpl hier="10" item="7"/>
          <tpl hier="11" item="9"/>
          <tpl fld="0" item="1"/>
        </tpls>
      </m>
      <m in="0">
        <tpls c="5">
          <tpl fld="1" item="7"/>
          <tpl fld="2" item="1"/>
          <tpl hier="10" item="7"/>
          <tpl hier="11" item="9"/>
          <tpl fld="0" item="1"/>
        </tpls>
      </m>
      <m in="0">
        <tpls c="5">
          <tpl fld="1" item="2"/>
          <tpl fld="2" item="0"/>
          <tpl hier="10" item="7"/>
          <tpl hier="11" item="9"/>
          <tpl fld="0" item="1"/>
        </tpls>
      </m>
      <m in="0">
        <tpls c="5">
          <tpl fld="1" item="1"/>
          <tpl fld="2" item="9"/>
          <tpl hier="10" item="7"/>
          <tpl hier="11" item="9"/>
          <tpl fld="0" item="1"/>
        </tpls>
      </m>
      <n v="-23897.75" in="0">
        <tpls c="5">
          <tpl fld="1" item="11"/>
          <tpl fld="2" item="6"/>
          <tpl hier="10" item="7"/>
          <tpl hier="11" item="9"/>
          <tpl fld="0" item="0"/>
        </tpls>
      </n>
      <n v="-56887" in="0">
        <tpls c="4">
          <tpl fld="2" item="12"/>
          <tpl hier="10" item="7"/>
          <tpl hier="11" item="9"/>
          <tpl fld="0" item="0"/>
        </tpls>
      </n>
      <m in="0">
        <tpls c="5">
          <tpl fld="1" item="4"/>
          <tpl fld="2" item="6"/>
          <tpl hier="10" item="7"/>
          <tpl hier="11" item="9"/>
          <tpl fld="0" item="1"/>
        </tpls>
      </m>
      <m in="0">
        <tpls c="5">
          <tpl fld="1" item="8"/>
          <tpl fld="2" item="11"/>
          <tpl hier="10" item="7"/>
          <tpl hier="11" item="9"/>
          <tpl fld="0" item="1"/>
        </tpls>
      </m>
      <n v="-15591.75" in="0">
        <tpls c="5">
          <tpl fld="1" item="1"/>
          <tpl fld="2" item="6"/>
          <tpl hier="10" item="7"/>
          <tpl hier="11" item="9"/>
          <tpl fld="0" item="0"/>
        </tpls>
      </n>
      <m in="0">
        <tpls c="5">
          <tpl fld="1" item="7"/>
          <tpl fld="2" item="13"/>
          <tpl hier="10" item="7"/>
          <tpl hier="11" item="9"/>
          <tpl fld="0" item="1"/>
        </tpls>
      </m>
      <m in="0">
        <tpls c="5">
          <tpl fld="1" item="7"/>
          <tpl fld="2" item="10"/>
          <tpl hier="10" item="7"/>
          <tpl hier="11" item="9"/>
          <tpl fld="0" item="1"/>
        </tpls>
      </m>
      <n v="-4100.75" in="0">
        <tpls c="5">
          <tpl fld="1" item="9"/>
          <tpl fld="2" item="1"/>
          <tpl hier="10" item="7"/>
          <tpl hier="11" item="9"/>
          <tpl fld="0" item="0"/>
        </tpls>
      </n>
      <m in="0">
        <tpls c="5">
          <tpl fld="1" item="0"/>
          <tpl fld="2" item="8"/>
          <tpl hier="10" item="7"/>
          <tpl hier="11" item="9"/>
          <tpl fld="0" item="1"/>
        </tpls>
      </m>
      <n v="-206662" in="0">
        <tpls c="5">
          <tpl fld="1" item="9"/>
          <tpl fld="2" item="0"/>
          <tpl hier="10" item="7"/>
          <tpl hier="11" item="9"/>
          <tpl fld="0" item="0"/>
        </tpls>
      </n>
      <n v="8889625" in="0">
        <tpls c="5">
          <tpl fld="1" item="4"/>
          <tpl fld="2" item="9"/>
          <tpl hier="10" item="8"/>
          <tpl hier="11" item="9"/>
          <tpl fld="0" item="0"/>
        </tpls>
      </n>
      <m in="0">
        <tpls c="5">
          <tpl fld="1" item="1"/>
          <tpl fld="2" item="7"/>
          <tpl hier="10" item="8"/>
          <tpl hier="11" item="9"/>
          <tpl fld="0" item="1"/>
        </tpls>
      </m>
      <m in="0">
        <tpls c="5">
          <tpl fld="1" item="3"/>
          <tpl fld="2" item="2"/>
          <tpl hier="10" item="8"/>
          <tpl hier="11" item="9"/>
          <tpl fld="0" item="0"/>
        </tpls>
      </m>
      <m in="0">
        <tpls c="5">
          <tpl fld="1" item="2"/>
          <tpl fld="2" item="6"/>
          <tpl hier="10" item="8"/>
          <tpl hier="11" item="9"/>
          <tpl fld="0" item="1"/>
        </tpls>
      </m>
      <m in="0">
        <tpls c="5">
          <tpl fld="1" item="3"/>
          <tpl fld="2" item="11"/>
          <tpl hier="10" item="8"/>
          <tpl hier="11" item="9"/>
          <tpl fld="0" item="1"/>
        </tpls>
      </m>
      <n v="-13708.75" in="0">
        <tpls c="5">
          <tpl fld="1" item="3"/>
          <tpl fld="2" item="10"/>
          <tpl hier="10" item="8"/>
          <tpl hier="11" item="9"/>
          <tpl fld="0" item="0"/>
        </tpls>
      </n>
      <n v="-2434.75" in="0">
        <tpls c="5">
          <tpl fld="1" item="10"/>
          <tpl fld="2" item="3"/>
          <tpl hier="10" item="8"/>
          <tpl hier="11" item="9"/>
          <tpl fld="0" item="0"/>
        </tpls>
      </n>
      <n v="-84058.083333333328" in="0">
        <tpls c="5">
          <tpl fld="1" item="11"/>
          <tpl fld="2" item="7"/>
          <tpl hier="10" item="8"/>
          <tpl hier="11" item="9"/>
          <tpl fld="0" item="0"/>
        </tpls>
      </n>
      <m in="0">
        <tpls c="5">
          <tpl fld="1" item="3"/>
          <tpl fld="2" item="6"/>
          <tpl hier="10" item="8"/>
          <tpl hier="11" item="9"/>
          <tpl fld="0" item="1"/>
        </tpls>
      </m>
      <m in="0">
        <tpls c="5">
          <tpl fld="1" item="4"/>
          <tpl fld="2" item="9"/>
          <tpl hier="10" item="8"/>
          <tpl hier="11" item="9"/>
          <tpl fld="0" item="1"/>
        </tpls>
      </m>
      <m in="0">
        <tpls c="5">
          <tpl fld="1" item="10"/>
          <tpl fld="2" item="11"/>
          <tpl hier="10" item="8"/>
          <tpl hier="11" item="9"/>
          <tpl fld="0" item="1"/>
        </tpls>
      </m>
      <n v="-5684.25" in="0">
        <tpls c="5">
          <tpl fld="1" item="7"/>
          <tpl fld="2" item="13"/>
          <tpl hier="10" item="8"/>
          <tpl hier="11" item="9"/>
          <tpl fld="0" item="0"/>
        </tpls>
      </n>
      <m in="0">
        <tpls c="5">
          <tpl fld="1" item="11"/>
          <tpl fld="2" item="5"/>
          <tpl hier="10" item="8"/>
          <tpl hier="11" item="9"/>
          <tpl fld="0" item="1"/>
        </tpls>
      </m>
      <n v="-22100" in="0">
        <tpls c="5">
          <tpl fld="1" item="5"/>
          <tpl fld="2" item="14"/>
          <tpl hier="10" item="8"/>
          <tpl hier="11" item="9"/>
          <tpl fld="0" item="0"/>
        </tpls>
      </n>
      <m in="0">
        <tpls c="4">
          <tpl fld="2" item="13"/>
          <tpl hier="10" item="8"/>
          <tpl hier="11" item="9"/>
          <tpl fld="0" item="1"/>
        </tpls>
      </m>
      <n v="9345386.666666666" in="0">
        <tpls c="5">
          <tpl fld="1" item="7"/>
          <tpl hier="9" item="4294967295"/>
          <tpl hier="10" item="8"/>
          <tpl hier="11" item="9"/>
          <tpl fld="0" item="0"/>
        </tpls>
      </n>
      <m in="0">
        <tpls c="5">
          <tpl fld="1" item="11"/>
          <tpl fld="2" item="15"/>
          <tpl hier="10" item="8"/>
          <tpl hier="11" item="9"/>
          <tpl fld="0" item="1"/>
        </tpls>
      </m>
      <n v="-996.5" in="0">
        <tpls c="5">
          <tpl fld="1" item="0"/>
          <tpl fld="2" item="8"/>
          <tpl hier="10" item="8"/>
          <tpl hier="11" item="9"/>
          <tpl fld="0" item="0"/>
        </tpls>
      </n>
      <m in="0">
        <tpls c="5">
          <tpl fld="1" item="6"/>
          <tpl fld="2" item="1"/>
          <tpl hier="10" item="8"/>
          <tpl hier="11" item="9"/>
          <tpl fld="0" item="1"/>
        </tpls>
      </m>
      <n v="-125065.08333333333" in="0">
        <tpls c="5">
          <tpl fld="1" item="3"/>
          <tpl fld="2" item="7"/>
          <tpl hier="10" item="8"/>
          <tpl hier="11" item="9"/>
          <tpl fld="0" item="0"/>
        </tpls>
      </n>
      <m in="0">
        <tpls c="5">
          <tpl fld="1" item="6"/>
          <tpl fld="2" item="9"/>
          <tpl hier="10" item="8"/>
          <tpl hier="11" item="9"/>
          <tpl fld="0" item="1"/>
        </tpls>
      </m>
      <m in="0">
        <tpls c="5">
          <tpl fld="1" item="3"/>
          <tpl fld="2" item="3"/>
          <tpl hier="10" item="8"/>
          <tpl hier="11" item="9"/>
          <tpl fld="0" item="1"/>
        </tpls>
      </m>
      <n v="-647.75" in="0">
        <tpls c="5">
          <tpl fld="1" item="9"/>
          <tpl fld="2" item="11"/>
          <tpl hier="10" item="8"/>
          <tpl hier="11" item="9"/>
          <tpl fld="0" item="0"/>
        </tpls>
      </n>
      <m in="0">
        <tpls c="5">
          <tpl fld="1" item="10"/>
          <tpl fld="2" item="6"/>
          <tpl hier="10" item="8"/>
          <tpl hier="11" item="9"/>
          <tpl fld="0" item="1"/>
        </tpls>
      </m>
      <m in="0">
        <tpls c="5">
          <tpl fld="1" item="3"/>
          <tpl fld="2" item="0"/>
          <tpl hier="10" item="8"/>
          <tpl hier="11" item="9"/>
          <tpl fld="0" item="1"/>
        </tpls>
      </m>
      <n v="-14701" in="0">
        <tpls c="5">
          <tpl fld="1" item="2"/>
          <tpl fld="2" item="6"/>
          <tpl hier="10" item="8"/>
          <tpl hier="11" item="9"/>
          <tpl fld="0" item="0"/>
        </tpls>
      </n>
      <m in="0">
        <tpls c="5">
          <tpl fld="1" item="4"/>
          <tpl fld="2" item="5"/>
          <tpl hier="10" item="8"/>
          <tpl hier="11" item="9"/>
          <tpl fld="0" item="1"/>
        </tpls>
      </m>
      <n v="-476.75" in="0">
        <tpls c="5">
          <tpl fld="1" item="8"/>
          <tpl fld="2" item="11"/>
          <tpl hier="10" item="8"/>
          <tpl hier="11" item="9"/>
          <tpl fld="0" item="0"/>
        </tpls>
      </n>
      <n v="-7294.25" in="0">
        <tpls c="5">
          <tpl fld="1" item="3"/>
          <tpl fld="2" item="13"/>
          <tpl hier="10" item="8"/>
          <tpl hier="11" item="9"/>
          <tpl fld="0" item="0"/>
        </tpls>
      </n>
      <m in="0">
        <tpls c="5">
          <tpl fld="1" item="11"/>
          <tpl fld="2" item="2"/>
          <tpl hier="10" item="8"/>
          <tpl hier="11" item="9"/>
          <tpl fld="0" item="1"/>
        </tpls>
      </m>
      <m in="0">
        <tpls c="5">
          <tpl fld="1" item="5"/>
          <tpl fld="2" item="14"/>
          <tpl hier="10" item="8"/>
          <tpl hier="11" item="9"/>
          <tpl fld="0" item="1"/>
        </tpls>
      </m>
      <m in="0">
        <tpls c="4">
          <tpl fld="2" item="12"/>
          <tpl hier="10" item="8"/>
          <tpl hier="11" item="9"/>
          <tpl fld="0" item="1"/>
        </tpls>
      </m>
      <m in="0">
        <tpls c="5">
          <tpl fld="1" item="7"/>
          <tpl hier="9" item="4294967295"/>
          <tpl hier="10" item="8"/>
          <tpl hier="11" item="9"/>
          <tpl fld="0" item="1"/>
        </tpls>
      </m>
      <n v="-73516.5" in="0">
        <tpls c="4">
          <tpl fld="2" item="15"/>
          <tpl hier="10" item="8"/>
          <tpl hier="11" item="9"/>
          <tpl fld="0" item="0"/>
        </tpls>
      </n>
      <m in="0">
        <tpls c="5">
          <tpl fld="1" item="0"/>
          <tpl fld="2" item="9"/>
          <tpl hier="10" item="8"/>
          <tpl hier="11" item="9"/>
          <tpl fld="0" item="1"/>
        </tpls>
      </m>
      <m in="0">
        <tpls c="5">
          <tpl fld="1" item="6"/>
          <tpl fld="2" item="4"/>
          <tpl hier="10" item="8"/>
          <tpl hier="11" item="9"/>
          <tpl fld="0" item="1"/>
        </tpls>
      </m>
      <m in="0">
        <tpls c="5">
          <tpl fld="1" item="2"/>
          <tpl fld="2" item="1"/>
          <tpl hier="10" item="8"/>
          <tpl hier="11" item="9"/>
          <tpl fld="0" item="1"/>
        </tpls>
      </m>
      <m in="0">
        <tpls c="5">
          <tpl fld="1" item="2"/>
          <tpl fld="2" item="2"/>
          <tpl hier="10" item="8"/>
          <tpl hier="11" item="9"/>
          <tpl fld="0" item="1"/>
        </tpls>
      </m>
      <m in="0">
        <tpls c="5">
          <tpl fld="1" item="3"/>
          <tpl fld="2" item="8"/>
          <tpl hier="10" item="8"/>
          <tpl hier="11" item="9"/>
          <tpl fld="0" item="1"/>
        </tpls>
      </m>
      <m in="0">
        <tpls c="5">
          <tpl fld="1" item="3"/>
          <tpl fld="2" item="9"/>
          <tpl hier="10" item="8"/>
          <tpl hier="11" item="9"/>
          <tpl fld="0" item="1"/>
        </tpls>
      </m>
      <n v="-499.25" in="0">
        <tpls c="5">
          <tpl fld="1" item="5"/>
          <tpl fld="2" item="11"/>
          <tpl hier="10" item="8"/>
          <tpl hier="11" item="9"/>
          <tpl fld="0" item="0"/>
        </tpls>
      </n>
      <n v="-21538.75" in="0">
        <tpls c="5">
          <tpl fld="1" item="9"/>
          <tpl fld="2" item="6"/>
          <tpl hier="10" item="8"/>
          <tpl hier="11" item="9"/>
          <tpl fld="0" item="0"/>
        </tpls>
      </n>
      <n v="-141101.58333333334" in="0">
        <tpls c="5">
          <tpl fld="1" item="4"/>
          <tpl fld="2" item="7"/>
          <tpl hier="10" item="8"/>
          <tpl hier="11" item="9"/>
          <tpl fld="0" item="0"/>
        </tpls>
      </n>
      <m in="0">
        <tpls c="5">
          <tpl fld="1" item="4"/>
          <tpl fld="2" item="0"/>
          <tpl hier="10" item="8"/>
          <tpl hier="11" item="9"/>
          <tpl fld="0" item="1"/>
        </tpls>
      </m>
      <n v="-425.25" in="0">
        <tpls c="5">
          <tpl fld="1" item="7"/>
          <tpl fld="2" item="11"/>
          <tpl hier="10" item="8"/>
          <tpl hier="11" item="9"/>
          <tpl fld="0" item="0"/>
        </tpls>
      </n>
      <m in="0">
        <tpls c="5">
          <tpl fld="1" item="3"/>
          <tpl fld="2" item="13"/>
          <tpl hier="10" item="8"/>
          <tpl hier="11" item="9"/>
          <tpl fld="0" item="1"/>
        </tpls>
      </m>
      <m in="0">
        <tpls c="5">
          <tpl fld="1" item="11"/>
          <tpl fld="2" item="0"/>
          <tpl hier="10" item="8"/>
          <tpl hier="11" item="9"/>
          <tpl fld="0" item="1"/>
        </tpls>
      </m>
      <n v="-31272.5" in="0">
        <tpls c="5">
          <tpl fld="1" item="11"/>
          <tpl fld="2" item="14"/>
          <tpl hier="10" item="8"/>
          <tpl hier="11" item="9"/>
          <tpl fld="0" item="0"/>
        </tpls>
      </n>
      <m in="0">
        <tpls c="4">
          <tpl fld="2" item="0"/>
          <tpl hier="10" item="8"/>
          <tpl hier="11" item="9"/>
          <tpl fld="0" item="1"/>
        </tpls>
      </m>
      <n v="9176414.5" in="0">
        <tpls c="5">
          <tpl fld="1" item="6"/>
          <tpl hier="9" item="4294967295"/>
          <tpl hier="10" item="8"/>
          <tpl hier="11" item="9"/>
          <tpl fld="0" item="0"/>
        </tpls>
      </n>
      <m in="0">
        <tpls c="4">
          <tpl fld="2" item="15"/>
          <tpl hier="10" item="8"/>
          <tpl hier="11" item="9"/>
          <tpl fld="0" item="1"/>
        </tpls>
      </m>
      <n v="7995921" in="0">
        <tpls c="5">
          <tpl fld="1" item="0"/>
          <tpl fld="2" item="9"/>
          <tpl hier="10" item="8"/>
          <tpl hier="11" item="9"/>
          <tpl fld="0" item="0"/>
        </tpls>
      </n>
      <m in="0">
        <tpls c="4">
          <tpl fld="2" item="4"/>
          <tpl hier="10" item="8"/>
          <tpl hier="11" item="9"/>
          <tpl fld="0" item="1"/>
        </tpls>
      </m>
      <n v="-6399.5" in="0">
        <tpls c="5">
          <tpl fld="1" item="8"/>
          <tpl fld="2" item="15"/>
          <tpl hier="10" item="8"/>
          <tpl hier="11" item="9"/>
          <tpl fld="0" item="0"/>
        </tpls>
      </n>
      <n v="-3523.75" in="0">
        <tpls c="5">
          <tpl fld="1" item="3"/>
          <tpl fld="2" item="8"/>
          <tpl hier="10" item="8"/>
          <tpl hier="11" item="9"/>
          <tpl fld="0" item="0"/>
        </tpls>
      </n>
      <n v="-546.75" in="0">
        <tpls c="5">
          <tpl fld="1" item="3"/>
          <tpl fld="2" item="11"/>
          <tpl hier="10" item="8"/>
          <tpl hier="11" item="9"/>
          <tpl fld="0" item="0"/>
        </tpls>
      </n>
      <m in="0">
        <tpls c="5">
          <tpl fld="1" item="11"/>
          <tpl fld="2" item="14"/>
          <tpl hier="10" item="8"/>
          <tpl hier="11" item="9"/>
          <tpl fld="0" item="1"/>
        </tpls>
      </m>
      <m in="0">
        <tpls c="5">
          <tpl fld="1" item="8"/>
          <tpl fld="2" item="15"/>
          <tpl hier="10" item="8"/>
          <tpl hier="11" item="9"/>
          <tpl fld="0" item="1"/>
        </tpls>
      </m>
      <m in="0">
        <tpls c="5">
          <tpl fld="1" item="3"/>
          <tpl fld="2" item="1"/>
          <tpl hier="10" item="8"/>
          <tpl hier="11" item="9"/>
          <tpl fld="0" item="1"/>
        </tpls>
      </m>
      <m in="0">
        <tpls c="5">
          <tpl fld="1" item="9"/>
          <tpl fld="2" item="1"/>
          <tpl hier="10" item="8"/>
          <tpl hier="11" item="9"/>
          <tpl fld="0" item="1"/>
        </tpls>
      </m>
      <m in="0">
        <tpls c="5">
          <tpl fld="1" item="9"/>
          <tpl fld="2" item="12"/>
          <tpl hier="10" item="8"/>
          <tpl hier="11" item="9"/>
          <tpl fld="0" item="1"/>
        </tpls>
      </m>
      <n v="-36502.5" in="0">
        <tpls c="5">
          <tpl fld="1" item="10"/>
          <tpl fld="2" item="14"/>
          <tpl hier="10" item="8"/>
          <tpl hier="11" item="9"/>
          <tpl fld="0" item="0"/>
        </tpls>
      </n>
      <n v="-4229.75" in="0">
        <tpls c="5">
          <tpl fld="1" item="0"/>
          <tpl fld="2" item="12"/>
          <tpl hier="10" item="8"/>
          <tpl hier="11" item="9"/>
          <tpl fld="0" item="0"/>
        </tpls>
      </n>
      <m in="0">
        <tpls c="5">
          <tpl fld="1" item="7"/>
          <tpl fld="2" item="5"/>
          <tpl hier="10" item="8"/>
          <tpl hier="11" item="9"/>
          <tpl fld="0" item="1"/>
        </tpls>
      </m>
      <n v="-3378.25" in="0">
        <tpls c="5">
          <tpl fld="1" item="11"/>
          <tpl fld="2" item="1"/>
          <tpl hier="10" item="8"/>
          <tpl hier="11" item="9"/>
          <tpl fld="0" item="0"/>
        </tpls>
      </n>
      <n v="-4366.75" in="0">
        <tpls c="5">
          <tpl fld="1" item="2"/>
          <tpl fld="2" item="12"/>
          <tpl hier="10" item="8"/>
          <tpl hier="11" item="9"/>
          <tpl fld="0" item="0"/>
        </tpls>
      </n>
      <n v="-35856.5" in="0">
        <tpls c="5">
          <tpl fld="1" item="8"/>
          <tpl fld="2" item="14"/>
          <tpl hier="10" item="8"/>
          <tpl hier="11" item="9"/>
          <tpl fld="0" item="0"/>
        </tpls>
      </n>
      <m in="0">
        <tpls c="5">
          <tpl fld="1" item="7"/>
          <tpl fld="2" item="15"/>
          <tpl hier="10" item="8"/>
          <tpl hier="11" item="9"/>
          <tpl fld="0" item="1"/>
        </tpls>
      </m>
      <n v="-751.75" in="0">
        <tpls c="5">
          <tpl fld="1" item="2"/>
          <tpl fld="2" item="8"/>
          <tpl hier="10" item="8"/>
          <tpl hier="11" item="9"/>
          <tpl fld="0" item="0"/>
        </tpls>
      </n>
      <n v="-242633.5" in="0">
        <tpls c="5">
          <tpl fld="1" item="3"/>
          <tpl fld="2" item="0"/>
          <tpl hier="10" item="8"/>
          <tpl hier="11" item="9"/>
          <tpl fld="0" item="0"/>
        </tpls>
      </n>
      <m in="0">
        <tpls c="5">
          <tpl fld="1" item="8"/>
          <tpl fld="2" item="8"/>
          <tpl hier="10" item="8"/>
          <tpl hier="11" item="9"/>
          <tpl fld="0" item="1"/>
        </tpls>
      </m>
      <m in="0">
        <tpls c="5">
          <tpl fld="1" item="5"/>
          <tpl fld="2" item="12"/>
          <tpl hier="10" item="8"/>
          <tpl hier="11" item="9"/>
          <tpl fld="0" item="1"/>
        </tpls>
      </m>
      <m in="0">
        <tpls c="5">
          <tpl fld="1" item="8"/>
          <tpl fld="2" item="14"/>
          <tpl hier="10" item="8"/>
          <tpl hier="11" item="9"/>
          <tpl fld="0" item="1"/>
        </tpls>
      </m>
      <n v="-5129" in="0">
        <tpls c="5">
          <tpl fld="1" item="6"/>
          <tpl fld="2" item="15"/>
          <tpl hier="10" item="8"/>
          <tpl hier="11" item="9"/>
          <tpl fld="0" item="0"/>
        </tpls>
      </n>
      <n v="-14248" in="0">
        <tpls c="5">
          <tpl fld="1" item="10"/>
          <tpl fld="2" item="6"/>
          <tpl hier="10" item="8"/>
          <tpl hier="11" item="9"/>
          <tpl fld="0" item="0"/>
        </tpls>
      </n>
      <n v="-1933" in="0">
        <tpls c="5">
          <tpl fld="1" item="11"/>
          <tpl fld="2" item="4"/>
          <tpl hier="10" item="8"/>
          <tpl hier="11" item="9"/>
          <tpl fld="0" item="0"/>
        </tpls>
      </n>
      <m in="0">
        <tpls c="5">
          <tpl fld="1" item="0"/>
          <tpl fld="2" item="0"/>
          <tpl hier="10" item="8"/>
          <tpl hier="11" item="9"/>
          <tpl fld="0" item="1"/>
        </tpls>
      </m>
      <m in="0">
        <tpls c="5">
          <tpl fld="1" item="1"/>
          <tpl fld="2" item="2"/>
          <tpl hier="10" item="8"/>
          <tpl hier="11" item="9"/>
          <tpl fld="0" item="1"/>
        </tpls>
      </m>
      <m in="0">
        <tpls c="5">
          <tpl fld="1" item="11"/>
          <tpl fld="2" item="10"/>
          <tpl hier="10" item="8"/>
          <tpl hier="11" item="9"/>
          <tpl fld="0" item="1"/>
        </tpls>
      </m>
      <m in="0">
        <tpls c="5">
          <tpl fld="1" item="11"/>
          <tpl hier="9" item="4294967295"/>
          <tpl hier="10" item="8"/>
          <tpl hier="11" item="9"/>
          <tpl fld="0" item="1"/>
        </tpls>
      </m>
      <n v="-2126.5" in="0">
        <tpls c="5">
          <tpl fld="1" item="8"/>
          <tpl fld="2" item="3"/>
          <tpl hier="10" item="8"/>
          <tpl hier="11" item="9"/>
          <tpl fld="0" item="0"/>
        </tpls>
      </n>
      <m in="0">
        <tpls c="5">
          <tpl fld="1" item="10"/>
          <tpl fld="2" item="7"/>
          <tpl hier="10" item="8"/>
          <tpl hier="11" item="9"/>
          <tpl fld="0" item="1"/>
        </tpls>
      </m>
      <n v="-10073.5" in="0">
        <tpls c="5">
          <tpl fld="1" item="10"/>
          <tpl fld="2" item="10"/>
          <tpl hier="10" item="8"/>
          <tpl hier="11" item="9"/>
          <tpl fld="0" item="0"/>
        </tpls>
      </n>
      <n v="-223136.25" in="0">
        <tpls c="5">
          <tpl fld="1" item="11"/>
          <tpl fld="2" item="0"/>
          <tpl hier="10" item="8"/>
          <tpl hier="11" item="9"/>
          <tpl fld="0" item="0"/>
        </tpls>
      </n>
      <m in="0">
        <tpls c="5">
          <tpl fld="1" item="3"/>
          <tpl fld="2" item="4"/>
          <tpl hier="10" item="8"/>
          <tpl hier="11" item="9"/>
          <tpl fld="0" item="1"/>
        </tpls>
      </m>
      <m in="0">
        <tpls c="5">
          <tpl fld="1" item="10"/>
          <tpl fld="2" item="13"/>
          <tpl hier="10" item="8"/>
          <tpl hier="11" item="9"/>
          <tpl fld="0" item="1"/>
        </tpls>
      </m>
      <m in="0">
        <tpls c="5">
          <tpl fld="1" item="5"/>
          <tpl fld="2" item="3"/>
          <tpl hier="10" item="8"/>
          <tpl hier="11" item="9"/>
          <tpl fld="0" item="1"/>
        </tpls>
      </m>
      <n v="-5968.25" in="0">
        <tpls c="5">
          <tpl fld="1" item="8"/>
          <tpl fld="2" item="13"/>
          <tpl hier="10" item="8"/>
          <tpl hier="11" item="9"/>
          <tpl fld="0" item="0"/>
        </tpls>
      </n>
      <m in="0">
        <tpls c="5">
          <tpl fld="1" item="0"/>
          <tpl fld="2" item="2"/>
          <tpl hier="10" item="8"/>
          <tpl hier="11" item="9"/>
          <tpl fld="0" item="1"/>
        </tpls>
      </m>
      <m in="0">
        <tpls c="5">
          <tpl fld="1" item="6"/>
          <tpl fld="2" item="2"/>
          <tpl hier="10" item="8"/>
          <tpl hier="11" item="9"/>
          <tpl fld="0" item="0"/>
        </tpls>
      </m>
      <m in="0">
        <tpls c="5">
          <tpl fld="1" item="8"/>
          <tpl fld="2" item="10"/>
          <tpl hier="10" item="8"/>
          <tpl hier="11" item="9"/>
          <tpl fld="0" item="1"/>
        </tpls>
      </m>
      <m in="0">
        <tpls c="5">
          <tpl fld="1" item="0"/>
          <tpl fld="2" item="2"/>
          <tpl hier="10" item="8"/>
          <tpl hier="11" item="9"/>
          <tpl fld="0" item="0"/>
        </tpls>
      </m>
      <n v="-3497.5" in="0">
        <tpls c="5">
          <tpl fld="1" item="6"/>
          <tpl fld="2" item="13"/>
          <tpl hier="10" item="8"/>
          <tpl hier="11" item="9"/>
          <tpl fld="0" item="0"/>
        </tpls>
      </n>
      <n v="9118441" in="0">
        <tpls c="5">
          <tpl fld="1" item="10"/>
          <tpl fld="2" item="9"/>
          <tpl hier="10" item="8"/>
          <tpl hier="11" item="9"/>
          <tpl fld="0" item="0"/>
        </tpls>
      </n>
      <m in="0">
        <tpls c="5">
          <tpl fld="1" item="10"/>
          <tpl fld="2" item="1"/>
          <tpl hier="10" item="8"/>
          <tpl hier="11" item="9"/>
          <tpl fld="0" item="1"/>
        </tpls>
      </m>
      <m in="0">
        <tpls c="5">
          <tpl fld="1" item="8"/>
          <tpl fld="2" item="7"/>
          <tpl hier="10" item="8"/>
          <tpl hier="11" item="9"/>
          <tpl fld="0" item="1"/>
        </tpls>
      </m>
      <n v="-14415.75" in="0">
        <tpls c="5">
          <tpl fld="1" item="5"/>
          <tpl fld="2" item="6"/>
          <tpl hier="10" item="8"/>
          <tpl hier="11" item="9"/>
          <tpl fld="0" item="0"/>
        </tpls>
      </n>
      <n v="-41" in="0">
        <tpls c="5">
          <tpl fld="1" item="4"/>
          <tpl fld="2" item="8"/>
          <tpl hier="10" item="8"/>
          <tpl hier="11" item="9"/>
          <tpl fld="0" item="0"/>
        </tpls>
      </n>
      <n v="-1165.5" in="0">
        <tpls c="5">
          <tpl fld="1" item="9"/>
          <tpl fld="2" item="5"/>
          <tpl hier="10" item="8"/>
          <tpl hier="11" item="9"/>
          <tpl fld="0" item="0"/>
        </tpls>
      </n>
      <m in="0">
        <tpls c="5">
          <tpl fld="1" item="10"/>
          <tpl hier="9" item="4294967295"/>
          <tpl hier="10" item="8"/>
          <tpl hier="11" item="9"/>
          <tpl fld="0" item="1"/>
        </tpls>
      </m>
      <n v="-4569.5" in="0">
        <tpls c="5">
          <tpl fld="1" item="9"/>
          <tpl fld="2" item="12"/>
          <tpl hier="10" item="8"/>
          <tpl hier="11" item="9"/>
          <tpl fld="0" item="0"/>
        </tpls>
      </n>
      <m in="0">
        <tpls c="5">
          <tpl fld="1" item="5"/>
          <tpl fld="2" item="2"/>
          <tpl hier="10" item="8"/>
          <tpl hier="11" item="9"/>
          <tpl fld="0" item="0"/>
        </tpls>
      </m>
      <n v="-1184.5" in="0">
        <tpls c="5">
          <tpl fld="1" item="7"/>
          <tpl fld="2" item="4"/>
          <tpl hier="10" item="8"/>
          <tpl hier="11" item="9"/>
          <tpl fld="0" item="0"/>
        </tpls>
      </n>
      <n v="-12429" in="0">
        <tpls c="5">
          <tpl fld="1" item="3"/>
          <tpl fld="2" item="6"/>
          <tpl hier="10" item="8"/>
          <tpl hier="11" item="9"/>
          <tpl fld="0" item="0"/>
        </tpls>
      </n>
      <m in="0">
        <tpls c="5">
          <tpl fld="1" item="4"/>
          <tpl fld="2" item="13"/>
          <tpl hier="10" item="8"/>
          <tpl hier="11" item="9"/>
          <tpl fld="0" item="1"/>
        </tpls>
      </m>
      <m in="0">
        <tpls c="5">
          <tpl fld="1" item="9"/>
          <tpl fld="2" item="15"/>
          <tpl hier="10" item="8"/>
          <tpl hier="11" item="9"/>
          <tpl fld="0" item="1"/>
        </tpls>
      </m>
      <n v="-2724" in="0">
        <tpls c="5">
          <tpl fld="1" item="1"/>
          <tpl fld="2" item="3"/>
          <tpl hier="10" item="8"/>
          <tpl hier="11" item="9"/>
          <tpl fld="0" item="0"/>
        </tpls>
      </n>
      <n v="-31728.75" in="0">
        <tpls c="5">
          <tpl fld="1" item="7"/>
          <tpl fld="2" item="8"/>
          <tpl hier="10" item="8"/>
          <tpl hier="11" item="9"/>
          <tpl fld="0" item="0"/>
        </tpls>
      </n>
      <n v="-14831.75" in="0">
        <tpls c="4">
          <tpl fld="2" item="5"/>
          <tpl hier="10" item="8"/>
          <tpl hier="11" item="9"/>
          <tpl fld="0" item="0"/>
        </tpls>
      </n>
      <n v="-9943" in="0">
        <tpls c="5">
          <tpl fld="1" item="1"/>
          <tpl fld="2" item="10"/>
          <tpl hier="10" item="8"/>
          <tpl hier="11" item="9"/>
          <tpl fld="0" item="0"/>
        </tpls>
      </n>
      <m in="0">
        <tpls c="5">
          <tpl fld="1" item="10"/>
          <tpl fld="2" item="0"/>
          <tpl hier="10" item="8"/>
          <tpl hier="11" item="9"/>
          <tpl fld="0" item="1"/>
        </tpls>
      </m>
      <m in="0">
        <tpls c="5">
          <tpl fld="1" item="3"/>
          <tpl fld="2" item="12"/>
          <tpl hier="10" item="8"/>
          <tpl hier="11" item="9"/>
          <tpl fld="0" item="1"/>
        </tpls>
      </m>
      <n v="105300402" in="0">
        <tpls c="4">
          <tpl fld="2" item="9"/>
          <tpl hier="10" item="8"/>
          <tpl hier="11" item="9"/>
          <tpl fld="0" item="0"/>
        </tpls>
      </n>
      <n v="-4075.25" in="0">
        <tpls c="5">
          <tpl fld="1" item="2"/>
          <tpl fld="2" item="1"/>
          <tpl hier="10" item="8"/>
          <tpl hier="11" item="9"/>
          <tpl fld="0" item="0"/>
        </tpls>
      </n>
      <n v="-471142" in="0">
        <tpls c="4">
          <tpl fld="2" item="14"/>
          <tpl hier="10" item="8"/>
          <tpl hier="11" item="9"/>
          <tpl fld="0" item="0"/>
        </tpls>
      </n>
      <m in="0">
        <tpls c="5">
          <tpl fld="1" item="2"/>
          <tpl fld="2" item="10"/>
          <tpl hier="10" item="8"/>
          <tpl hier="11" item="9"/>
          <tpl fld="0" item="1"/>
        </tpls>
      </m>
      <m in="0">
        <tpls c="5">
          <tpl fld="1" item="6"/>
          <tpl fld="2" item="8"/>
          <tpl hier="10" item="8"/>
          <tpl hier="11" item="9"/>
          <tpl fld="0" item="1"/>
        </tpls>
      </m>
      <n v="-54008.75" in="0">
        <tpls c="4">
          <tpl fld="2" item="1"/>
          <tpl hier="10" item="8"/>
          <tpl hier="11" item="9"/>
          <tpl fld="0" item="0"/>
        </tpls>
      </n>
      <m in="0">
        <tpls c="5">
          <tpl fld="1" item="8"/>
          <tpl fld="2" item="6"/>
          <tpl hier="10" item="8"/>
          <tpl hier="11" item="9"/>
          <tpl fld="0" item="1"/>
        </tpls>
      </m>
      <n v="-89075.5" in="0">
        <tpls c="4">
          <tpl fld="2" item="8"/>
          <tpl hier="10" item="8"/>
          <tpl hier="11" item="9"/>
          <tpl fld="0" item="0"/>
        </tpls>
      </n>
      <m in="0">
        <tpls c="5">
          <tpl fld="1" item="1"/>
          <tpl hier="9" item="4294967295"/>
          <tpl hier="10" item="8"/>
          <tpl hier="11" item="9"/>
          <tpl fld="0" item="1"/>
        </tpls>
      </m>
      <n v="-1468.75" in="0">
        <tpls c="5">
          <tpl fld="1" item="8"/>
          <tpl fld="2" item="4"/>
          <tpl hier="10" item="8"/>
          <tpl hier="11" item="9"/>
          <tpl fld="0" item="0"/>
        </tpls>
      </n>
      <m in="0">
        <tpls c="5">
          <tpl fld="1" item="4"/>
          <tpl fld="2" item="8"/>
          <tpl hier="10" item="8"/>
          <tpl hier="11" item="9"/>
          <tpl fld="0" item="1"/>
        </tpls>
      </m>
      <n v="-14109" in="0">
        <tpls c="5">
          <tpl fld="1" item="7"/>
          <tpl fld="2" item="10"/>
          <tpl hier="10" item="8"/>
          <tpl hier="11" item="9"/>
          <tpl fld="0" item="0"/>
        </tpls>
      </n>
      <n v="-7028.5" in="0">
        <tpls c="5">
          <tpl fld="1" item="1"/>
          <tpl fld="2" item="15"/>
          <tpl hier="10" item="8"/>
          <tpl hier="11" item="9"/>
          <tpl fld="0" item="0"/>
        </tpls>
      </n>
      <n v="-1693.75" in="0">
        <tpls c="5">
          <tpl fld="1" item="2"/>
          <tpl fld="2" item="5"/>
          <tpl hier="10" item="8"/>
          <tpl hier="11" item="9"/>
          <tpl fld="0" item="0"/>
        </tpls>
      </n>
      <n v="8650892" in="0">
        <tpls c="5">
          <tpl fld="1" item="10"/>
          <tpl hier="9" item="4294967295"/>
          <tpl hier="10" item="8"/>
          <tpl hier="11" item="9"/>
          <tpl fld="0" item="0"/>
        </tpls>
      </n>
      <m in="0">
        <tpls c="5">
          <tpl fld="1" item="2"/>
          <tpl fld="2" item="5"/>
          <tpl hier="10" item="8"/>
          <tpl hier="11" item="9"/>
          <tpl fld="0" item="1"/>
        </tpls>
      </m>
      <m in="0">
        <tpls c="5">
          <tpl fld="1" item="8"/>
          <tpl fld="2" item="13"/>
          <tpl hier="10" item="8"/>
          <tpl hier="11" item="9"/>
          <tpl fld="0" item="1"/>
        </tpls>
      </m>
      <m in="0">
        <tpls c="5">
          <tpl fld="1" item="6"/>
          <tpl fld="2" item="15"/>
          <tpl hier="10" item="8"/>
          <tpl hier="11" item="9"/>
          <tpl fld="0" item="1"/>
        </tpls>
      </m>
      <m in="0">
        <tpls c="5">
          <tpl fld="1" item="7"/>
          <tpl fld="2" item="3"/>
          <tpl hier="10" item="8"/>
          <tpl hier="11" item="9"/>
          <tpl fld="0" item="1"/>
        </tpls>
      </m>
      <m in="0">
        <tpls c="5">
          <tpl fld="1" item="9"/>
          <tpl fld="2" item="14"/>
          <tpl hier="10" item="8"/>
          <tpl hier="11" item="9"/>
          <tpl fld="0" item="1"/>
        </tpls>
      </m>
      <m in="0">
        <tpls c="5">
          <tpl fld="1" item="7"/>
          <tpl fld="2" item="2"/>
          <tpl hier="10" item="8"/>
          <tpl hier="11" item="9"/>
          <tpl fld="0" item="0"/>
        </tpls>
      </m>
      <m in="0">
        <tpls c="4">
          <tpl fld="2" item="2"/>
          <tpl hier="10" item="8"/>
          <tpl hier="11" item="9"/>
          <tpl fld="0" item="1"/>
        </tpls>
      </m>
      <n v="-5762" in="0">
        <tpls c="5">
          <tpl fld="1" item="7"/>
          <tpl fld="2" item="15"/>
          <tpl hier="10" item="8"/>
          <tpl hier="11" item="9"/>
          <tpl fld="0" item="0"/>
        </tpls>
      </n>
      <n v="-184702.25" in="0">
        <tpls c="5">
          <tpl fld="1" item="0"/>
          <tpl fld="2" item="0"/>
          <tpl hier="10" item="8"/>
          <tpl hier="11" item="9"/>
          <tpl fld="0" item="0"/>
        </tpls>
      </n>
      <m in="0">
        <tpls c="5">
          <tpl fld="1" item="4"/>
          <tpl fld="2" item="7"/>
          <tpl hier="10" item="8"/>
          <tpl hier="11" item="9"/>
          <tpl fld="0" item="1"/>
        </tpls>
      </m>
      <m in="0">
        <tpls c="5">
          <tpl fld="1" item="0"/>
          <tpl fld="2" item="1"/>
          <tpl hier="10" item="8"/>
          <tpl hier="11" item="9"/>
          <tpl fld="0" item="1"/>
        </tpls>
      </m>
      <m in="0">
        <tpls c="5">
          <tpl fld="1" item="9"/>
          <tpl fld="2" item="6"/>
          <tpl hier="10" item="8"/>
          <tpl hier="11" item="9"/>
          <tpl fld="0" item="1"/>
        </tpls>
      </m>
      <m in="0">
        <tpls c="5">
          <tpl fld="1" item="10"/>
          <tpl fld="2" item="10"/>
          <tpl hier="10" item="8"/>
          <tpl hier="11" item="9"/>
          <tpl fld="0" item="1"/>
        </tpls>
      </m>
      <n v="-4612.25" in="0">
        <tpls c="5">
          <tpl fld="1" item="0"/>
          <tpl fld="2" item="1"/>
          <tpl hier="10" item="8"/>
          <tpl hier="11" item="9"/>
          <tpl fld="0" item="0"/>
        </tpls>
      </n>
      <n v="-3794.75" in="0">
        <tpls c="5">
          <tpl fld="1" item="1"/>
          <tpl fld="2" item="1"/>
          <tpl hier="10" item="8"/>
          <tpl hier="11" item="9"/>
          <tpl fld="0" item="0"/>
        </tpls>
      </n>
      <m in="0">
        <tpls c="5">
          <tpl fld="1" item="1"/>
          <tpl fld="2" item="12"/>
          <tpl hier="10" item="8"/>
          <tpl hier="11" item="9"/>
          <tpl fld="0" item="1"/>
        </tpls>
      </m>
      <n v="-240467.25" in="0">
        <tpls c="5">
          <tpl fld="1" item="7"/>
          <tpl fld="2" item="0"/>
          <tpl hier="10" item="8"/>
          <tpl hier="11" item="9"/>
          <tpl fld="0" item="0"/>
        </tpls>
      </n>
      <m in="0">
        <tpls c="5">
          <tpl fld="1" item="9"/>
          <tpl fld="2" item="4"/>
          <tpl hier="10" item="8"/>
          <tpl hier="11" item="9"/>
          <tpl fld="0" item="1"/>
        </tpls>
      </m>
      <m in="0">
        <tpls c="5">
          <tpl fld="1" item="3"/>
          <tpl fld="2" item="10"/>
          <tpl hier="10" item="8"/>
          <tpl hier="11" item="9"/>
          <tpl fld="0" item="1"/>
        </tpls>
      </m>
      <n v="-2581.75" in="0">
        <tpls c="5">
          <tpl fld="1" item="2"/>
          <tpl fld="2" item="4"/>
          <tpl hier="10" item="8"/>
          <tpl hier="11" item="9"/>
          <tpl fld="0" item="0"/>
        </tpls>
      </n>
      <n v="8267740" in="0">
        <tpls c="5">
          <tpl fld="1" item="1"/>
          <tpl hier="9" item="4294967295"/>
          <tpl hier="10" item="8"/>
          <tpl hier="11" item="9"/>
          <tpl fld="0" item="0"/>
        </tpls>
      </n>
      <m in="0">
        <tpls c="5">
          <tpl fld="1" item="11"/>
          <tpl fld="2" item="8"/>
          <tpl hier="10" item="8"/>
          <tpl hier="11" item="9"/>
          <tpl fld="0" item="1"/>
        </tpls>
      </m>
      <m in="0">
        <tpls c="5">
          <tpl fld="1" item="1"/>
          <tpl fld="2" item="6"/>
          <tpl hier="10" item="8"/>
          <tpl hier="11" item="9"/>
          <tpl fld="0" item="1"/>
        </tpls>
      </m>
      <m in="0">
        <tpls c="5">
          <tpl fld="1" item="0"/>
          <tpl fld="2" item="7"/>
          <tpl hier="10" item="8"/>
          <tpl hier="11" item="9"/>
          <tpl fld="0" item="1"/>
        </tpls>
      </m>
      <n v="-1093.5" in="0">
        <tpls c="5">
          <tpl fld="1" item="1"/>
          <tpl fld="2" item="5"/>
          <tpl hier="10" item="8"/>
          <tpl hier="11" item="9"/>
          <tpl fld="0" item="0"/>
        </tpls>
      </n>
      <n v="-97133.833333333328" in="0">
        <tpls c="5">
          <tpl fld="1" item="0"/>
          <tpl fld="2" item="7"/>
          <tpl hier="10" item="8"/>
          <tpl hier="11" item="9"/>
          <tpl fld="0" item="0"/>
        </tpls>
      </n>
      <m in="0">
        <tpls c="5">
          <tpl fld="1" item="7"/>
          <tpl fld="2" item="2"/>
          <tpl hier="10" item="8"/>
          <tpl hier="11" item="9"/>
          <tpl fld="0" item="1"/>
        </tpls>
      </m>
      <m in="0">
        <tpls c="5">
          <tpl fld="1" item="8"/>
          <tpl hier="9" item="4294967295"/>
          <tpl hier="10" item="8"/>
          <tpl hier="11" item="9"/>
          <tpl fld="0" item="1"/>
        </tpls>
      </m>
      <n v="8716551" in="0">
        <tpls c="5">
          <tpl fld="1" item="1"/>
          <tpl fld="2" item="9"/>
          <tpl hier="10" item="8"/>
          <tpl hier="11" item="9"/>
          <tpl fld="0" item="0"/>
        </tpls>
      </n>
      <m in="0">
        <tpls c="5">
          <tpl fld="1" item="2"/>
          <tpl fld="2" item="7"/>
          <tpl hier="10" item="8"/>
          <tpl hier="11" item="9"/>
          <tpl fld="0" item="1"/>
        </tpls>
      </m>
      <m in="0">
        <tpls c="5">
          <tpl fld="1" item="8"/>
          <tpl fld="2" item="2"/>
          <tpl hier="10" item="8"/>
          <tpl hier="11" item="9"/>
          <tpl fld="0" item="0"/>
        </tpls>
      </m>
      <m in="0">
        <tpls c="5">
          <tpl fld="1" item="6"/>
          <tpl fld="2" item="5"/>
          <tpl hier="10" item="8"/>
          <tpl hier="11" item="9"/>
          <tpl fld="0" item="1"/>
        </tpls>
      </m>
      <n v="-196676.25" in="0">
        <tpls c="5">
          <tpl fld="1" item="8"/>
          <tpl fld="2" item="7"/>
          <tpl hier="10" item="8"/>
          <tpl hier="11" item="9"/>
          <tpl fld="0" item="0"/>
        </tpls>
      </n>
      <n v="-4718.25" in="0">
        <tpls c="5">
          <tpl fld="1" item="4"/>
          <tpl fld="2" item="12"/>
          <tpl hier="10" item="8"/>
          <tpl hier="11" item="9"/>
          <tpl fld="0" item="0"/>
        </tpls>
      </n>
      <n v="-106007.58333333333" in="0">
        <tpls c="5">
          <tpl fld="1" item="7"/>
          <tpl fld="2" item="7"/>
          <tpl hier="10" item="8"/>
          <tpl hier="11" item="9"/>
          <tpl fld="0" item="0"/>
        </tpls>
      </n>
      <m in="0">
        <tpls c="5">
          <tpl fld="1" item="4"/>
          <tpl fld="2" item="1"/>
          <tpl hier="10" item="8"/>
          <tpl hier="11" item="9"/>
          <tpl fld="0" item="1"/>
        </tpls>
      </m>
      <n v="-488" in="0">
        <tpls c="5">
          <tpl fld="1" item="6"/>
          <tpl fld="2" item="11"/>
          <tpl hier="10" item="8"/>
          <tpl hier="11" item="9"/>
          <tpl fld="0" item="0"/>
        </tpls>
      </n>
      <n v="-3649.5" in="0">
        <tpls c="5">
          <tpl fld="1" item="2"/>
          <tpl fld="2" item="13"/>
          <tpl hier="10" item="8"/>
          <tpl hier="11" item="9"/>
          <tpl fld="0" item="0"/>
        </tpls>
      </n>
      <n v="-1057.5" in="0">
        <tpls c="5">
          <tpl fld="1" item="4"/>
          <tpl fld="2" item="5"/>
          <tpl hier="10" item="8"/>
          <tpl hier="11" item="9"/>
          <tpl fld="0" item="0"/>
        </tpls>
      </n>
      <m in="0">
        <tpls c="5">
          <tpl fld="1" item="10"/>
          <tpl fld="2" item="14"/>
          <tpl hier="10" item="8"/>
          <tpl hier="11" item="9"/>
          <tpl fld="0" item="1"/>
        </tpls>
      </m>
      <m in="0">
        <tpls c="4">
          <tpl fld="2" item="6"/>
          <tpl hier="10" item="8"/>
          <tpl hier="11" item="9"/>
          <tpl fld="0" item="1"/>
        </tpls>
      </m>
      <m in="0">
        <tpls c="5">
          <tpl fld="1" item="6"/>
          <tpl hier="9" item="4294967295"/>
          <tpl hier="10" item="8"/>
          <tpl hier="11" item="9"/>
          <tpl fld="0" item="1"/>
        </tpls>
      </m>
      <n v="-5521.25" in="0">
        <tpls c="5">
          <tpl fld="1" item="11"/>
          <tpl fld="2" item="15"/>
          <tpl hier="10" item="8"/>
          <tpl hier="11" item="9"/>
          <tpl fld="0" item="0"/>
        </tpls>
      </n>
      <m in="0">
        <tpls c="5">
          <tpl fld="1" item="0"/>
          <tpl fld="2" item="10"/>
          <tpl hier="10" item="8"/>
          <tpl hier="11" item="9"/>
          <tpl fld="0" item="1"/>
        </tpls>
      </m>
      <n v="-5030.25" in="0">
        <tpls c="5">
          <tpl fld="1" item="7"/>
          <tpl fld="2" item="1"/>
          <tpl hier="10" item="8"/>
          <tpl hier="11" item="9"/>
          <tpl fld="0" item="0"/>
        </tpls>
      </n>
      <m in="0">
        <tpls c="5">
          <tpl fld="1" item="4"/>
          <tpl fld="2" item="3"/>
          <tpl hier="10" item="8"/>
          <tpl hier="11" item="9"/>
          <tpl fld="0" item="1"/>
        </tpls>
      </m>
      <n v="-88593.75" in="0">
        <tpls c="5">
          <tpl fld="1" item="6"/>
          <tpl fld="2" item="7"/>
          <tpl hier="10" item="8"/>
          <tpl hier="11" item="9"/>
          <tpl fld="0" item="0"/>
        </tpls>
      </n>
      <n v="-6618" in="0">
        <tpls c="5">
          <tpl fld="1" item="1"/>
          <tpl fld="2" item="13"/>
          <tpl hier="10" item="8"/>
          <tpl hier="11" item="9"/>
          <tpl fld="0" item="0"/>
        </tpls>
      </n>
      <m in="0">
        <tpls c="5">
          <tpl fld="1" item="4"/>
          <tpl fld="2" item="14"/>
          <tpl hier="10" item="8"/>
          <tpl hier="11" item="9"/>
          <tpl fld="0" item="1"/>
        </tpls>
      </m>
      <m in="0">
        <tpls c="4">
          <tpl hier="9" item="4294967295"/>
          <tpl hier="10" item="8"/>
          <tpl hier="11" item="9"/>
          <tpl fld="0" item="1"/>
        </tpls>
      </m>
      <m in="0">
        <tpls c="5">
          <tpl fld="1" item="0"/>
          <tpl fld="2" item="11"/>
          <tpl hier="10" item="8"/>
          <tpl hier="11" item="9"/>
          <tpl fld="0" item="1"/>
        </tpls>
      </m>
      <n v="-101243.16666666667" in="0">
        <tpls c="5">
          <tpl fld="1" item="2"/>
          <tpl fld="2" item="7"/>
          <tpl hier="10" item="8"/>
          <tpl hier="11" item="9"/>
          <tpl fld="0" item="0"/>
        </tpls>
      </n>
      <m in="0">
        <tpls c="5">
          <tpl fld="1" item="4"/>
          <tpl fld="2" item="10"/>
          <tpl hier="10" item="8"/>
          <tpl hier="11" item="9"/>
          <tpl fld="0" item="1"/>
        </tpls>
      </m>
      <m in="0">
        <tpls c="5">
          <tpl fld="1" item="11"/>
          <tpl fld="2" item="12"/>
          <tpl hier="10" item="8"/>
          <tpl hier="11" item="9"/>
          <tpl fld="0" item="1"/>
        </tpls>
      </m>
      <m in="0">
        <tpls c="5">
          <tpl fld="1" item="6"/>
          <tpl fld="2" item="7"/>
          <tpl hier="10" item="8"/>
          <tpl hier="11" item="9"/>
          <tpl fld="0" item="1"/>
        </tpls>
      </m>
      <m in="0">
        <tpls c="4">
          <tpl fld="2" item="11"/>
          <tpl hier="10" item="8"/>
          <tpl hier="11" item="9"/>
          <tpl fld="0" item="1"/>
        </tpls>
      </m>
      <n v="-13893.25" in="0">
        <tpls c="5">
          <tpl fld="1" item="4"/>
          <tpl fld="2" item="10"/>
          <tpl hier="10" item="8"/>
          <tpl hier="11" item="9"/>
          <tpl fld="0" item="0"/>
        </tpls>
      </n>
      <m in="0">
        <tpls c="4">
          <tpl fld="2" item="2"/>
          <tpl hier="10" item="8"/>
          <tpl hier="11" item="9"/>
          <tpl fld="0" item="0"/>
        </tpls>
      </m>
      <n v="-59957.25" in="0">
        <tpls c="5">
          <tpl fld="1" item="7"/>
          <tpl fld="2" item="14"/>
          <tpl hier="10" item="8"/>
          <tpl hier="11" item="9"/>
          <tpl fld="0" item="0"/>
        </tpls>
      </n>
      <n v="-1554236" in="0">
        <tpls c="4">
          <tpl fld="2" item="7"/>
          <tpl hier="10" item="8"/>
          <tpl hier="11" item="9"/>
          <tpl fld="0" item="0"/>
        </tpls>
      </n>
      <n v="-6559.5" in="0">
        <tpls c="5">
          <tpl fld="1" item="5"/>
          <tpl fld="2" item="13"/>
          <tpl hier="10" item="8"/>
          <tpl hier="11" item="9"/>
          <tpl fld="0" item="0"/>
        </tpls>
      </n>
      <m in="0">
        <tpls c="4">
          <tpl fld="2" item="1"/>
          <tpl hier="10" item="8"/>
          <tpl hier="11" item="9"/>
          <tpl fld="0" item="1"/>
        </tpls>
      </m>
      <m in="0">
        <tpls c="5">
          <tpl fld="1" item="0"/>
          <tpl fld="2" item="12"/>
          <tpl hier="10" item="8"/>
          <tpl hier="11" item="9"/>
          <tpl fld="0" item="1"/>
        </tpls>
      </m>
      <m in="0">
        <tpls c="5">
          <tpl fld="1" item="2"/>
          <tpl fld="2" item="8"/>
          <tpl hier="10" item="8"/>
          <tpl hier="11" item="9"/>
          <tpl fld="0" item="1"/>
        </tpls>
      </m>
      <m in="0">
        <tpls c="5">
          <tpl fld="1" item="7"/>
          <tpl fld="2" item="0"/>
          <tpl hier="10" item="8"/>
          <tpl hier="11" item="9"/>
          <tpl fld="0" item="1"/>
        </tpls>
      </m>
      <m in="0">
        <tpls c="4">
          <tpl fld="2" item="7"/>
          <tpl hier="10" item="8"/>
          <tpl hier="11" item="9"/>
          <tpl fld="0" item="1"/>
        </tpls>
      </m>
      <m in="0">
        <tpls c="5">
          <tpl fld="1" item="5"/>
          <tpl fld="2" item="13"/>
          <tpl hier="10" item="8"/>
          <tpl hier="11" item="9"/>
          <tpl fld="0" item="1"/>
        </tpls>
      </m>
      <n v="-202967.5" in="0">
        <tpls c="4">
          <tpl fld="2" item="6"/>
          <tpl hier="10" item="8"/>
          <tpl hier="11" item="9"/>
          <tpl fld="0" item="0"/>
        </tpls>
      </n>
      <n v="-584.75" in="0">
        <tpls c="5">
          <tpl fld="1" item="11"/>
          <tpl fld="2" item="11"/>
          <tpl hier="10" item="8"/>
          <tpl hier="11" item="9"/>
          <tpl fld="0" item="0"/>
        </tpls>
      </n>
      <m in="0">
        <tpls c="5">
          <tpl fld="1" item="11"/>
          <tpl fld="2" item="3"/>
          <tpl hier="10" item="8"/>
          <tpl hier="11" item="9"/>
          <tpl fld="0" item="1"/>
        </tpls>
      </m>
      <n v="-143808.25" in="0">
        <tpls c="4">
          <tpl fld="2" item="10"/>
          <tpl hier="10" item="8"/>
          <tpl hier="11" item="9"/>
          <tpl fld="0" item="0"/>
        </tpls>
      </n>
      <n v="9208197" in="0">
        <tpls c="5">
          <tpl fld="1" item="11"/>
          <tpl fld="2" item="9"/>
          <tpl hier="10" item="8"/>
          <tpl hier="11" item="9"/>
          <tpl fld="0" item="0"/>
        </tpls>
      </n>
      <n v="-2672653.25" in="0">
        <tpls c="4">
          <tpl fld="2" item="0"/>
          <tpl hier="10" item="8"/>
          <tpl hier="11" item="9"/>
          <tpl fld="0" item="0"/>
        </tpls>
      </n>
      <m in="0">
        <tpls c="5">
          <tpl fld="1" item="8"/>
          <tpl fld="2" item="1"/>
          <tpl hier="10" item="8"/>
          <tpl hier="11" item="9"/>
          <tpl fld="0" item="1"/>
        </tpls>
      </m>
      <m in="0">
        <tpls c="4">
          <tpl fld="2" item="5"/>
          <tpl hier="10" item="8"/>
          <tpl hier="11" item="9"/>
          <tpl fld="0" item="1"/>
        </tpls>
      </m>
      <m in="0">
        <tpls c="4">
          <tpl fld="2" item="10"/>
          <tpl hier="10" item="8"/>
          <tpl hier="11" item="9"/>
          <tpl fld="0" item="1"/>
        </tpls>
      </m>
      <n v="-1048.25" in="0">
        <tpls c="5">
          <tpl fld="1" item="11"/>
          <tpl fld="2" item="5"/>
          <tpl hier="10" item="8"/>
          <tpl hier="11" item="9"/>
          <tpl fld="0" item="0"/>
        </tpls>
      </n>
      <n v="-27669.25" in="0">
        <tpls c="4">
          <tpl fld="2" item="3"/>
          <tpl hier="10" item="8"/>
          <tpl hier="11" item="9"/>
          <tpl fld="0" item="0"/>
        </tpls>
      </n>
      <m in="0">
        <tpls c="5">
          <tpl fld="1" item="8"/>
          <tpl fld="2" item="4"/>
          <tpl hier="10" item="8"/>
          <tpl hier="11" item="9"/>
          <tpl fld="0" item="1"/>
        </tpls>
      </m>
      <n v="-11558" in="0">
        <tpls c="5">
          <tpl fld="1" item="11"/>
          <tpl fld="2" item="10"/>
          <tpl hier="10" item="8"/>
          <tpl hier="11" item="9"/>
          <tpl fld="0" item="0"/>
        </tpls>
      </n>
      <m in="0">
        <tpls c="5">
          <tpl fld="1" item="9"/>
          <tpl hier="9" item="4294967295"/>
          <tpl hier="10" item="8"/>
          <tpl hier="11" item="9"/>
          <tpl fld="0" item="1"/>
        </tpls>
      </m>
      <n v="-1911.75" in="0">
        <tpls c="5">
          <tpl fld="1" item="3"/>
          <tpl fld="2" item="3"/>
          <tpl hier="10" item="8"/>
          <tpl hier="11" item="9"/>
          <tpl fld="0" item="0"/>
        </tpls>
      </n>
      <m in="0">
        <tpls c="5">
          <tpl fld="1" item="9"/>
          <tpl fld="2" item="2"/>
          <tpl hier="10" item="8"/>
          <tpl hier="11" item="9"/>
          <tpl fld="0" item="0"/>
        </tpls>
      </m>
      <m in="0">
        <tpls c="5">
          <tpl fld="1" item="11"/>
          <tpl fld="2" item="2"/>
          <tpl hier="10" item="8"/>
          <tpl hier="11" item="9"/>
          <tpl fld="0" item="0"/>
        </tpls>
      </m>
      <n v="-668.75" in="0">
        <tpls c="5">
          <tpl fld="1" item="10"/>
          <tpl fld="2" item="11"/>
          <tpl hier="10" item="8"/>
          <tpl hier="11" item="9"/>
          <tpl fld="0" item="0"/>
        </tpls>
      </n>
      <m in="0">
        <tpls c="5">
          <tpl fld="1" item="1"/>
          <tpl fld="2" item="3"/>
          <tpl hier="10" item="8"/>
          <tpl hier="11" item="9"/>
          <tpl fld="0" item="1"/>
        </tpls>
      </m>
      <m in="0">
        <tpls c="5">
          <tpl fld="1" item="2"/>
          <tpl fld="2" item="12"/>
          <tpl hier="10" item="8"/>
          <tpl hier="11" item="9"/>
          <tpl fld="0" item="1"/>
        </tpls>
      </m>
      <n v="-24385.75" in="0">
        <tpls c="4">
          <tpl fld="2" item="4"/>
          <tpl hier="10" item="8"/>
          <tpl hier="11" item="9"/>
          <tpl fld="0" item="0"/>
        </tpls>
      </n>
      <n v="-27275.5" in="0">
        <tpls c="5">
          <tpl fld="1" item="5"/>
          <tpl fld="2" item="8"/>
          <tpl hier="10" item="8"/>
          <tpl hier="11" item="9"/>
          <tpl fld="0" item="0"/>
        </tpls>
      </n>
      <n v="-4007.75" in="0">
        <tpls c="5">
          <tpl fld="1" item="1"/>
          <tpl fld="2" item="12"/>
          <tpl hier="10" item="8"/>
          <tpl hier="11" item="9"/>
          <tpl fld="0" item="0"/>
        </tpls>
      </n>
      <m in="0">
        <tpls c="5">
          <tpl fld="1" item="2"/>
          <tpl hier="9" item="4294967295"/>
          <tpl hier="10" item="8"/>
          <tpl hier="11" item="9"/>
          <tpl fld="0" item="1"/>
        </tpls>
      </m>
      <n v="-7878.75" in="0">
        <tpls c="5">
          <tpl fld="1" item="0"/>
          <tpl fld="2" item="15"/>
          <tpl hier="10" item="8"/>
          <tpl hier="11" item="9"/>
          <tpl fld="0" item="0"/>
        </tpls>
      </n>
      <m in="0">
        <tpls c="5">
          <tpl fld="1" item="10"/>
          <tpl fld="2" item="8"/>
          <tpl hier="10" item="8"/>
          <tpl hier="11" item="9"/>
          <tpl fld="0" item="1"/>
        </tpls>
      </m>
      <n v="-499.5" in="0">
        <tpls c="5">
          <tpl fld="1" item="4"/>
          <tpl fld="2" item="11"/>
          <tpl hier="10" item="8"/>
          <tpl hier="11" item="9"/>
          <tpl fld="0" item="0"/>
        </tpls>
      </n>
      <n v="-4969.25" in="0">
        <tpls c="5">
          <tpl fld="1" item="11"/>
          <tpl fld="2" item="12"/>
          <tpl hier="10" item="8"/>
          <tpl hier="11" item="9"/>
          <tpl fld="0" item="0"/>
        </tpls>
      </n>
      <n v="-5917.5" in="0">
        <tpls c="5">
          <tpl fld="1" item="5"/>
          <tpl fld="2" item="12"/>
          <tpl hier="10" item="8"/>
          <tpl hier="11" item="9"/>
          <tpl fld="0" item="0"/>
        </tpls>
      </n>
      <m in="0">
        <tpls c="5">
          <tpl fld="1" item="2"/>
          <tpl fld="2" item="15"/>
          <tpl hier="10" item="8"/>
          <tpl hier="11" item="9"/>
          <tpl fld="0" item="1"/>
        </tpls>
      </m>
      <n v="-17338" in="0">
        <tpls c="5">
          <tpl fld="1" item="6"/>
          <tpl fld="2" item="6"/>
          <tpl hier="10" item="8"/>
          <tpl hier="11" item="9"/>
          <tpl fld="0" item="0"/>
        </tpls>
      </n>
      <n v="-4155" in="0">
        <tpls c="5">
          <tpl fld="1" item="8"/>
          <tpl fld="2" item="1"/>
          <tpl hier="10" item="8"/>
          <tpl hier="11" item="9"/>
          <tpl fld="0" item="0"/>
        </tpls>
      </n>
      <n v="9730180" in="0">
        <tpls c="5">
          <tpl fld="1" item="9"/>
          <tpl fld="2" item="9"/>
          <tpl hier="10" item="8"/>
          <tpl hier="11" item="9"/>
          <tpl fld="0" item="0"/>
        </tpls>
      </n>
      <n v="-4989.75" in="0">
        <tpls c="5">
          <tpl fld="1" item="9"/>
          <tpl fld="2" item="15"/>
          <tpl hier="10" item="8"/>
          <tpl hier="11" item="9"/>
          <tpl fld="0" item="0"/>
        </tpls>
      </n>
      <m in="0">
        <tpls c="5">
          <tpl fld="1" item="2"/>
          <tpl fld="2" item="11"/>
          <tpl hier="10" item="8"/>
          <tpl hier="11" item="9"/>
          <tpl fld="0" item="1"/>
        </tpls>
      </m>
      <n v="-50691.25" in="0">
        <tpls c="5">
          <tpl fld="1" item="4"/>
          <tpl fld="2" item="14"/>
          <tpl hier="10" item="8"/>
          <tpl hier="11" item="9"/>
          <tpl fld="0" item="0"/>
        </tpls>
      </n>
      <n v="-243372.5" in="0">
        <tpls c="5">
          <tpl fld="1" item="2"/>
          <tpl fld="2" item="0"/>
          <tpl hier="10" item="8"/>
          <tpl hier="11" item="9"/>
          <tpl fld="0" item="0"/>
        </tpls>
      </n>
      <m in="0">
        <tpls c="5">
          <tpl fld="1" item="11"/>
          <tpl fld="2" item="1"/>
          <tpl hier="10" item="8"/>
          <tpl hier="11" item="9"/>
          <tpl fld="0" item="1"/>
        </tpls>
      </m>
      <n v="-214453.75" in="0">
        <tpls c="5">
          <tpl fld="1" item="5"/>
          <tpl fld="2" item="0"/>
          <tpl hier="10" item="8"/>
          <tpl hier="11" item="9"/>
          <tpl fld="0" item="0"/>
        </tpls>
      </n>
      <m in="0">
        <tpls c="5">
          <tpl fld="1" item="11"/>
          <tpl fld="2" item="9"/>
          <tpl hier="10" item="8"/>
          <tpl hier="11" item="9"/>
          <tpl fld="0" item="1"/>
        </tpls>
      </m>
      <n v="-1215" in="0">
        <tpls c="5">
          <tpl fld="1" item="6"/>
          <tpl fld="2" item="4"/>
          <tpl hier="10" item="8"/>
          <tpl hier="11" item="9"/>
          <tpl fld="0" item="0"/>
        </tpls>
      </n>
      <m in="0">
        <tpls c="5">
          <tpl fld="1" item="4"/>
          <tpl fld="2" item="4"/>
          <tpl hier="10" item="8"/>
          <tpl hier="11" item="9"/>
          <tpl fld="0" item="1"/>
        </tpls>
      </m>
      <n v="-4083.25" in="0">
        <tpls c="5">
          <tpl fld="1" item="3"/>
          <tpl fld="2" item="12"/>
          <tpl hier="10" item="8"/>
          <tpl hier="11" item="9"/>
          <tpl fld="0" item="0"/>
        </tpls>
      </n>
      <n v="-528.5" in="0">
        <tpls c="5">
          <tpl fld="1" item="2"/>
          <tpl fld="2" item="11"/>
          <tpl hier="10" item="8"/>
          <tpl hier="11" item="9"/>
          <tpl fld="0" item="0"/>
        </tpls>
      </n>
      <m in="0">
        <tpls c="5">
          <tpl fld="1" item="5"/>
          <tpl fld="2" item="8"/>
          <tpl hier="10" item="8"/>
          <tpl hier="11" item="9"/>
          <tpl fld="0" item="1"/>
        </tpls>
      </m>
      <n v="-1034" in="0">
        <tpls c="5">
          <tpl fld="1" item="7"/>
          <tpl fld="2" item="5"/>
          <tpl hier="10" item="8"/>
          <tpl hier="11" item="9"/>
          <tpl fld="0" item="0"/>
        </tpls>
      </n>
      <m in="0">
        <tpls c="5">
          <tpl fld="1" item="7"/>
          <tpl fld="2" item="7"/>
          <tpl hier="10" item="8"/>
          <tpl hier="11" item="9"/>
          <tpl fld="0" item="1"/>
        </tpls>
      </m>
      <n v="-11324.5" in="0">
        <tpls c="5">
          <tpl fld="1" item="2"/>
          <tpl fld="2" item="10"/>
          <tpl hier="10" item="8"/>
          <tpl hier="11" item="9"/>
          <tpl fld="0" item="0"/>
        </tpls>
      </n>
      <m in="0">
        <tpls c="5">
          <tpl fld="1" item="6"/>
          <tpl fld="2" item="11"/>
          <tpl hier="10" item="8"/>
          <tpl hier="11" item="9"/>
          <tpl fld="0" item="1"/>
        </tpls>
      </m>
      <m in="0">
        <tpls c="5">
          <tpl fld="1" item="2"/>
          <tpl fld="2" item="13"/>
          <tpl hier="10" item="8"/>
          <tpl hier="11" item="9"/>
          <tpl fld="0" item="1"/>
        </tpls>
      </m>
      <n v="-1215" in="0">
        <tpls c="5">
          <tpl fld="1" item="4"/>
          <tpl fld="2" item="4"/>
          <tpl hier="10" item="8"/>
          <tpl hier="11" item="9"/>
          <tpl fld="0" item="0"/>
        </tpls>
      </n>
      <m in="0">
        <tpls c="5">
          <tpl fld="1" item="7"/>
          <tpl fld="2" item="14"/>
          <tpl hier="10" item="8"/>
          <tpl hier="11" item="9"/>
          <tpl fld="0" item="1"/>
        </tpls>
      </m>
      <m in="0">
        <tpls c="4">
          <tpl fld="2" item="8"/>
          <tpl hier="10" item="8"/>
          <tpl hier="11" item="9"/>
          <tpl fld="0" item="1"/>
        </tpls>
      </m>
      <n v="99842775.25" in="0">
        <tpls c="4">
          <tpl hier="9" item="4294967295"/>
          <tpl hier="10" item="8"/>
          <tpl hier="11" item="9"/>
          <tpl fld="0" item="0"/>
        </tpls>
      </n>
      <n v="-4957" in="0">
        <tpls c="5">
          <tpl fld="1" item="10"/>
          <tpl fld="2" item="15"/>
          <tpl hier="10" item="8"/>
          <tpl hier="11" item="9"/>
          <tpl fld="0" item="0"/>
        </tpls>
      </n>
      <n v="-10639.5" in="0">
        <tpls c="5">
          <tpl fld="1" item="0"/>
          <tpl fld="2" item="10"/>
          <tpl hier="10" item="8"/>
          <tpl hier="11" item="9"/>
          <tpl fld="0" item="0"/>
        </tpls>
      </n>
      <m in="0">
        <tpls c="5">
          <tpl fld="1" item="2"/>
          <tpl fld="2" item="2"/>
          <tpl hier="10" item="8"/>
          <tpl hier="11" item="9"/>
          <tpl fld="0" item="0"/>
        </tpls>
      </m>
      <n v="-5354.75" in="0">
        <tpls c="5">
          <tpl fld="1" item="4"/>
          <tpl fld="2" item="13"/>
          <tpl hier="10" item="8"/>
          <tpl hier="11" item="9"/>
          <tpl fld="0" item="0"/>
        </tpls>
      </n>
      <m in="0">
        <tpls c="5">
          <tpl fld="1" item="1"/>
          <tpl fld="2" item="10"/>
          <tpl hier="10" item="8"/>
          <tpl hier="11" item="9"/>
          <tpl fld="0" item="1"/>
        </tpls>
      </m>
      <n v="-6569.75" in="0">
        <tpls c="4">
          <tpl fld="2" item="11"/>
          <tpl hier="10" item="8"/>
          <tpl hier="11" item="9"/>
          <tpl fld="0" item="0"/>
        </tpls>
      </n>
      <m in="0">
        <tpls c="4">
          <tpl fld="2" item="3"/>
          <tpl hier="10" item="8"/>
          <tpl hier="11" item="9"/>
          <tpl fld="0" item="1"/>
        </tpls>
      </m>
      <m in="0">
        <tpls c="5">
          <tpl fld="1" item="10"/>
          <tpl fld="2" item="15"/>
          <tpl hier="10" item="8"/>
          <tpl hier="11" item="9"/>
          <tpl fld="0" item="1"/>
        </tpls>
      </m>
      <m in="0">
        <tpls c="5">
          <tpl fld="1" item="1"/>
          <tpl fld="2" item="8"/>
          <tpl hier="10" item="8"/>
          <tpl hier="11" item="9"/>
          <tpl fld="0" item="1"/>
        </tpls>
      </m>
      <m in="0">
        <tpls c="5">
          <tpl fld="1" item="6"/>
          <tpl fld="2" item="3"/>
          <tpl hier="10" item="8"/>
          <tpl hier="11" item="9"/>
          <tpl fld="0" item="1"/>
        </tpls>
      </m>
      <m in="0">
        <tpls c="5">
          <tpl fld="1" item="8"/>
          <tpl fld="2" item="5"/>
          <tpl hier="10" item="8"/>
          <tpl hier="11" item="9"/>
          <tpl fld="0" item="1"/>
        </tpls>
      </m>
      <m in="0">
        <tpls c="5">
          <tpl fld="1" item="5"/>
          <tpl fld="2" item="10"/>
          <tpl hier="10" item="8"/>
          <tpl hier="11" item="9"/>
          <tpl fld="0" item="1"/>
        </tpls>
      </m>
      <m in="0">
        <tpls c="5">
          <tpl fld="1" item="1"/>
          <tpl fld="2" item="13"/>
          <tpl hier="10" item="8"/>
          <tpl hier="11" item="9"/>
          <tpl fld="0" item="1"/>
        </tpls>
      </m>
      <n v="-30042" in="0">
        <tpls c="5">
          <tpl fld="1" item="9"/>
          <tpl fld="2" item="14"/>
          <tpl hier="10" item="8"/>
          <tpl hier="11" item="9"/>
          <tpl fld="0" item="0"/>
        </tpls>
      </n>
      <n v="-665.5" in="0">
        <tpls c="5">
          <tpl fld="1" item="0"/>
          <tpl fld="2" item="11"/>
          <tpl hier="10" item="8"/>
          <tpl hier="11" item="9"/>
          <tpl fld="0" item="0"/>
        </tpls>
      </n>
      <m in="0">
        <tpls c="5">
          <tpl fld="1" item="7"/>
          <tpl fld="2" item="11"/>
          <tpl hier="10" item="8"/>
          <tpl hier="11" item="9"/>
          <tpl fld="0" item="1"/>
        </tpls>
      </m>
      <m in="0">
        <tpls c="5">
          <tpl fld="1" item="6"/>
          <tpl fld="2" item="13"/>
          <tpl hier="10" item="8"/>
          <tpl hier="11" item="9"/>
          <tpl fld="0" item="1"/>
        </tpls>
      </m>
      <n v="-7775.25" in="0">
        <tpls c="5">
          <tpl fld="1" item="6"/>
          <tpl fld="2" item="10"/>
          <tpl hier="10" item="8"/>
          <tpl hier="11" item="9"/>
          <tpl fld="0" item="0"/>
        </tpls>
      </n>
      <n v="-213641.75" in="0">
        <tpls c="5">
          <tpl fld="1" item="4"/>
          <tpl fld="2" item="0"/>
          <tpl hier="10" item="8"/>
          <tpl hier="11" item="9"/>
          <tpl fld="0" item="0"/>
        </tpls>
      </n>
      <n v="-66100.25" in="0">
        <tpls c="4">
          <tpl fld="2" item="13"/>
          <tpl hier="10" item="8"/>
          <tpl hier="11" item="9"/>
          <tpl fld="0" item="0"/>
        </tpls>
      </n>
      <m in="0">
        <tpls c="5">
          <tpl fld="1" item="3"/>
          <tpl fld="2" item="2"/>
          <tpl hier="10" item="8"/>
          <tpl hier="11" item="9"/>
          <tpl fld="0" item="1"/>
        </tpls>
      </m>
      <m in="0">
        <tpls c="5">
          <tpl fld="1" item="1"/>
          <tpl fld="2" item="0"/>
          <tpl hier="10" item="8"/>
          <tpl hier="11" item="9"/>
          <tpl fld="0" item="1"/>
        </tpls>
      </m>
      <m in="0">
        <tpls c="5">
          <tpl fld="1" item="6"/>
          <tpl fld="2" item="10"/>
          <tpl hier="10" item="8"/>
          <tpl hier="11" item="9"/>
          <tpl fld="0" item="1"/>
        </tpls>
      </m>
      <n v="-5364.75" in="0">
        <tpls c="5">
          <tpl fld="1" item="4"/>
          <tpl fld="2" item="1"/>
          <tpl hier="10" item="8"/>
          <tpl hier="11" item="9"/>
          <tpl fld="0" item="0"/>
        </tpls>
      </n>
      <m in="0">
        <tpls c="5">
          <tpl fld="1" item="3"/>
          <tpl fld="2" item="7"/>
          <tpl hier="10" item="8"/>
          <tpl hier="11" item="9"/>
          <tpl fld="0" item="1"/>
        </tpls>
      </m>
      <n v="-32.75" in="0">
        <tpls c="5">
          <tpl fld="1" item="8"/>
          <tpl fld="2" item="8"/>
          <tpl hier="10" item="8"/>
          <tpl hier="11" item="9"/>
          <tpl fld="0" item="0"/>
        </tpls>
      </n>
      <n v="-4346.25" in="0">
        <tpls c="5">
          <tpl fld="1" item="9"/>
          <tpl fld="2" item="13"/>
          <tpl hier="10" item="8"/>
          <tpl hier="11" item="9"/>
          <tpl fld="0" item="0"/>
        </tpls>
      </n>
      <n v="7492896.583333333" in="0">
        <tpls c="5">
          <tpl fld="1" item="2"/>
          <tpl hier="9" item="4294967295"/>
          <tpl hier="10" item="8"/>
          <tpl hier="11" item="9"/>
          <tpl fld="0" item="0"/>
        </tpls>
      </n>
      <m in="0">
        <tpls c="5">
          <tpl fld="1" item="0"/>
          <tpl fld="2" item="13"/>
          <tpl hier="10" item="8"/>
          <tpl hier="11" item="9"/>
          <tpl fld="0" item="1"/>
        </tpls>
      </m>
      <m in="0">
        <tpls c="5">
          <tpl fld="1" item="1"/>
          <tpl fld="2" item="5"/>
          <tpl hier="10" item="8"/>
          <tpl hier="11" item="9"/>
          <tpl fld="0" item="1"/>
        </tpls>
      </m>
      <m in="0">
        <tpls c="5">
          <tpl fld="1" item="4"/>
          <tpl fld="2" item="2"/>
          <tpl hier="10" item="8"/>
          <tpl hier="11" item="9"/>
          <tpl fld="0" item="0"/>
        </tpls>
      </m>
      <m in="0">
        <tpls c="5">
          <tpl fld="1" item="9"/>
          <tpl fld="2" item="13"/>
          <tpl hier="10" item="8"/>
          <tpl hier="11" item="9"/>
          <tpl fld="0" item="1"/>
        </tpls>
      </m>
      <m in="0">
        <tpls c="5">
          <tpl fld="1" item="0"/>
          <tpl hier="9" item="4294967295"/>
          <tpl hier="10" item="8"/>
          <tpl hier="11" item="9"/>
          <tpl fld="0" item="1"/>
        </tpls>
      </m>
      <n v="-19207.5" in="0">
        <tpls c="5">
          <tpl fld="1" item="4"/>
          <tpl fld="2" item="6"/>
          <tpl hier="10" item="8"/>
          <tpl hier="11" item="9"/>
          <tpl fld="0" item="0"/>
        </tpls>
      </n>
      <m in="0">
        <tpls c="5">
          <tpl fld="1" item="4"/>
          <tpl fld="2" item="2"/>
          <tpl hier="10" item="8"/>
          <tpl hier="11" item="9"/>
          <tpl fld="0" item="1"/>
        </tpls>
      </m>
      <m in="0">
        <tpls c="5">
          <tpl fld="1" item="4"/>
          <tpl fld="2" item="12"/>
          <tpl hier="10" item="8"/>
          <tpl hier="11" item="9"/>
          <tpl fld="0" item="1"/>
        </tpls>
      </m>
      <n v="-34865.25" in="0">
        <tpls c="5">
          <tpl fld="1" item="6"/>
          <tpl fld="2" item="14"/>
          <tpl hier="10" item="8"/>
          <tpl hier="11" item="9"/>
          <tpl fld="0" item="0"/>
        </tpls>
      </n>
      <m in="0">
        <tpls c="5">
          <tpl fld="1" item="7"/>
          <tpl fld="2" item="8"/>
          <tpl hier="10" item="8"/>
          <tpl hier="11" item="9"/>
          <tpl fld="0" item="1"/>
        </tpls>
      </m>
      <m in="0">
        <tpls c="5">
          <tpl fld="1" item="6"/>
          <tpl fld="2" item="14"/>
          <tpl hier="10" item="8"/>
          <tpl hier="11" item="9"/>
          <tpl fld="0" item="1"/>
        </tpls>
      </m>
      <m in="0">
        <tpls c="5">
          <tpl fld="1" item="11"/>
          <tpl fld="2" item="7"/>
          <tpl hier="10" item="8"/>
          <tpl hier="11" item="9"/>
          <tpl fld="0" item="1"/>
        </tpls>
      </m>
      <n v="-1659.75" in="0">
        <tpls c="5">
          <tpl fld="1" item="6"/>
          <tpl fld="2" item="8"/>
          <tpl hier="10" item="8"/>
          <tpl hier="11" item="9"/>
          <tpl fld="0" item="0"/>
        </tpls>
      </n>
      <n v="-6654.25" in="0">
        <tpls c="5">
          <tpl fld="1" item="10"/>
          <tpl fld="2" item="13"/>
          <tpl hier="10" item="8"/>
          <tpl hier="11" item="9"/>
          <tpl fld="0" item="0"/>
        </tpls>
      </n>
      <m in="0">
        <tpls c="5">
          <tpl fld="1" item="0"/>
          <tpl fld="2" item="15"/>
          <tpl hier="10" item="8"/>
          <tpl hier="11" item="9"/>
          <tpl fld="0" item="1"/>
        </tpls>
      </m>
      <m in="0">
        <tpls c="5">
          <tpl fld="1" item="6"/>
          <tpl fld="2" item="0"/>
          <tpl hier="10" item="8"/>
          <tpl hier="11" item="9"/>
          <tpl fld="0" item="1"/>
        </tpls>
      </m>
      <n v="-2228.5" in="0">
        <tpls c="5">
          <tpl fld="1" item="5"/>
          <tpl fld="2" item="3"/>
          <tpl hier="10" item="8"/>
          <tpl hier="11" item="9"/>
          <tpl fld="0" item="0"/>
        </tpls>
      </n>
      <m in="0">
        <tpls c="4">
          <tpl fld="2" item="14"/>
          <tpl hier="10" item="8"/>
          <tpl hier="11" item="9"/>
          <tpl fld="0" item="1"/>
        </tpls>
      </m>
      <m in="0">
        <tpls c="5">
          <tpl fld="1" item="8"/>
          <tpl fld="2" item="3"/>
          <tpl hier="10" item="8"/>
          <tpl hier="11" item="9"/>
          <tpl fld="0" item="1"/>
        </tpls>
      </m>
      <m in="0">
        <tpls c="5">
          <tpl fld="1" item="9"/>
          <tpl fld="2" item="8"/>
          <tpl hier="10" item="8"/>
          <tpl hier="11" item="9"/>
          <tpl fld="0" item="1"/>
        </tpls>
      </m>
      <n v="-1928" in="0">
        <tpls c="5">
          <tpl fld="1" item="6"/>
          <tpl fld="2" item="3"/>
          <tpl hier="10" item="8"/>
          <tpl hier="11" item="9"/>
          <tpl fld="0" item="0"/>
        </tpls>
      </n>
      <m in="0">
        <tpls c="4">
          <tpl fld="2" item="9"/>
          <tpl hier="10" item="8"/>
          <tpl hier="11" item="9"/>
          <tpl fld="0" item="1"/>
        </tpls>
      </m>
      <n v="6700318.416666667" in="0">
        <tpls c="5">
          <tpl fld="1" item="3"/>
          <tpl hier="9" item="4294967295"/>
          <tpl hier="10" item="8"/>
          <tpl hier="11" item="9"/>
          <tpl fld="0" item="0"/>
        </tpls>
      </n>
      <m in="0">
        <tpls c="5">
          <tpl fld="1" item="8"/>
          <tpl fld="2" item="2"/>
          <tpl hier="10" item="8"/>
          <tpl hier="11" item="9"/>
          <tpl fld="0" item="1"/>
        </tpls>
      </m>
      <m in="0">
        <tpls c="5">
          <tpl fld="1" item="10"/>
          <tpl fld="2" item="12"/>
          <tpl hier="10" item="8"/>
          <tpl hier="11" item="9"/>
          <tpl fld="0" item="1"/>
        </tpls>
      </m>
      <m in="0">
        <tpls c="5">
          <tpl fld="1" item="0"/>
          <tpl fld="2" item="3"/>
          <tpl hier="10" item="8"/>
          <tpl hier="11" item="9"/>
          <tpl fld="0" item="1"/>
        </tpls>
      </m>
      <m in="0">
        <tpls c="5">
          <tpl fld="1" item="11"/>
          <tpl fld="2" item="11"/>
          <tpl hier="10" item="8"/>
          <tpl hier="11" item="9"/>
          <tpl fld="0" item="1"/>
        </tpls>
      </m>
      <n v="-18051.5" in="0">
        <tpls c="5">
          <tpl fld="1" item="0"/>
          <tpl fld="2" item="6"/>
          <tpl hier="10" item="8"/>
          <tpl hier="11" item="9"/>
          <tpl fld="0" item="0"/>
        </tpls>
      </n>
      <m in="0">
        <tpls c="5">
          <tpl fld="1" item="6"/>
          <tpl fld="2" item="6"/>
          <tpl hier="10" item="8"/>
          <tpl hier="11" item="9"/>
          <tpl fld="0" item="1"/>
        </tpls>
      </m>
      <m in="0">
        <tpls c="5">
          <tpl fld="1" item="11"/>
          <tpl fld="2" item="4"/>
          <tpl hier="10" item="8"/>
          <tpl hier="11" item="9"/>
          <tpl fld="0" item="1"/>
        </tpls>
      </m>
      <m in="0">
        <tpls c="5">
          <tpl fld="1" item="7"/>
          <tpl fld="2" item="4"/>
          <tpl hier="10" item="8"/>
          <tpl hier="11" item="9"/>
          <tpl fld="0" item="1"/>
        </tpls>
      </m>
      <m in="0">
        <tpls c="5">
          <tpl fld="1" item="4"/>
          <tpl fld="2" item="15"/>
          <tpl hier="10" item="8"/>
          <tpl hier="11" item="9"/>
          <tpl fld="0" item="1"/>
        </tpls>
      </m>
      <n v="-1831.5" in="0">
        <tpls c="5">
          <tpl fld="1" item="11"/>
          <tpl fld="2" item="8"/>
          <tpl hier="10" item="8"/>
          <tpl hier="11" item="9"/>
          <tpl fld="0" item="0"/>
        </tpls>
      </n>
      <m in="0">
        <tpls c="5">
          <tpl fld="1" item="9"/>
          <tpl fld="2" item="11"/>
          <tpl hier="10" item="8"/>
          <tpl hier="11" item="9"/>
          <tpl fld="0" item="1"/>
        </tpls>
      </m>
      <n v="7615924.166666667" in="0">
        <tpls c="5">
          <tpl fld="1" item="0"/>
          <tpl hier="9" item="4294967295"/>
          <tpl hier="10" item="8"/>
          <tpl hier="11" item="9"/>
          <tpl fld="0" item="0"/>
        </tpls>
      </n>
      <n v="-1442" in="0">
        <tpls c="5">
          <tpl fld="1" item="9"/>
          <tpl fld="2" item="4"/>
          <tpl hier="10" item="8"/>
          <tpl hier="11" item="9"/>
          <tpl fld="0" item="0"/>
        </tpls>
      </n>
      <n v="-7166.25" in="0">
        <tpls c="5">
          <tpl fld="1" item="0"/>
          <tpl fld="2" item="13"/>
          <tpl hier="10" item="8"/>
          <tpl hier="11" item="9"/>
          <tpl fld="0" item="0"/>
        </tpls>
      </n>
      <n v="-2922.75" in="0">
        <tpls c="5">
          <tpl fld="1" item="7"/>
          <tpl fld="2" item="3"/>
          <tpl hier="10" item="8"/>
          <tpl hier="11" item="9"/>
          <tpl fld="0" item="0"/>
        </tpls>
      </n>
      <n v="-3307.5" in="0">
        <tpls c="5">
          <tpl fld="1" item="11"/>
          <tpl fld="2" item="13"/>
          <tpl hier="10" item="8"/>
          <tpl hier="11" item="9"/>
          <tpl fld="0" item="0"/>
        </tpls>
      </n>
      <m in="0">
        <tpls c="5">
          <tpl fld="1" item="0"/>
          <tpl fld="2" item="14"/>
          <tpl hier="10" item="8"/>
          <tpl hier="11" item="9"/>
          <tpl fld="0" item="1"/>
        </tpls>
      </m>
      <m in="0">
        <tpls c="5">
          <tpl fld="1" item="9"/>
          <tpl fld="2" item="3"/>
          <tpl hier="10" item="8"/>
          <tpl hier="11" item="9"/>
          <tpl fld="0" item="1"/>
        </tpls>
      </m>
      <m in="0">
        <tpls c="5">
          <tpl fld="1" item="1"/>
          <tpl fld="2" item="11"/>
          <tpl hier="10" item="8"/>
          <tpl hier="11" item="9"/>
          <tpl fld="0" item="1"/>
        </tpls>
      </m>
      <m in="0">
        <tpls c="5">
          <tpl fld="1" item="11"/>
          <tpl fld="2" item="13"/>
          <tpl hier="10" item="8"/>
          <tpl hier="11" item="9"/>
          <tpl fld="0" item="1"/>
        </tpls>
      </m>
      <n v="-37210.5" in="0">
        <tpls c="5">
          <tpl fld="1" item="0"/>
          <tpl fld="2" item="14"/>
          <tpl hier="10" item="8"/>
          <tpl hier="11" item="9"/>
          <tpl fld="0" item="0"/>
        </tpls>
      </n>
      <m in="0">
        <tpls c="5">
          <tpl fld="1" item="2"/>
          <tpl fld="2" item="3"/>
          <tpl hier="10" item="8"/>
          <tpl hier="11" item="9"/>
          <tpl fld="0" item="1"/>
        </tpls>
      </m>
      <m in="0">
        <tpls c="5">
          <tpl fld="1" item="3"/>
          <tpl hier="9" item="4294967295"/>
          <tpl hier="10" item="8"/>
          <tpl hier="11" item="9"/>
          <tpl fld="0" item="1"/>
        </tpls>
      </m>
      <m in="0">
        <tpls c="5">
          <tpl fld="1" item="5"/>
          <tpl fld="2" item="4"/>
          <tpl hier="10" item="8"/>
          <tpl hier="11" item="9"/>
          <tpl fld="0" item="1"/>
        </tpls>
      </m>
      <m in="0">
        <tpls c="5">
          <tpl fld="1" item="9"/>
          <tpl fld="2" item="2"/>
          <tpl hier="10" item="8"/>
          <tpl hier="11" item="9"/>
          <tpl fld="0" item="1"/>
        </tpls>
      </m>
      <n v="-16026" in="0">
        <tpls c="5">
          <tpl fld="1" item="10"/>
          <tpl fld="2" item="8"/>
          <tpl hier="10" item="8"/>
          <tpl hier="11" item="9"/>
          <tpl fld="0" item="0"/>
        </tpls>
      </n>
      <n v="-18850.25" in="0">
        <tpls c="5">
          <tpl fld="1" item="8"/>
          <tpl fld="2" item="10"/>
          <tpl hier="10" item="8"/>
          <tpl hier="11" item="9"/>
          <tpl fld="0" item="0"/>
        </tpls>
      </n>
      <n v="-7445" in="0">
        <tpls c="5">
          <tpl fld="1" item="2"/>
          <tpl fld="2" item="15"/>
          <tpl hier="10" item="8"/>
          <tpl hier="11" item="9"/>
          <tpl fld="0" item="0"/>
        </tpls>
      </n>
      <m in="0">
        <tpls c="5">
          <tpl fld="1" item="9"/>
          <tpl fld="2" item="7"/>
          <tpl hier="10" item="8"/>
          <tpl hier="11" item="9"/>
          <tpl fld="0" item="1"/>
        </tpls>
      </m>
      <n v="-2424.5" in="0">
        <tpls c="5">
          <tpl fld="1" item="4"/>
          <tpl fld="2" item="3"/>
          <tpl hier="10" item="8"/>
          <tpl hier="11" item="9"/>
          <tpl fld="0" item="0"/>
        </tpls>
      </n>
      <m in="0">
        <tpls c="5">
          <tpl fld="1" item="10"/>
          <tpl fld="2" item="4"/>
          <tpl hier="10" item="8"/>
          <tpl hier="11" item="9"/>
          <tpl fld="0" item="1"/>
        </tpls>
      </m>
      <n v="-43" in="0">
        <tpls c="5">
          <tpl fld="1" item="1"/>
          <tpl fld="2" item="8"/>
          <tpl hier="10" item="8"/>
          <tpl hier="11" item="9"/>
          <tpl fld="0" item="0"/>
        </tpls>
      </n>
      <m in="0">
        <tpls c="5">
          <tpl fld="1" item="9"/>
          <tpl fld="2" item="9"/>
          <tpl hier="10" item="8"/>
          <tpl hier="11" item="9"/>
          <tpl fld="0" item="1"/>
        </tpls>
      </m>
      <m in="0">
        <tpls c="5">
          <tpl fld="1" item="2"/>
          <tpl fld="2" item="14"/>
          <tpl hier="10" item="8"/>
          <tpl hier="11" item="9"/>
          <tpl fld="0" item="1"/>
        </tpls>
      </m>
      <n v="-12958.75" in="0">
        <tpls c="5">
          <tpl fld="1" item="9"/>
          <tpl fld="2" item="10"/>
          <tpl hier="10" item="8"/>
          <tpl hier="11" item="9"/>
          <tpl fld="0" item="0"/>
        </tpls>
      </n>
      <n v="-4871.5" in="0">
        <tpls c="5">
          <tpl fld="1" item="5"/>
          <tpl fld="2" item="1"/>
          <tpl hier="10" item="8"/>
          <tpl hier="11" item="9"/>
          <tpl fld="0" item="0"/>
        </tpls>
      </n>
      <n v="-4449.5" in="0">
        <tpls c="5">
          <tpl fld="1" item="10"/>
          <tpl fld="2" item="12"/>
          <tpl hier="10" item="8"/>
          <tpl hier="11" item="9"/>
          <tpl fld="0" item="0"/>
        </tpls>
      </n>
      <m in="0">
        <tpls c="5">
          <tpl fld="1" item="4"/>
          <tpl fld="2" item="11"/>
          <tpl hier="10" item="8"/>
          <tpl hier="11" item="9"/>
          <tpl fld="0" item="1"/>
        </tpls>
      </m>
      <n v="8466359.5" in="0">
        <tpls c="5">
          <tpl fld="1" item="8"/>
          <tpl hier="9" item="4294967295"/>
          <tpl hier="10" item="8"/>
          <tpl hier="11" item="9"/>
          <tpl fld="0" item="0"/>
        </tpls>
      </n>
      <n v="-80743.25" in="0">
        <tpls c="5">
          <tpl fld="1" item="1"/>
          <tpl fld="2" item="14"/>
          <tpl hier="10" item="8"/>
          <tpl hier="11" item="9"/>
          <tpl fld="0" item="0"/>
        </tpls>
      </n>
      <m in="0">
        <tpls c="5">
          <tpl fld="1" item="1"/>
          <tpl fld="2" item="2"/>
          <tpl hier="10" item="8"/>
          <tpl hier="11" item="9"/>
          <tpl fld="0" item="0"/>
        </tpls>
      </m>
      <n v="-1863.75" in="0">
        <tpls c="5">
          <tpl fld="1" item="2"/>
          <tpl fld="2" item="3"/>
          <tpl hier="10" item="8"/>
          <tpl hier="11" item="9"/>
          <tpl fld="0" item="0"/>
        </tpls>
      </n>
      <n v="-1517" in="0">
        <tpls c="5">
          <tpl fld="1" item="6"/>
          <tpl fld="2" item="5"/>
          <tpl hier="10" item="8"/>
          <tpl hier="11" item="9"/>
          <tpl fld="0" item="0"/>
        </tpls>
      </n>
      <m in="0">
        <tpls c="5">
          <tpl fld="1" item="2"/>
          <tpl fld="2" item="9"/>
          <tpl hier="10" item="8"/>
          <tpl hier="11" item="9"/>
          <tpl fld="0" item="1"/>
        </tpls>
      </m>
      <m in="0">
        <tpls c="5">
          <tpl fld="1" item="8"/>
          <tpl fld="2" item="0"/>
          <tpl hier="10" item="8"/>
          <tpl hier="11" item="9"/>
          <tpl fld="0" item="1"/>
        </tpls>
      </m>
      <n v="-220996.5" in="0">
        <tpls c="5">
          <tpl fld="1" item="9"/>
          <tpl fld="2" item="7"/>
          <tpl hier="10" item="8"/>
          <tpl hier="11" item="9"/>
          <tpl fld="0" item="0"/>
        </tpls>
      </n>
      <n v="7155365" in="0">
        <tpls c="5">
          <tpl fld="1" item="3"/>
          <tpl fld="2" item="9"/>
          <tpl hier="10" item="8"/>
          <tpl hier="11" item="9"/>
          <tpl fld="0" item="0"/>
        </tpls>
      </n>
      <n v="-219469.75" in="0">
        <tpls c="5">
          <tpl fld="1" item="1"/>
          <tpl fld="2" item="0"/>
          <tpl hier="10" item="8"/>
          <tpl hier="11" item="9"/>
          <tpl fld="0" item="0"/>
        </tpls>
      </n>
      <m in="0">
        <tpls c="5">
          <tpl fld="1" item="2"/>
          <tpl fld="2" item="4"/>
          <tpl hier="10" item="8"/>
          <tpl hier="11" item="9"/>
          <tpl fld="0" item="1"/>
        </tpls>
      </m>
      <m in="0">
        <tpls c="5">
          <tpl fld="1" item="10"/>
          <tpl fld="2" item="9"/>
          <tpl hier="10" item="8"/>
          <tpl hier="11" item="9"/>
          <tpl fld="0" item="1"/>
        </tpls>
      </m>
      <m in="0">
        <tpls c="5">
          <tpl fld="1" item="5"/>
          <tpl fld="2" item="9"/>
          <tpl hier="10" item="8"/>
          <tpl hier="11" item="9"/>
          <tpl fld="0" item="1"/>
        </tpls>
      </m>
      <n v="-5220" in="0">
        <tpls c="5">
          <tpl fld="1" item="8"/>
          <tpl fld="2" item="12"/>
          <tpl hier="10" item="8"/>
          <tpl hier="11" item="9"/>
          <tpl fld="0" item="0"/>
        </tpls>
      </n>
      <n v="-1306.5" in="0">
        <tpls c="5">
          <tpl fld="1" item="8"/>
          <tpl fld="2" item="5"/>
          <tpl hier="10" item="8"/>
          <tpl hier="11" item="9"/>
          <tpl fld="0" item="0"/>
        </tpls>
      </n>
      <m in="0">
        <tpls c="5">
          <tpl fld="1" item="9"/>
          <tpl fld="2" item="5"/>
          <tpl hier="10" item="8"/>
          <tpl hier="11" item="9"/>
          <tpl fld="0" item="1"/>
        </tpls>
      </m>
      <m in="0">
        <tpls c="5">
          <tpl fld="1" item="10"/>
          <tpl fld="2" item="5"/>
          <tpl hier="10" item="8"/>
          <tpl hier="11" item="9"/>
          <tpl fld="0" item="1"/>
        </tpls>
      </m>
      <n v="7676406.833333333" in="0">
        <tpls c="5">
          <tpl fld="1" item="5"/>
          <tpl hier="9" item="4294967295"/>
          <tpl hier="10" item="8"/>
          <tpl hier="11" item="9"/>
          <tpl fld="0" item="0"/>
        </tpls>
      </n>
      <m in="0">
        <tpls c="5">
          <tpl fld="1" item="1"/>
          <tpl fld="2" item="15"/>
          <tpl hier="10" item="8"/>
          <tpl hier="11" item="9"/>
          <tpl fld="0" item="1"/>
        </tpls>
      </m>
      <n v="-2553.75" in="0">
        <tpls c="5">
          <tpl fld="1" item="0"/>
          <tpl fld="2" item="3"/>
          <tpl hier="10" item="8"/>
          <tpl hier="11" item="9"/>
          <tpl fld="0" item="0"/>
        </tpls>
      </n>
      <n v="-3177.25" in="0">
        <tpls c="5">
          <tpl fld="1" item="3"/>
          <tpl fld="2" item="4"/>
          <tpl hier="10" item="8"/>
          <tpl hier="11" item="9"/>
          <tpl fld="0" item="0"/>
        </tpls>
      </n>
      <n v="7913565" in="0">
        <tpls c="5">
          <tpl fld="1" item="2"/>
          <tpl fld="2" item="9"/>
          <tpl hier="10" item="8"/>
          <tpl hier="11" item="9"/>
          <tpl fld="0" item="0"/>
        </tpls>
      </n>
      <m in="0">
        <tpls c="5">
          <tpl fld="1" item="7"/>
          <tpl fld="2" item="6"/>
          <tpl hier="10" item="8"/>
          <tpl hier="11" item="9"/>
          <tpl fld="0" item="1"/>
        </tpls>
      </m>
      <m in="0">
        <tpls c="5">
          <tpl fld="1" item="6"/>
          <tpl fld="2" item="2"/>
          <tpl hier="10" item="8"/>
          <tpl hier="11" item="9"/>
          <tpl fld="0" item="1"/>
        </tpls>
      </m>
      <n v="-1227" in="0">
        <tpls c="5">
          <tpl fld="1" item="1"/>
          <tpl fld="2" item="4"/>
          <tpl hier="10" item="8"/>
          <tpl hier="11" item="9"/>
          <tpl fld="0" item="0"/>
        </tpls>
      </n>
      <n v="9010679" in="0">
        <tpls c="5">
          <tpl fld="1" item="8"/>
          <tpl fld="2" item="9"/>
          <tpl hier="10" item="8"/>
          <tpl hier="11" item="9"/>
          <tpl fld="0" item="0"/>
        </tpls>
      </n>
      <m in="0">
        <tpls c="5">
          <tpl fld="1" item="5"/>
          <tpl fld="2" item="5"/>
          <tpl hier="10" item="8"/>
          <tpl hier="11" item="9"/>
          <tpl fld="0" item="1"/>
        </tpls>
      </m>
      <m in="0">
        <tpls c="5">
          <tpl fld="1" item="8"/>
          <tpl fld="2" item="12"/>
          <tpl hier="10" item="8"/>
          <tpl hier="11" item="9"/>
          <tpl fld="0" item="1"/>
        </tpls>
      </m>
      <n v="-4116" in="0">
        <tpls c="5">
          <tpl fld="1" item="10"/>
          <tpl fld="2" item="1"/>
          <tpl hier="10" item="8"/>
          <tpl hier="11" item="9"/>
          <tpl fld="0" item="0"/>
        </tpls>
      </n>
      <m in="0">
        <tpls c="5">
          <tpl fld="1" item="9"/>
          <tpl fld="2" item="10"/>
          <tpl hier="10" item="8"/>
          <tpl hier="11" item="9"/>
          <tpl fld="0" item="1"/>
        </tpls>
      </m>
      <m in="0">
        <tpls c="5">
          <tpl fld="1" item="10"/>
          <tpl fld="2" item="2"/>
          <tpl hier="10" item="8"/>
          <tpl hier="11" item="9"/>
          <tpl fld="0" item="1"/>
        </tpls>
      </m>
      <m in="0">
        <tpls c="5">
          <tpl fld="1" item="5"/>
          <tpl hier="9" item="4294967295"/>
          <tpl hier="10" item="8"/>
          <tpl hier="11" item="9"/>
          <tpl fld="0" item="1"/>
        </tpls>
      </m>
      <n v="-5918.25" in="0">
        <tpls c="5">
          <tpl fld="1" item="5"/>
          <tpl fld="2" item="15"/>
          <tpl hier="10" item="8"/>
          <tpl hier="11" item="9"/>
          <tpl fld="0" item="0"/>
        </tpls>
      </n>
      <m in="0">
        <tpls c="5">
          <tpl fld="1" item="0"/>
          <tpl fld="2" item="4"/>
          <tpl hier="10" item="8"/>
          <tpl hier="11" item="9"/>
          <tpl fld="0" item="1"/>
        </tpls>
      </m>
      <n v="-5021" in="0">
        <tpls c="5">
          <tpl fld="1" item="3"/>
          <tpl fld="2" item="1"/>
          <tpl hier="10" item="8"/>
          <tpl hier="11" item="9"/>
          <tpl fld="0" item="0"/>
        </tpls>
      </n>
      <m in="0">
        <tpls c="5">
          <tpl fld="1" item="5"/>
          <tpl fld="2" item="0"/>
          <tpl hier="10" item="8"/>
          <tpl hier="11" item="9"/>
          <tpl fld="0" item="1"/>
        </tpls>
      </m>
      <n v="-1853.25" in="0">
        <tpls c="5">
          <tpl fld="1" item="11"/>
          <tpl fld="2" item="3"/>
          <tpl hier="10" item="8"/>
          <tpl hier="11" item="9"/>
          <tpl fld="0" item="0"/>
        </tpls>
      </n>
      <m in="0">
        <tpls c="5">
          <tpl fld="1" item="1"/>
          <tpl fld="2" item="4"/>
          <tpl hier="10" item="8"/>
          <tpl hier="11" item="9"/>
          <tpl fld="0" item="1"/>
        </tpls>
      </m>
      <m in="0">
        <tpls c="5">
          <tpl fld="1" item="8"/>
          <tpl fld="2" item="9"/>
          <tpl hier="10" item="8"/>
          <tpl hier="11" item="9"/>
          <tpl fld="0" item="1"/>
        </tpls>
      </m>
      <m in="0">
        <tpls c="5">
          <tpl fld="1" item="5"/>
          <tpl fld="2" item="7"/>
          <tpl hier="10" item="8"/>
          <tpl hier="11" item="9"/>
          <tpl fld="0" item="1"/>
        </tpls>
      </m>
      <n v="-4883" in="0">
        <tpls c="5">
          <tpl fld="1" item="7"/>
          <tpl fld="2" item="12"/>
          <tpl hier="10" item="8"/>
          <tpl hier="11" item="9"/>
          <tpl fld="0" item="0"/>
        </tpls>
      </n>
      <n v="-1920.75" in="0">
        <tpls c="5">
          <tpl fld="1" item="10"/>
          <tpl fld="2" item="4"/>
          <tpl hier="10" item="8"/>
          <tpl hier="11" item="9"/>
          <tpl fld="0" item="0"/>
        </tpls>
      </n>
      <m in="0">
        <tpls c="5">
          <tpl fld="1" item="9"/>
          <tpl fld="2" item="0"/>
          <tpl hier="10" item="8"/>
          <tpl hier="11" item="9"/>
          <tpl fld="0" item="1"/>
        </tpls>
      </m>
      <n v="-1122.25" in="0">
        <tpls c="5">
          <tpl fld="1" item="5"/>
          <tpl fld="2" item="5"/>
          <tpl hier="10" item="8"/>
          <tpl hier="11" item="9"/>
          <tpl fld="0" item="0"/>
        </tpls>
      </n>
      <n v="8423634.166666666" in="0">
        <tpls c="5">
          <tpl fld="1" item="4"/>
          <tpl hier="9" item="4294967295"/>
          <tpl hier="10" item="8"/>
          <tpl hier="11" item="9"/>
          <tpl fld="0" item="0"/>
        </tpls>
      </n>
      <m in="0">
        <tpls c="5">
          <tpl fld="1" item="5"/>
          <tpl fld="2" item="15"/>
          <tpl hier="10" item="8"/>
          <tpl hier="11" item="9"/>
          <tpl fld="0" item="1"/>
        </tpls>
      </m>
      <n v="-2772" in="0">
        <tpls c="5">
          <tpl fld="1" item="0"/>
          <tpl fld="2" item="4"/>
          <tpl hier="10" item="8"/>
          <tpl hier="11" item="9"/>
          <tpl fld="0" item="0"/>
        </tpls>
      </n>
      <n v="-4784.75" in="0">
        <tpls c="5">
          <tpl fld="1" item="6"/>
          <tpl fld="2" item="1"/>
          <tpl hier="10" item="8"/>
          <tpl hier="11" item="9"/>
          <tpl fld="0" item="0"/>
        </tpls>
      </n>
      <n v="-5165.25" in="0">
        <tpls c="5">
          <tpl fld="1" item="9"/>
          <tpl fld="2" item="8"/>
          <tpl hier="10" item="8"/>
          <tpl hier="11" item="9"/>
          <tpl fld="0" item="0"/>
        </tpls>
      </n>
      <n v="-244847.75" in="0">
        <tpls c="5">
          <tpl fld="1" item="8"/>
          <tpl fld="2" item="0"/>
          <tpl hier="10" item="8"/>
          <tpl hier="11" item="9"/>
          <tpl fld="0" item="0"/>
        </tpls>
      </n>
      <m in="0">
        <tpls c="5">
          <tpl fld="1" item="1"/>
          <tpl fld="2" item="1"/>
          <tpl hier="10" item="8"/>
          <tpl hier="11" item="9"/>
          <tpl fld="0" item="1"/>
        </tpls>
      </m>
      <m in="0">
        <tpls c="5">
          <tpl fld="1" item="10"/>
          <tpl fld="2" item="3"/>
          <tpl hier="10" item="8"/>
          <tpl hier="11" item="9"/>
          <tpl fld="0" item="1"/>
        </tpls>
      </m>
      <m in="0">
        <tpls c="5">
          <tpl fld="1" item="11"/>
          <tpl fld="2" item="6"/>
          <tpl hier="10" item="8"/>
          <tpl hier="11" item="9"/>
          <tpl fld="0" item="1"/>
        </tpls>
      </m>
      <n v="-4248.75" in="0">
        <tpls c="5">
          <tpl fld="1" item="5"/>
          <tpl fld="2" item="4"/>
          <tpl hier="10" item="8"/>
          <tpl hier="11" item="9"/>
          <tpl fld="0" item="0"/>
        </tpls>
      </n>
      <n v="9836477" in="0">
        <tpls c="5">
          <tpl fld="1" item="7"/>
          <tpl fld="2" item="9"/>
          <tpl hier="10" item="8"/>
          <tpl hier="11" item="9"/>
          <tpl fld="0" item="0"/>
        </tpls>
      </n>
      <m in="0">
        <tpls c="5">
          <tpl fld="1" item="5"/>
          <tpl fld="2" item="6"/>
          <tpl hier="10" item="8"/>
          <tpl hier="11" item="9"/>
          <tpl fld="0" item="1"/>
        </tpls>
      </m>
      <m in="0">
        <tpls c="5">
          <tpl fld="1" item="7"/>
          <tpl fld="2" item="12"/>
          <tpl hier="10" item="8"/>
          <tpl hier="11" item="9"/>
          <tpl fld="0" item="1"/>
        </tpls>
      </m>
      <n v="-1293.75" in="0">
        <tpls c="5">
          <tpl fld="1" item="10"/>
          <tpl fld="2" item="5"/>
          <tpl hier="10" item="8"/>
          <tpl hier="11" item="9"/>
          <tpl fld="0" item="0"/>
        </tpls>
      </n>
      <n v="-28829.75" in="0">
        <tpls c="5">
          <tpl fld="1" item="3"/>
          <tpl fld="2" item="14"/>
          <tpl hier="10" item="8"/>
          <tpl hier="11" item="9"/>
          <tpl fld="0" item="0"/>
        </tpls>
      </n>
      <n v="-8974.5" in="0">
        <tpls c="5">
          <tpl fld="1" item="5"/>
          <tpl fld="2" item="10"/>
          <tpl hier="10" item="8"/>
          <tpl hier="11" item="9"/>
          <tpl fld="0" item="0"/>
        </tpls>
      </n>
      <m in="0">
        <tpls c="5">
          <tpl fld="1" item="4"/>
          <tpl hier="9" item="4294967295"/>
          <tpl hier="10" item="8"/>
          <tpl hier="11" item="9"/>
          <tpl fld="0" item="1"/>
        </tpls>
      </m>
      <m in="0">
        <tpls c="5">
          <tpl fld="1" item="3"/>
          <tpl fld="2" item="15"/>
          <tpl hier="10" item="8"/>
          <tpl hier="11" item="9"/>
          <tpl fld="0" item="1"/>
        </tpls>
      </m>
      <m in="0">
        <tpls c="5">
          <tpl fld="1" item="0"/>
          <tpl fld="2" item="5"/>
          <tpl hier="10" item="8"/>
          <tpl hier="11" item="9"/>
          <tpl fld="0" item="1"/>
        </tpls>
      </m>
      <n v="-93656.25" in="0">
        <tpls c="5">
          <tpl fld="1" item="1"/>
          <tpl fld="2" item="7"/>
          <tpl hier="10" item="8"/>
          <tpl hier="11" item="9"/>
          <tpl fld="0" item="0"/>
        </tpls>
      </n>
      <n v="-11894.5" in="0">
        <tpls c="5">
          <tpl fld="1" item="7"/>
          <tpl fld="2" item="6"/>
          <tpl hier="10" item="8"/>
          <tpl hier="11" item="9"/>
          <tpl fld="0" item="0"/>
        </tpls>
      </n>
      <m in="0">
        <tpls c="5">
          <tpl fld="1" item="1"/>
          <tpl fld="2" item="14"/>
          <tpl hier="10" item="8"/>
          <tpl hier="11" item="9"/>
          <tpl fld="0" item="1"/>
        </tpls>
      </m>
      <n v="-20934.75" in="0">
        <tpls c="5">
          <tpl fld="1" item="8"/>
          <tpl fld="2" item="6"/>
          <tpl hier="10" item="8"/>
          <tpl hier="11" item="9"/>
          <tpl fld="0" item="0"/>
        </tpls>
      </n>
      <n v="-167466.75" in="0">
        <tpls c="5">
          <tpl fld="1" item="10"/>
          <tpl fld="2" item="7"/>
          <tpl hier="10" item="8"/>
          <tpl hier="11" item="9"/>
          <tpl fld="0" item="0"/>
        </tpls>
      </n>
      <n v="-1115.25" in="0">
        <tpls c="5">
          <tpl fld="1" item="3"/>
          <tpl fld="2" item="5"/>
          <tpl hier="10" item="8"/>
          <tpl hier="11" item="9"/>
          <tpl fld="0" item="0"/>
        </tpls>
      </n>
      <m in="0">
        <tpls c="5">
          <tpl fld="1" item="7"/>
          <tpl fld="2" item="9"/>
          <tpl hier="10" item="8"/>
          <tpl hier="11" item="9"/>
          <tpl fld="0" item="1"/>
        </tpls>
      </m>
      <m in="0">
        <tpls c="5">
          <tpl fld="1" item="5"/>
          <tpl fld="2" item="1"/>
          <tpl hier="10" item="8"/>
          <tpl hier="11" item="9"/>
          <tpl fld="0" item="1"/>
        </tpls>
      </m>
      <n v="-5247.75" in="0">
        <tpls c="5">
          <tpl fld="1" item="6"/>
          <tpl fld="2" item="12"/>
          <tpl hier="10" item="8"/>
          <tpl hier="11" item="9"/>
          <tpl fld="0" item="0"/>
        </tpls>
      </n>
      <m in="0">
        <tpls c="5">
          <tpl fld="1" item="10"/>
          <tpl fld="2" item="2"/>
          <tpl hier="10" item="8"/>
          <tpl hier="11" item="9"/>
          <tpl fld="0" item="0"/>
        </tpls>
      </m>
      <m in="0">
        <tpls c="5">
          <tpl fld="1" item="3"/>
          <tpl fld="2" item="14"/>
          <tpl hier="10" item="8"/>
          <tpl hier="11" item="9"/>
          <tpl fld="0" item="1"/>
        </tpls>
      </m>
      <n v="8127229" in="0">
        <tpls c="5">
          <tpl fld="1" item="5"/>
          <tpl fld="2" item="9"/>
          <tpl hier="10" item="8"/>
          <tpl hier="11" item="9"/>
          <tpl fld="0" item="0"/>
        </tpls>
      </n>
      <n v="9213342.75" in="0">
        <tpls c="5">
          <tpl fld="1" item="9"/>
          <tpl hier="9" item="4294967295"/>
          <tpl hier="10" item="8"/>
          <tpl hier="11" item="9"/>
          <tpl fld="0" item="0"/>
        </tpls>
      </n>
      <n v="-6780.25" in="0">
        <tpls c="5">
          <tpl fld="1" item="4"/>
          <tpl fld="2" item="15"/>
          <tpl hier="10" item="8"/>
          <tpl hier="11" item="9"/>
          <tpl fld="0" item="0"/>
        </tpls>
      </n>
      <n v="-1384.5" in="0">
        <tpls c="5">
          <tpl fld="1" item="0"/>
          <tpl fld="2" item="5"/>
          <tpl hier="10" item="8"/>
          <tpl hier="11" item="9"/>
          <tpl fld="0" item="0"/>
        </tpls>
      </n>
      <n v="-2697.75" in="0">
        <tpls c="5">
          <tpl fld="1" item="9"/>
          <tpl fld="2" item="3"/>
          <tpl hier="10" item="8"/>
          <tpl hier="11" item="9"/>
          <tpl fld="0" item="0"/>
        </tpls>
      </n>
      <n v="-539" in="0">
        <tpls c="5">
          <tpl fld="1" item="1"/>
          <tpl fld="2" item="11"/>
          <tpl hier="10" item="8"/>
          <tpl hier="11" item="9"/>
          <tpl fld="0" item="0"/>
        </tpls>
      </n>
      <n v="-247718.5" in="0">
        <tpls c="5">
          <tpl fld="1" item="6"/>
          <tpl fld="2" item="0"/>
          <tpl hier="10" item="8"/>
          <tpl hier="11" item="9"/>
          <tpl fld="0" item="0"/>
        </tpls>
      </n>
      <m in="0">
        <tpls c="5">
          <tpl fld="1" item="5"/>
          <tpl fld="2" item="11"/>
          <tpl hier="10" item="8"/>
          <tpl hier="11" item="9"/>
          <tpl fld="0" item="1"/>
        </tpls>
      </m>
      <m in="0">
        <tpls c="5">
          <tpl fld="1" item="3"/>
          <tpl fld="2" item="5"/>
          <tpl hier="10" item="8"/>
          <tpl hier="11" item="9"/>
          <tpl fld="0" item="1"/>
        </tpls>
      </m>
      <n v="9598172" in="0">
        <tpls c="5">
          <tpl fld="1" item="6"/>
          <tpl fld="2" item="9"/>
          <tpl hier="10" item="8"/>
          <tpl hier="11" item="9"/>
          <tpl fld="0" item="0"/>
        </tpls>
      </n>
      <m in="0">
        <tpls c="5">
          <tpl fld="1" item="5"/>
          <tpl fld="2" item="2"/>
          <tpl hier="10" item="8"/>
          <tpl hier="11" item="9"/>
          <tpl fld="0" item="1"/>
        </tpls>
      </m>
      <m in="0">
        <tpls c="5">
          <tpl fld="1" item="6"/>
          <tpl fld="2" item="12"/>
          <tpl hier="10" item="8"/>
          <tpl hier="11" item="9"/>
          <tpl fld="0" item="1"/>
        </tpls>
      </m>
      <n v="-196737.5" in="0">
        <tpls c="5">
          <tpl fld="1" item="10"/>
          <tpl fld="2" item="0"/>
          <tpl hier="10" item="8"/>
          <tpl hier="11" item="9"/>
          <tpl fld="0" item="0"/>
        </tpls>
      </n>
      <n v="-23071.25" in="0">
        <tpls c="5">
          <tpl fld="1" item="2"/>
          <tpl fld="2" item="14"/>
          <tpl hier="10" item="8"/>
          <tpl hier="11" item="9"/>
          <tpl fld="0" item="0"/>
        </tpls>
      </n>
      <n v="-132237.16666666666" in="0">
        <tpls c="5">
          <tpl fld="1" item="5"/>
          <tpl fld="2" item="7"/>
          <tpl hier="10" item="8"/>
          <tpl hier="11" item="9"/>
          <tpl fld="0" item="0"/>
        </tpls>
      </n>
      <n v="8813459.666666666" in="0">
        <tpls c="5">
          <tpl fld="1" item="11"/>
          <tpl hier="9" item="4294967295"/>
          <tpl hier="10" item="8"/>
          <tpl hier="11" item="9"/>
          <tpl fld="0" item="0"/>
        </tpls>
      </n>
      <n v="-5707.25" in="0">
        <tpls c="5">
          <tpl fld="1" item="3"/>
          <tpl fld="2" item="15"/>
          <tpl hier="10" item="8"/>
          <tpl hier="11" item="9"/>
          <tpl fld="0" item="0"/>
        </tpls>
      </n>
      <m in="0">
        <tpls c="5">
          <tpl fld="1" item="0"/>
          <tpl fld="2" item="6"/>
          <tpl hier="10" item="8"/>
          <tpl hier="11" item="9"/>
          <tpl fld="0" item="1"/>
        </tpls>
      </m>
      <m in="0">
        <tpls c="5">
          <tpl fld="1" item="7"/>
          <tpl fld="2" item="1"/>
          <tpl hier="10" item="8"/>
          <tpl hier="11" item="9"/>
          <tpl fld="0" item="1"/>
        </tpls>
      </m>
      <m in="0">
        <tpls c="5">
          <tpl fld="1" item="2"/>
          <tpl fld="2" item="0"/>
          <tpl hier="10" item="8"/>
          <tpl hier="11" item="9"/>
          <tpl fld="0" item="1"/>
        </tpls>
      </m>
      <m in="0">
        <tpls c="5">
          <tpl fld="1" item="1"/>
          <tpl fld="2" item="9"/>
          <tpl hier="10" item="8"/>
          <tpl hier="11" item="9"/>
          <tpl fld="0" item="1"/>
        </tpls>
      </m>
      <n v="-20285.5" in="0">
        <tpls c="5">
          <tpl fld="1" item="11"/>
          <tpl fld="2" item="6"/>
          <tpl hier="10" item="8"/>
          <tpl hier="11" item="9"/>
          <tpl fld="0" item="0"/>
        </tpls>
      </n>
      <n v="-56662.25" in="0">
        <tpls c="4">
          <tpl fld="2" item="12"/>
          <tpl hier="10" item="8"/>
          <tpl hier="11" item="9"/>
          <tpl fld="0" item="0"/>
        </tpls>
      </n>
      <m in="0">
        <tpls c="5">
          <tpl fld="1" item="4"/>
          <tpl fld="2" item="6"/>
          <tpl hier="10" item="8"/>
          <tpl hier="11" item="9"/>
          <tpl fld="0" item="1"/>
        </tpls>
      </m>
      <m in="0">
        <tpls c="5">
          <tpl fld="1" item="8"/>
          <tpl fld="2" item="11"/>
          <tpl hier="10" item="8"/>
          <tpl hier="11" item="9"/>
          <tpl fld="0" item="1"/>
        </tpls>
      </m>
      <n v="-17923.25" in="0">
        <tpls c="5">
          <tpl fld="1" item="1"/>
          <tpl fld="2" item="6"/>
          <tpl hier="10" item="8"/>
          <tpl hier="11" item="9"/>
          <tpl fld="0" item="0"/>
        </tpls>
      </n>
      <m in="0">
        <tpls c="5">
          <tpl fld="1" item="7"/>
          <tpl fld="2" item="13"/>
          <tpl hier="10" item="8"/>
          <tpl hier="11" item="9"/>
          <tpl fld="0" item="1"/>
        </tpls>
      </m>
      <m in="0">
        <tpls c="5">
          <tpl fld="1" item="7"/>
          <tpl fld="2" item="10"/>
          <tpl hier="10" item="8"/>
          <tpl hier="11" item="9"/>
          <tpl fld="0" item="1"/>
        </tpls>
      </m>
      <n v="-4805" in="0">
        <tpls c="5">
          <tpl fld="1" item="9"/>
          <tpl fld="2" item="1"/>
          <tpl hier="10" item="8"/>
          <tpl hier="11" item="9"/>
          <tpl fld="0" item="0"/>
        </tpls>
      </n>
      <m in="0">
        <tpls c="5">
          <tpl fld="1" item="0"/>
          <tpl fld="2" item="8"/>
          <tpl hier="10" item="8"/>
          <tpl hier="11" item="9"/>
          <tpl fld="0" item="1"/>
        </tpls>
      </m>
      <n v="-201472.5" in="0">
        <tpls c="5">
          <tpl fld="1" item="9"/>
          <tpl fld="2" item="0"/>
          <tpl hier="10" item="8"/>
          <tpl hier="11" item="9"/>
          <tpl fld="0" item="0"/>
        </tpls>
      </n>
      <m in="0">
        <tpls c="5">
          <tpl fld="1" item="4"/>
          <tpl fld="2" item="9"/>
          <tpl hier="10" item="3"/>
          <tpl hier="11" item="9"/>
          <tpl fld="0" item="0"/>
        </tpls>
      </m>
      <m in="0">
        <tpls c="5">
          <tpl fld="1" item="1"/>
          <tpl fld="2" item="7"/>
          <tpl hier="10" item="3"/>
          <tpl hier="11" item="9"/>
          <tpl fld="0" item="1"/>
        </tpls>
      </m>
      <m in="0">
        <tpls c="5">
          <tpl fld="1" item="3"/>
          <tpl fld="2" item="2"/>
          <tpl hier="10" item="3"/>
          <tpl hier="11" item="9"/>
          <tpl fld="0" item="0"/>
        </tpls>
      </m>
      <m in="0">
        <tpls c="5">
          <tpl fld="1" item="2"/>
          <tpl fld="2" item="6"/>
          <tpl hier="10" item="3"/>
          <tpl hier="11" item="9"/>
          <tpl fld="0" item="1"/>
        </tpls>
      </m>
      <m in="0">
        <tpls c="5">
          <tpl fld="1" item="3"/>
          <tpl fld="2" item="11"/>
          <tpl hier="10" item="3"/>
          <tpl hier="11" item="9"/>
          <tpl fld="0" item="1"/>
        </tpls>
      </m>
      <n v="-12465.25" in="0">
        <tpls c="5">
          <tpl fld="1" item="3"/>
          <tpl fld="2" item="10"/>
          <tpl hier="10" item="3"/>
          <tpl hier="11" item="9"/>
          <tpl fld="0" item="0"/>
        </tpls>
      </n>
      <n v="-2299.5" in="0">
        <tpls c="5">
          <tpl fld="1" item="10"/>
          <tpl fld="2" item="3"/>
          <tpl hier="10" item="3"/>
          <tpl hier="11" item="9"/>
          <tpl fld="0" item="0"/>
        </tpls>
      </n>
      <m in="0">
        <tpls c="5">
          <tpl fld="1" item="11"/>
          <tpl fld="2" item="7"/>
          <tpl hier="10" item="3"/>
          <tpl hier="11" item="9"/>
          <tpl fld="0" item="0"/>
        </tpls>
      </m>
      <m in="0">
        <tpls c="5">
          <tpl fld="1" item="3"/>
          <tpl fld="2" item="6"/>
          <tpl hier="10" item="3"/>
          <tpl hier="11" item="9"/>
          <tpl fld="0" item="1"/>
        </tpls>
      </m>
      <m in="0">
        <tpls c="5">
          <tpl fld="1" item="4"/>
          <tpl fld="2" item="9"/>
          <tpl hier="10" item="3"/>
          <tpl hier="11" item="9"/>
          <tpl fld="0" item="1"/>
        </tpls>
      </m>
      <m in="0">
        <tpls c="5">
          <tpl fld="1" item="10"/>
          <tpl fld="2" item="11"/>
          <tpl hier="10" item="3"/>
          <tpl hier="11" item="9"/>
          <tpl fld="0" item="1"/>
        </tpls>
      </m>
      <n v="-3941.75" in="0">
        <tpls c="5">
          <tpl fld="1" item="7"/>
          <tpl fld="2" item="13"/>
          <tpl hier="10" item="3"/>
          <tpl hier="11" item="9"/>
          <tpl fld="0" item="0"/>
        </tpls>
      </n>
      <m in="0">
        <tpls c="5">
          <tpl fld="1" item="11"/>
          <tpl fld="2" item="5"/>
          <tpl hier="10" item="3"/>
          <tpl hier="11" item="9"/>
          <tpl fld="0" item="1"/>
        </tpls>
      </m>
      <m in="0">
        <tpls c="5">
          <tpl fld="1" item="5"/>
          <tpl fld="2" item="14"/>
          <tpl hier="10" item="3"/>
          <tpl hier="11" item="9"/>
          <tpl fld="0" item="0"/>
        </tpls>
      </m>
      <m in="0">
        <tpls c="4">
          <tpl fld="2" item="13"/>
          <tpl hier="10" item="3"/>
          <tpl hier="11" item="9"/>
          <tpl fld="0" item="1"/>
        </tpls>
      </m>
      <n v="-309755.5" in="0">
        <tpls c="5">
          <tpl fld="1" item="7"/>
          <tpl hier="9" item="4294967295"/>
          <tpl hier="10" item="3"/>
          <tpl hier="11" item="9"/>
          <tpl fld="0" item="0"/>
        </tpls>
      </n>
      <m in="0">
        <tpls c="5">
          <tpl fld="1" item="11"/>
          <tpl fld="2" item="15"/>
          <tpl hier="10" item="3"/>
          <tpl hier="11" item="9"/>
          <tpl fld="0" item="1"/>
        </tpls>
      </m>
      <m in="0">
        <tpls c="5">
          <tpl fld="1" item="0"/>
          <tpl fld="2" item="8"/>
          <tpl hier="10" item="3"/>
          <tpl hier="11" item="9"/>
          <tpl fld="0" item="0"/>
        </tpls>
      </m>
      <m in="0">
        <tpls c="5">
          <tpl fld="1" item="6"/>
          <tpl fld="2" item="1"/>
          <tpl hier="10" item="3"/>
          <tpl hier="11" item="9"/>
          <tpl fld="0" item="1"/>
        </tpls>
      </m>
      <m in="0">
        <tpls c="5">
          <tpl fld="1" item="3"/>
          <tpl fld="2" item="7"/>
          <tpl hier="10" item="3"/>
          <tpl hier="11" item="9"/>
          <tpl fld="0" item="0"/>
        </tpls>
      </m>
      <m in="0">
        <tpls c="5">
          <tpl fld="1" item="6"/>
          <tpl fld="2" item="9"/>
          <tpl hier="10" item="3"/>
          <tpl hier="11" item="9"/>
          <tpl fld="0" item="1"/>
        </tpls>
      </m>
      <m in="0">
        <tpls c="5">
          <tpl fld="1" item="3"/>
          <tpl fld="2" item="3"/>
          <tpl hier="10" item="3"/>
          <tpl hier="11" item="9"/>
          <tpl fld="0" item="1"/>
        </tpls>
      </m>
      <n v="-492.75" in="0">
        <tpls c="5">
          <tpl fld="1" item="9"/>
          <tpl fld="2" item="11"/>
          <tpl hier="10" item="3"/>
          <tpl hier="11" item="9"/>
          <tpl fld="0" item="0"/>
        </tpls>
      </n>
      <m in="0">
        <tpls c="5">
          <tpl fld="1" item="10"/>
          <tpl fld="2" item="6"/>
          <tpl hier="10" item="3"/>
          <tpl hier="11" item="9"/>
          <tpl fld="0" item="1"/>
        </tpls>
      </m>
      <m in="0">
        <tpls c="5">
          <tpl fld="1" item="3"/>
          <tpl fld="2" item="0"/>
          <tpl hier="10" item="3"/>
          <tpl hier="11" item="9"/>
          <tpl fld="0" item="1"/>
        </tpls>
      </m>
      <n v="-17881" in="0">
        <tpls c="5">
          <tpl fld="1" item="2"/>
          <tpl fld="2" item="6"/>
          <tpl hier="10" item="3"/>
          <tpl hier="11" item="9"/>
          <tpl fld="0" item="0"/>
        </tpls>
      </n>
      <m in="0">
        <tpls c="5">
          <tpl fld="1" item="4"/>
          <tpl fld="2" item="5"/>
          <tpl hier="10" item="3"/>
          <tpl hier="11" item="9"/>
          <tpl fld="0" item="1"/>
        </tpls>
      </m>
      <n v="-611.25" in="0">
        <tpls c="5">
          <tpl fld="1" item="8"/>
          <tpl fld="2" item="11"/>
          <tpl hier="10" item="3"/>
          <tpl hier="11" item="9"/>
          <tpl fld="0" item="0"/>
        </tpls>
      </n>
      <n v="-3649.5" in="0">
        <tpls c="5">
          <tpl fld="1" item="3"/>
          <tpl fld="2" item="13"/>
          <tpl hier="10" item="3"/>
          <tpl hier="11" item="9"/>
          <tpl fld="0" item="0"/>
        </tpls>
      </n>
      <m in="0">
        <tpls c="5">
          <tpl fld="1" item="11"/>
          <tpl fld="2" item="2"/>
          <tpl hier="10" item="3"/>
          <tpl hier="11" item="9"/>
          <tpl fld="0" item="1"/>
        </tpls>
      </m>
      <m in="0">
        <tpls c="5">
          <tpl fld="1" item="5"/>
          <tpl fld="2" item="14"/>
          <tpl hier="10" item="3"/>
          <tpl hier="11" item="9"/>
          <tpl fld="0" item="1"/>
        </tpls>
      </m>
      <m in="0">
        <tpls c="4">
          <tpl fld="2" item="12"/>
          <tpl hier="10" item="3"/>
          <tpl hier="11" item="9"/>
          <tpl fld="0" item="1"/>
        </tpls>
      </m>
      <m in="0">
        <tpls c="5">
          <tpl fld="1" item="7"/>
          <tpl hier="9" item="4294967295"/>
          <tpl hier="10" item="3"/>
          <tpl hier="11" item="9"/>
          <tpl fld="0" item="1"/>
        </tpls>
      </m>
      <n v="-73136.75" in="0">
        <tpls c="4">
          <tpl fld="2" item="15"/>
          <tpl hier="10" item="3"/>
          <tpl hier="11" item="9"/>
          <tpl fld="0" item="0"/>
        </tpls>
      </n>
      <m in="0">
        <tpls c="5">
          <tpl fld="1" item="0"/>
          <tpl fld="2" item="9"/>
          <tpl hier="10" item="3"/>
          <tpl hier="11" item="9"/>
          <tpl fld="0" item="1"/>
        </tpls>
      </m>
      <m in="0">
        <tpls c="5">
          <tpl fld="1" item="6"/>
          <tpl fld="2" item="4"/>
          <tpl hier="10" item="3"/>
          <tpl hier="11" item="9"/>
          <tpl fld="0" item="1"/>
        </tpls>
      </m>
      <m in="0">
        <tpls c="5">
          <tpl fld="1" item="2"/>
          <tpl fld="2" item="1"/>
          <tpl hier="10" item="3"/>
          <tpl hier="11" item="9"/>
          <tpl fld="0" item="1"/>
        </tpls>
      </m>
      <m in="0">
        <tpls c="5">
          <tpl fld="1" item="2"/>
          <tpl fld="2" item="2"/>
          <tpl hier="10" item="3"/>
          <tpl hier="11" item="9"/>
          <tpl fld="0" item="1"/>
        </tpls>
      </m>
      <m in="0">
        <tpls c="5">
          <tpl fld="1" item="3"/>
          <tpl fld="2" item="8"/>
          <tpl hier="10" item="3"/>
          <tpl hier="11" item="9"/>
          <tpl fld="0" item="1"/>
        </tpls>
      </m>
      <m in="0">
        <tpls c="5">
          <tpl fld="1" item="3"/>
          <tpl fld="2" item="9"/>
          <tpl hier="10" item="3"/>
          <tpl hier="11" item="9"/>
          <tpl fld="0" item="1"/>
        </tpls>
      </m>
      <n v="-458.5" in="0">
        <tpls c="5">
          <tpl fld="1" item="5"/>
          <tpl fld="2" item="11"/>
          <tpl hier="10" item="3"/>
          <tpl hier="11" item="9"/>
          <tpl fld="0" item="0"/>
        </tpls>
      </n>
      <n v="-15326.75" in="0">
        <tpls c="5">
          <tpl fld="1" item="9"/>
          <tpl fld="2" item="6"/>
          <tpl hier="10" item="3"/>
          <tpl hier="11" item="9"/>
          <tpl fld="0" item="0"/>
        </tpls>
      </n>
      <m in="0">
        <tpls c="5">
          <tpl fld="1" item="4"/>
          <tpl fld="2" item="7"/>
          <tpl hier="10" item="3"/>
          <tpl hier="11" item="9"/>
          <tpl fld="0" item="0"/>
        </tpls>
      </m>
      <m in="0">
        <tpls c="5">
          <tpl fld="1" item="4"/>
          <tpl fld="2" item="0"/>
          <tpl hier="10" item="3"/>
          <tpl hier="11" item="9"/>
          <tpl fld="0" item="1"/>
        </tpls>
      </m>
      <n v="-469.75" in="0">
        <tpls c="5">
          <tpl fld="1" item="7"/>
          <tpl fld="2" item="11"/>
          <tpl hier="10" item="3"/>
          <tpl hier="11" item="9"/>
          <tpl fld="0" item="0"/>
        </tpls>
      </n>
      <m in="0">
        <tpls c="5">
          <tpl fld="1" item="3"/>
          <tpl fld="2" item="13"/>
          <tpl hier="10" item="3"/>
          <tpl hier="11" item="9"/>
          <tpl fld="0" item="1"/>
        </tpls>
      </m>
      <m in="0">
        <tpls c="5">
          <tpl fld="1" item="11"/>
          <tpl fld="2" item="0"/>
          <tpl hier="10" item="3"/>
          <tpl hier="11" item="9"/>
          <tpl fld="0" item="1"/>
        </tpls>
      </m>
      <m in="0">
        <tpls c="5">
          <tpl fld="1" item="11"/>
          <tpl fld="2" item="14"/>
          <tpl hier="10" item="3"/>
          <tpl hier="11" item="9"/>
          <tpl fld="0" item="0"/>
        </tpls>
      </m>
      <m in="0">
        <tpls c="4">
          <tpl fld="2" item="0"/>
          <tpl hier="10" item="3"/>
          <tpl hier="11" item="9"/>
          <tpl fld="0" item="1"/>
        </tpls>
      </m>
      <n v="-298859.5" in="0">
        <tpls c="5">
          <tpl fld="1" item="6"/>
          <tpl hier="9" item="4294967295"/>
          <tpl hier="10" item="3"/>
          <tpl hier="11" item="9"/>
          <tpl fld="0" item="0"/>
        </tpls>
      </n>
      <m in="0">
        <tpls c="4">
          <tpl fld="2" item="15"/>
          <tpl hier="10" item="3"/>
          <tpl hier="11" item="9"/>
          <tpl fld="0" item="1"/>
        </tpls>
      </m>
      <m in="0">
        <tpls c="5">
          <tpl fld="1" item="0"/>
          <tpl fld="2" item="9"/>
          <tpl hier="10" item="3"/>
          <tpl hier="11" item="9"/>
          <tpl fld="0" item="0"/>
        </tpls>
      </m>
      <m in="0">
        <tpls c="4">
          <tpl fld="2" item="4"/>
          <tpl hier="10" item="3"/>
          <tpl hier="11" item="9"/>
          <tpl fld="0" item="1"/>
        </tpls>
      </m>
      <n v="-4687.75" in="0">
        <tpls c="5">
          <tpl fld="1" item="8"/>
          <tpl fld="2" item="15"/>
          <tpl hier="10" item="3"/>
          <tpl hier="11" item="9"/>
          <tpl fld="0" item="0"/>
        </tpls>
      </n>
      <m in="0">
        <tpls c="5">
          <tpl fld="1" item="3"/>
          <tpl fld="2" item="8"/>
          <tpl hier="10" item="3"/>
          <tpl hier="11" item="9"/>
          <tpl fld="0" item="0"/>
        </tpls>
      </m>
      <n v="-487.5" in="0">
        <tpls c="5">
          <tpl fld="1" item="3"/>
          <tpl fld="2" item="11"/>
          <tpl hier="10" item="3"/>
          <tpl hier="11" item="9"/>
          <tpl fld="0" item="0"/>
        </tpls>
      </n>
      <m in="0">
        <tpls c="5">
          <tpl fld="1" item="11"/>
          <tpl fld="2" item="14"/>
          <tpl hier="10" item="3"/>
          <tpl hier="11" item="9"/>
          <tpl fld="0" item="1"/>
        </tpls>
      </m>
      <m in="0">
        <tpls c="5">
          <tpl fld="1" item="8"/>
          <tpl fld="2" item="15"/>
          <tpl hier="10" item="3"/>
          <tpl hier="11" item="9"/>
          <tpl fld="0" item="1"/>
        </tpls>
      </m>
      <m in="0">
        <tpls c="5">
          <tpl fld="1" item="3"/>
          <tpl fld="2" item="1"/>
          <tpl hier="10" item="3"/>
          <tpl hier="11" item="9"/>
          <tpl fld="0" item="1"/>
        </tpls>
      </m>
      <m in="0">
        <tpls c="5">
          <tpl fld="1" item="9"/>
          <tpl fld="2" item="1"/>
          <tpl hier="10" item="3"/>
          <tpl hier="11" item="9"/>
          <tpl fld="0" item="1"/>
        </tpls>
      </m>
      <m in="0">
        <tpls c="5">
          <tpl fld="1" item="9"/>
          <tpl fld="2" item="12"/>
          <tpl hier="10" item="3"/>
          <tpl hier="11" item="9"/>
          <tpl fld="0" item="1"/>
        </tpls>
      </m>
      <m in="0">
        <tpls c="5">
          <tpl fld="1" item="10"/>
          <tpl fld="2" item="14"/>
          <tpl hier="10" item="3"/>
          <tpl hier="11" item="9"/>
          <tpl fld="0" item="0"/>
        </tpls>
      </m>
      <n v="-3882.5" in="0">
        <tpls c="5">
          <tpl fld="1" item="0"/>
          <tpl fld="2" item="12"/>
          <tpl hier="10" item="3"/>
          <tpl hier="11" item="9"/>
          <tpl fld="0" item="0"/>
        </tpls>
      </n>
      <m in="0">
        <tpls c="5">
          <tpl fld="1" item="7"/>
          <tpl fld="2" item="5"/>
          <tpl hier="10" item="3"/>
          <tpl hier="11" item="9"/>
          <tpl fld="0" item="1"/>
        </tpls>
      </m>
      <n v="-4974.75" in="0">
        <tpls c="5">
          <tpl fld="1" item="11"/>
          <tpl fld="2" item="1"/>
          <tpl hier="10" item="3"/>
          <tpl hier="11" item="9"/>
          <tpl fld="0" item="0"/>
        </tpls>
      </n>
      <n v="-5160.25" in="0">
        <tpls c="5">
          <tpl fld="1" item="2"/>
          <tpl fld="2" item="12"/>
          <tpl hier="10" item="3"/>
          <tpl hier="11" item="9"/>
          <tpl fld="0" item="0"/>
        </tpls>
      </n>
      <m in="0">
        <tpls c="5">
          <tpl fld="1" item="8"/>
          <tpl fld="2" item="14"/>
          <tpl hier="10" item="3"/>
          <tpl hier="11" item="9"/>
          <tpl fld="0" item="0"/>
        </tpls>
      </m>
      <m in="0">
        <tpls c="5">
          <tpl fld="1" item="7"/>
          <tpl fld="2" item="15"/>
          <tpl hier="10" item="3"/>
          <tpl hier="11" item="9"/>
          <tpl fld="0" item="1"/>
        </tpls>
      </m>
      <m in="0">
        <tpls c="5">
          <tpl fld="1" item="2"/>
          <tpl fld="2" item="8"/>
          <tpl hier="10" item="3"/>
          <tpl hier="11" item="9"/>
          <tpl fld="0" item="0"/>
        </tpls>
      </m>
      <n v="-197139.75" in="0">
        <tpls c="5">
          <tpl fld="1" item="3"/>
          <tpl fld="2" item="0"/>
          <tpl hier="10" item="3"/>
          <tpl hier="11" item="9"/>
          <tpl fld="0" item="0"/>
        </tpls>
      </n>
      <m in="0">
        <tpls c="5">
          <tpl fld="1" item="8"/>
          <tpl fld="2" item="8"/>
          <tpl hier="10" item="3"/>
          <tpl hier="11" item="9"/>
          <tpl fld="0" item="1"/>
        </tpls>
      </m>
      <m in="0">
        <tpls c="5">
          <tpl fld="1" item="5"/>
          <tpl fld="2" item="12"/>
          <tpl hier="10" item="3"/>
          <tpl hier="11" item="9"/>
          <tpl fld="0" item="1"/>
        </tpls>
      </m>
      <m in="0">
        <tpls c="5">
          <tpl fld="1" item="8"/>
          <tpl fld="2" item="14"/>
          <tpl hier="10" item="3"/>
          <tpl hier="11" item="9"/>
          <tpl fld="0" item="1"/>
        </tpls>
      </m>
      <n v="-6901.5" in="0">
        <tpls c="5">
          <tpl fld="1" item="6"/>
          <tpl fld="2" item="15"/>
          <tpl hier="10" item="3"/>
          <tpl hier="11" item="9"/>
          <tpl fld="0" item="0"/>
        </tpls>
      </n>
      <n v="-16405.25" in="0">
        <tpls c="5">
          <tpl fld="1" item="10"/>
          <tpl fld="2" item="6"/>
          <tpl hier="10" item="3"/>
          <tpl hier="11" item="9"/>
          <tpl fld="0" item="0"/>
        </tpls>
      </n>
      <m in="0">
        <tpls c="5">
          <tpl fld="1" item="11"/>
          <tpl fld="2" item="4"/>
          <tpl hier="10" item="3"/>
          <tpl hier="11" item="9"/>
          <tpl fld="0" item="0"/>
        </tpls>
      </m>
      <m in="0">
        <tpls c="5">
          <tpl fld="1" item="0"/>
          <tpl fld="2" item="0"/>
          <tpl hier="10" item="3"/>
          <tpl hier="11" item="9"/>
          <tpl fld="0" item="1"/>
        </tpls>
      </m>
      <m in="0">
        <tpls c="5">
          <tpl fld="1" item="1"/>
          <tpl fld="2" item="2"/>
          <tpl hier="10" item="3"/>
          <tpl hier="11" item="9"/>
          <tpl fld="0" item="1"/>
        </tpls>
      </m>
      <m in="0">
        <tpls c="5">
          <tpl fld="1" item="11"/>
          <tpl fld="2" item="10"/>
          <tpl hier="10" item="3"/>
          <tpl hier="11" item="9"/>
          <tpl fld="0" item="1"/>
        </tpls>
      </m>
      <m in="0">
        <tpls c="5">
          <tpl fld="1" item="11"/>
          <tpl hier="9" item="4294967295"/>
          <tpl hier="10" item="3"/>
          <tpl hier="11" item="9"/>
          <tpl fld="0" item="1"/>
        </tpls>
      </m>
      <n v="-2314.25" in="0">
        <tpls c="5">
          <tpl fld="1" item="8"/>
          <tpl fld="2" item="3"/>
          <tpl hier="10" item="3"/>
          <tpl hier="11" item="9"/>
          <tpl fld="0" item="0"/>
        </tpls>
      </n>
      <m in="0">
        <tpls c="5">
          <tpl fld="1" item="10"/>
          <tpl fld="2" item="7"/>
          <tpl hier="10" item="3"/>
          <tpl hier="11" item="9"/>
          <tpl fld="0" item="1"/>
        </tpls>
      </m>
      <n v="-12465.25" in="0">
        <tpls c="5">
          <tpl fld="1" item="10"/>
          <tpl fld="2" item="10"/>
          <tpl hier="10" item="3"/>
          <tpl hier="11" item="9"/>
          <tpl fld="0" item="0"/>
        </tpls>
      </n>
      <n v="-266738.25" in="0">
        <tpls c="5">
          <tpl fld="1" item="11"/>
          <tpl fld="2" item="0"/>
          <tpl hier="10" item="3"/>
          <tpl hier="11" item="9"/>
          <tpl fld="0" item="0"/>
        </tpls>
      </n>
      <m in="0">
        <tpls c="5">
          <tpl fld="1" item="3"/>
          <tpl fld="2" item="4"/>
          <tpl hier="10" item="3"/>
          <tpl hier="11" item="9"/>
          <tpl fld="0" item="1"/>
        </tpls>
      </m>
      <m in="0">
        <tpls c="5">
          <tpl fld="1" item="10"/>
          <tpl fld="2" item="13"/>
          <tpl hier="10" item="3"/>
          <tpl hier="11" item="9"/>
          <tpl fld="0" item="1"/>
        </tpls>
      </m>
      <m in="0">
        <tpls c="5">
          <tpl fld="1" item="5"/>
          <tpl fld="2" item="3"/>
          <tpl hier="10" item="3"/>
          <tpl hier="11" item="9"/>
          <tpl fld="0" item="1"/>
        </tpls>
      </m>
      <n v="-5620.5" in="0">
        <tpls c="5">
          <tpl fld="1" item="8"/>
          <tpl fld="2" item="13"/>
          <tpl hier="10" item="3"/>
          <tpl hier="11" item="9"/>
          <tpl fld="0" item="0"/>
        </tpls>
      </n>
      <m in="0">
        <tpls c="5">
          <tpl fld="1" item="0"/>
          <tpl fld="2" item="2"/>
          <tpl hier="10" item="3"/>
          <tpl hier="11" item="9"/>
          <tpl fld="0" item="1"/>
        </tpls>
      </m>
      <m in="0">
        <tpls c="5">
          <tpl fld="1" item="6"/>
          <tpl fld="2" item="2"/>
          <tpl hier="10" item="3"/>
          <tpl hier="11" item="9"/>
          <tpl fld="0" item="0"/>
        </tpls>
      </m>
      <m in="0">
        <tpls c="5">
          <tpl fld="1" item="8"/>
          <tpl fld="2" item="10"/>
          <tpl hier="10" item="3"/>
          <tpl hier="11" item="9"/>
          <tpl fld="0" item="1"/>
        </tpls>
      </m>
      <m in="0">
        <tpls c="5">
          <tpl fld="1" item="0"/>
          <tpl fld="2" item="2"/>
          <tpl hier="10" item="3"/>
          <tpl hier="11" item="9"/>
          <tpl fld="0" item="0"/>
        </tpls>
      </m>
      <n v="-5737.75" in="0">
        <tpls c="5">
          <tpl fld="1" item="6"/>
          <tpl fld="2" item="13"/>
          <tpl hier="10" item="3"/>
          <tpl hier="11" item="9"/>
          <tpl fld="0" item="0"/>
        </tpls>
      </n>
      <m in="0">
        <tpls c="5">
          <tpl fld="1" item="10"/>
          <tpl fld="2" item="9"/>
          <tpl hier="10" item="3"/>
          <tpl hier="11" item="9"/>
          <tpl fld="0" item="0"/>
        </tpls>
      </m>
      <m in="0">
        <tpls c="5">
          <tpl fld="1" item="10"/>
          <tpl fld="2" item="1"/>
          <tpl hier="10" item="3"/>
          <tpl hier="11" item="9"/>
          <tpl fld="0" item="1"/>
        </tpls>
      </m>
      <m in="0">
        <tpls c="5">
          <tpl fld="1" item="8"/>
          <tpl fld="2" item="7"/>
          <tpl hier="10" item="3"/>
          <tpl hier="11" item="9"/>
          <tpl fld="0" item="1"/>
        </tpls>
      </m>
      <n v="-14617.25" in="0">
        <tpls c="5">
          <tpl fld="1" item="5"/>
          <tpl fld="2" item="6"/>
          <tpl hier="10" item="3"/>
          <tpl hier="11" item="9"/>
          <tpl fld="0" item="0"/>
        </tpls>
      </n>
      <m in="0">
        <tpls c="5">
          <tpl fld="1" item="4"/>
          <tpl fld="2" item="8"/>
          <tpl hier="10" item="3"/>
          <tpl hier="11" item="9"/>
          <tpl fld="0" item="0"/>
        </tpls>
      </m>
      <n v="-1026" in="0">
        <tpls c="5">
          <tpl fld="1" item="9"/>
          <tpl fld="2" item="5"/>
          <tpl hier="10" item="3"/>
          <tpl hier="11" item="9"/>
          <tpl fld="0" item="0"/>
        </tpls>
      </n>
      <m in="0">
        <tpls c="5">
          <tpl fld="1" item="10"/>
          <tpl hier="9" item="4294967295"/>
          <tpl hier="10" item="3"/>
          <tpl hier="11" item="9"/>
          <tpl fld="0" item="1"/>
        </tpls>
      </m>
      <n v="-4076.5" in="0">
        <tpls c="5">
          <tpl fld="1" item="9"/>
          <tpl fld="2" item="12"/>
          <tpl hier="10" item="3"/>
          <tpl hier="11" item="9"/>
          <tpl fld="0" item="0"/>
        </tpls>
      </n>
      <m in="0">
        <tpls c="5">
          <tpl fld="1" item="5"/>
          <tpl fld="2" item="2"/>
          <tpl hier="10" item="3"/>
          <tpl hier="11" item="9"/>
          <tpl fld="0" item="0"/>
        </tpls>
      </m>
      <m in="0">
        <tpls c="5">
          <tpl fld="1" item="7"/>
          <tpl fld="2" item="4"/>
          <tpl hier="10" item="3"/>
          <tpl hier="11" item="9"/>
          <tpl fld="0" item="0"/>
        </tpls>
      </m>
      <n v="-19584" in="0">
        <tpls c="5">
          <tpl fld="1" item="3"/>
          <tpl fld="2" item="6"/>
          <tpl hier="10" item="3"/>
          <tpl hier="11" item="9"/>
          <tpl fld="0" item="0"/>
        </tpls>
      </n>
      <m in="0">
        <tpls c="5">
          <tpl fld="1" item="4"/>
          <tpl fld="2" item="13"/>
          <tpl hier="10" item="3"/>
          <tpl hier="11" item="9"/>
          <tpl fld="0" item="1"/>
        </tpls>
      </m>
      <m in="0">
        <tpls c="5">
          <tpl fld="1" item="9"/>
          <tpl fld="2" item="15"/>
          <tpl hier="10" item="3"/>
          <tpl hier="11" item="9"/>
          <tpl fld="0" item="1"/>
        </tpls>
      </m>
      <n v="-2420.5" in="0">
        <tpls c="5">
          <tpl fld="1" item="1"/>
          <tpl fld="2" item="3"/>
          <tpl hier="10" item="3"/>
          <tpl hier="11" item="9"/>
          <tpl fld="0" item="0"/>
        </tpls>
      </n>
      <m in="0">
        <tpls c="5">
          <tpl fld="1" item="7"/>
          <tpl fld="2" item="8"/>
          <tpl hier="10" item="3"/>
          <tpl hier="11" item="9"/>
          <tpl fld="0" item="0"/>
        </tpls>
      </m>
      <n v="-14282.25" in="0">
        <tpls c="4">
          <tpl fld="2" item="5"/>
          <tpl hier="10" item="3"/>
          <tpl hier="11" item="9"/>
          <tpl fld="0" item="0"/>
        </tpls>
      </n>
      <n v="-15018.5" in="0">
        <tpls c="5">
          <tpl fld="1" item="1"/>
          <tpl fld="2" item="10"/>
          <tpl hier="10" item="3"/>
          <tpl hier="11" item="9"/>
          <tpl fld="0" item="0"/>
        </tpls>
      </n>
      <m in="0">
        <tpls c="5">
          <tpl fld="1" item="10"/>
          <tpl fld="2" item="0"/>
          <tpl hier="10" item="3"/>
          <tpl hier="11" item="9"/>
          <tpl fld="0" item="1"/>
        </tpls>
      </m>
      <m in="0">
        <tpls c="5">
          <tpl fld="1" item="3"/>
          <tpl fld="2" item="12"/>
          <tpl hier="10" item="3"/>
          <tpl hier="11" item="9"/>
          <tpl fld="0" item="1"/>
        </tpls>
      </m>
      <m in="0">
        <tpls c="4">
          <tpl fld="2" item="9"/>
          <tpl hier="10" item="3"/>
          <tpl hier="11" item="9"/>
          <tpl fld="0" item="0"/>
        </tpls>
      </m>
      <n v="-4096" in="0">
        <tpls c="5">
          <tpl fld="1" item="2"/>
          <tpl fld="2" item="1"/>
          <tpl hier="10" item="3"/>
          <tpl hier="11" item="9"/>
          <tpl fld="0" item="0"/>
        </tpls>
      </n>
      <m in="0">
        <tpls c="4">
          <tpl fld="2" item="14"/>
          <tpl hier="10" item="3"/>
          <tpl hier="11" item="9"/>
          <tpl fld="0" item="0"/>
        </tpls>
      </m>
      <m in="0">
        <tpls c="5">
          <tpl fld="1" item="2"/>
          <tpl fld="2" item="10"/>
          <tpl hier="10" item="3"/>
          <tpl hier="11" item="9"/>
          <tpl fld="0" item="1"/>
        </tpls>
      </m>
      <m in="0">
        <tpls c="5">
          <tpl fld="1" item="6"/>
          <tpl fld="2" item="8"/>
          <tpl hier="10" item="3"/>
          <tpl hier="11" item="9"/>
          <tpl fld="0" item="1"/>
        </tpls>
      </m>
      <n v="-53900" in="0">
        <tpls c="4">
          <tpl fld="2" item="1"/>
          <tpl hier="10" item="3"/>
          <tpl hier="11" item="9"/>
          <tpl fld="0" item="0"/>
        </tpls>
      </n>
      <m in="0">
        <tpls c="5">
          <tpl fld="1" item="8"/>
          <tpl fld="2" item="6"/>
          <tpl hier="10" item="3"/>
          <tpl hier="11" item="9"/>
          <tpl fld="0" item="1"/>
        </tpls>
      </m>
      <m in="0">
        <tpls c="4">
          <tpl fld="2" item="8"/>
          <tpl hier="10" item="3"/>
          <tpl hier="11" item="9"/>
          <tpl fld="0" item="0"/>
        </tpls>
      </m>
      <m in="0">
        <tpls c="5">
          <tpl fld="1" item="1"/>
          <tpl hier="9" item="4294967295"/>
          <tpl hier="10" item="3"/>
          <tpl hier="11" item="9"/>
          <tpl fld="0" item="1"/>
        </tpls>
      </m>
      <m in="0">
        <tpls c="5">
          <tpl fld="1" item="8"/>
          <tpl fld="2" item="4"/>
          <tpl hier="10" item="3"/>
          <tpl hier="11" item="9"/>
          <tpl fld="0" item="0"/>
        </tpls>
      </m>
      <m in="0">
        <tpls c="5">
          <tpl fld="1" item="4"/>
          <tpl fld="2" item="8"/>
          <tpl hier="10" item="3"/>
          <tpl hier="11" item="9"/>
          <tpl fld="0" item="1"/>
        </tpls>
      </m>
      <n v="-14262.25" in="0">
        <tpls c="5">
          <tpl fld="1" item="7"/>
          <tpl fld="2" item="10"/>
          <tpl hier="10" item="3"/>
          <tpl hier="11" item="9"/>
          <tpl fld="0" item="0"/>
        </tpls>
      </n>
      <n v="-6838.75" in="0">
        <tpls c="5">
          <tpl fld="1" item="1"/>
          <tpl fld="2" item="15"/>
          <tpl hier="10" item="3"/>
          <tpl hier="11" item="9"/>
          <tpl fld="0" item="0"/>
        </tpls>
      </n>
      <n v="-1057" in="0">
        <tpls c="5">
          <tpl fld="1" item="2"/>
          <tpl fld="2" item="5"/>
          <tpl hier="10" item="3"/>
          <tpl hier="11" item="9"/>
          <tpl fld="0" item="0"/>
        </tpls>
      </n>
      <n v="-299259" in="0">
        <tpls c="5">
          <tpl fld="1" item="10"/>
          <tpl hier="9" item="4294967295"/>
          <tpl hier="10" item="3"/>
          <tpl hier="11" item="9"/>
          <tpl fld="0" item="0"/>
        </tpls>
      </n>
      <m in="0">
        <tpls c="5">
          <tpl fld="1" item="2"/>
          <tpl fld="2" item="5"/>
          <tpl hier="10" item="3"/>
          <tpl hier="11" item="9"/>
          <tpl fld="0" item="1"/>
        </tpls>
      </m>
      <m in="0">
        <tpls c="5">
          <tpl fld="1" item="8"/>
          <tpl fld="2" item="13"/>
          <tpl hier="10" item="3"/>
          <tpl hier="11" item="9"/>
          <tpl fld="0" item="1"/>
        </tpls>
      </m>
      <m in="0">
        <tpls c="5">
          <tpl fld="1" item="6"/>
          <tpl fld="2" item="15"/>
          <tpl hier="10" item="3"/>
          <tpl hier="11" item="9"/>
          <tpl fld="0" item="1"/>
        </tpls>
      </m>
      <m in="0">
        <tpls c="5">
          <tpl fld="1" item="7"/>
          <tpl fld="2" item="3"/>
          <tpl hier="10" item="3"/>
          <tpl hier="11" item="9"/>
          <tpl fld="0" item="1"/>
        </tpls>
      </m>
      <m in="0">
        <tpls c="5">
          <tpl fld="1" item="9"/>
          <tpl fld="2" item="14"/>
          <tpl hier="10" item="3"/>
          <tpl hier="11" item="9"/>
          <tpl fld="0" item="1"/>
        </tpls>
      </m>
      <m in="0">
        <tpls c="5">
          <tpl fld="1" item="7"/>
          <tpl fld="2" item="2"/>
          <tpl hier="10" item="3"/>
          <tpl hier="11" item="9"/>
          <tpl fld="0" item="0"/>
        </tpls>
      </m>
      <m in="0">
        <tpls c="4">
          <tpl fld="2" item="2"/>
          <tpl hier="10" item="3"/>
          <tpl hier="11" item="9"/>
          <tpl fld="0" item="1"/>
        </tpls>
      </m>
      <n v="-6818.5" in="0">
        <tpls c="5">
          <tpl fld="1" item="7"/>
          <tpl fld="2" item="15"/>
          <tpl hier="10" item="3"/>
          <tpl hier="11" item="9"/>
          <tpl fld="0" item="0"/>
        </tpls>
      </n>
      <n v="-275534.75" in="0">
        <tpls c="5">
          <tpl fld="1" item="0"/>
          <tpl fld="2" item="0"/>
          <tpl hier="10" item="3"/>
          <tpl hier="11" item="9"/>
          <tpl fld="0" item="0"/>
        </tpls>
      </n>
      <m in="0">
        <tpls c="5">
          <tpl fld="1" item="4"/>
          <tpl fld="2" item="7"/>
          <tpl hier="10" item="3"/>
          <tpl hier="11" item="9"/>
          <tpl fld="0" item="1"/>
        </tpls>
      </m>
      <m in="0">
        <tpls c="5">
          <tpl fld="1" item="0"/>
          <tpl fld="2" item="1"/>
          <tpl hier="10" item="3"/>
          <tpl hier="11" item="9"/>
          <tpl fld="0" item="1"/>
        </tpls>
      </m>
      <m in="0">
        <tpls c="5">
          <tpl fld="1" item="9"/>
          <tpl fld="2" item="6"/>
          <tpl hier="10" item="3"/>
          <tpl hier="11" item="9"/>
          <tpl fld="0" item="1"/>
        </tpls>
      </m>
      <m in="0">
        <tpls c="5">
          <tpl fld="1" item="10"/>
          <tpl fld="2" item="10"/>
          <tpl hier="10" item="3"/>
          <tpl hier="11" item="9"/>
          <tpl fld="0" item="1"/>
        </tpls>
      </m>
      <n v="-4824.75" in="0">
        <tpls c="5">
          <tpl fld="1" item="0"/>
          <tpl fld="2" item="1"/>
          <tpl hier="10" item="3"/>
          <tpl hier="11" item="9"/>
          <tpl fld="0" item="0"/>
        </tpls>
      </n>
      <n v="-4328.5" in="0">
        <tpls c="5">
          <tpl fld="1" item="1"/>
          <tpl fld="2" item="1"/>
          <tpl hier="10" item="3"/>
          <tpl hier="11" item="9"/>
          <tpl fld="0" item="0"/>
        </tpls>
      </n>
      <m in="0">
        <tpls c="5">
          <tpl fld="1" item="1"/>
          <tpl fld="2" item="12"/>
          <tpl hier="10" item="3"/>
          <tpl hier="11" item="9"/>
          <tpl fld="0" item="1"/>
        </tpls>
      </m>
      <n v="-249891.5" in="0">
        <tpls c="5">
          <tpl fld="1" item="7"/>
          <tpl fld="2" item="0"/>
          <tpl hier="10" item="3"/>
          <tpl hier="11" item="9"/>
          <tpl fld="0" item="0"/>
        </tpls>
      </n>
      <m in="0">
        <tpls c="5">
          <tpl fld="1" item="9"/>
          <tpl fld="2" item="4"/>
          <tpl hier="10" item="3"/>
          <tpl hier="11" item="9"/>
          <tpl fld="0" item="1"/>
        </tpls>
      </m>
      <m in="0">
        <tpls c="5">
          <tpl fld="1" item="3"/>
          <tpl fld="2" item="10"/>
          <tpl hier="10" item="3"/>
          <tpl hier="11" item="9"/>
          <tpl fld="0" item="1"/>
        </tpls>
      </m>
      <m in="0">
        <tpls c="5">
          <tpl fld="1" item="2"/>
          <tpl fld="2" item="4"/>
          <tpl hier="10" item="3"/>
          <tpl hier="11" item="9"/>
          <tpl fld="0" item="0"/>
        </tpls>
      </m>
      <n v="-274106.5" in="0">
        <tpls c="5">
          <tpl fld="1" item="1"/>
          <tpl hier="9" item="4294967295"/>
          <tpl hier="10" item="3"/>
          <tpl hier="11" item="9"/>
          <tpl fld="0" item="0"/>
        </tpls>
      </n>
      <m in="0">
        <tpls c="5">
          <tpl fld="1" item="11"/>
          <tpl fld="2" item="8"/>
          <tpl hier="10" item="3"/>
          <tpl hier="11" item="9"/>
          <tpl fld="0" item="1"/>
        </tpls>
      </m>
      <m in="0">
        <tpls c="5">
          <tpl fld="1" item="1"/>
          <tpl fld="2" item="6"/>
          <tpl hier="10" item="3"/>
          <tpl hier="11" item="9"/>
          <tpl fld="0" item="1"/>
        </tpls>
      </m>
      <m in="0">
        <tpls c="5">
          <tpl fld="1" item="0"/>
          <tpl fld="2" item="7"/>
          <tpl hier="10" item="3"/>
          <tpl hier="11" item="9"/>
          <tpl fld="0" item="1"/>
        </tpls>
      </m>
      <n v="-1165.5" in="0">
        <tpls c="5">
          <tpl fld="1" item="1"/>
          <tpl fld="2" item="5"/>
          <tpl hier="10" item="3"/>
          <tpl hier="11" item="9"/>
          <tpl fld="0" item="0"/>
        </tpls>
      </n>
      <m in="0">
        <tpls c="5">
          <tpl fld="1" item="0"/>
          <tpl fld="2" item="7"/>
          <tpl hier="10" item="3"/>
          <tpl hier="11" item="9"/>
          <tpl fld="0" item="0"/>
        </tpls>
      </m>
      <m in="0">
        <tpls c="5">
          <tpl fld="1" item="7"/>
          <tpl fld="2" item="2"/>
          <tpl hier="10" item="3"/>
          <tpl hier="11" item="9"/>
          <tpl fld="0" item="1"/>
        </tpls>
      </m>
      <m in="0">
        <tpls c="5">
          <tpl fld="1" item="8"/>
          <tpl hier="9" item="4294967295"/>
          <tpl hier="10" item="3"/>
          <tpl hier="11" item="9"/>
          <tpl fld="0" item="1"/>
        </tpls>
      </m>
      <m in="0">
        <tpls c="5">
          <tpl fld="1" item="1"/>
          <tpl fld="2" item="9"/>
          <tpl hier="10" item="3"/>
          <tpl hier="11" item="9"/>
          <tpl fld="0" item="0"/>
        </tpls>
      </m>
      <m in="0">
        <tpls c="5">
          <tpl fld="1" item="2"/>
          <tpl fld="2" item="7"/>
          <tpl hier="10" item="3"/>
          <tpl hier="11" item="9"/>
          <tpl fld="0" item="1"/>
        </tpls>
      </m>
      <m in="0">
        <tpls c="5">
          <tpl fld="1" item="8"/>
          <tpl fld="2" item="2"/>
          <tpl hier="10" item="3"/>
          <tpl hier="11" item="9"/>
          <tpl fld="0" item="0"/>
        </tpls>
      </m>
      <m in="0">
        <tpls c="5">
          <tpl fld="1" item="6"/>
          <tpl fld="2" item="5"/>
          <tpl hier="10" item="3"/>
          <tpl hier="11" item="9"/>
          <tpl fld="0" item="1"/>
        </tpls>
      </m>
      <m in="0">
        <tpls c="5">
          <tpl fld="1" item="8"/>
          <tpl fld="2" item="7"/>
          <tpl hier="10" item="3"/>
          <tpl hier="11" item="9"/>
          <tpl fld="0" item="0"/>
        </tpls>
      </m>
      <n v="-3982.75" in="0">
        <tpls c="5">
          <tpl fld="1" item="4"/>
          <tpl fld="2" item="12"/>
          <tpl hier="10" item="3"/>
          <tpl hier="11" item="9"/>
          <tpl fld="0" item="0"/>
        </tpls>
      </n>
      <m in="0">
        <tpls c="5">
          <tpl fld="1" item="7"/>
          <tpl fld="2" item="7"/>
          <tpl hier="10" item="3"/>
          <tpl hier="11" item="9"/>
          <tpl fld="0" item="0"/>
        </tpls>
      </m>
      <m in="0">
        <tpls c="5">
          <tpl fld="1" item="4"/>
          <tpl fld="2" item="1"/>
          <tpl hier="10" item="3"/>
          <tpl hier="11" item="9"/>
          <tpl fld="0" item="1"/>
        </tpls>
      </m>
      <n v="-425.75" in="0">
        <tpls c="5">
          <tpl fld="1" item="6"/>
          <tpl fld="2" item="11"/>
          <tpl hier="10" item="3"/>
          <tpl hier="11" item="9"/>
          <tpl fld="0" item="0"/>
        </tpls>
      </n>
      <n v="-3736.75" in="0">
        <tpls c="5">
          <tpl fld="1" item="2"/>
          <tpl fld="2" item="13"/>
          <tpl hier="10" item="3"/>
          <tpl hier="11" item="9"/>
          <tpl fld="0" item="0"/>
        </tpls>
      </n>
      <n v="-1266.5" in="0">
        <tpls c="5">
          <tpl fld="1" item="4"/>
          <tpl fld="2" item="5"/>
          <tpl hier="10" item="3"/>
          <tpl hier="11" item="9"/>
          <tpl fld="0" item="0"/>
        </tpls>
      </n>
      <m in="0">
        <tpls c="5">
          <tpl fld="1" item="10"/>
          <tpl fld="2" item="14"/>
          <tpl hier="10" item="3"/>
          <tpl hier="11" item="9"/>
          <tpl fld="0" item="1"/>
        </tpls>
      </m>
      <m in="0">
        <tpls c="4">
          <tpl fld="2" item="6"/>
          <tpl hier="10" item="3"/>
          <tpl hier="11" item="9"/>
          <tpl fld="0" item="1"/>
        </tpls>
      </m>
      <m in="0">
        <tpls c="5">
          <tpl fld="1" item="6"/>
          <tpl hier="9" item="4294967295"/>
          <tpl hier="10" item="3"/>
          <tpl hier="11" item="9"/>
          <tpl fld="0" item="1"/>
        </tpls>
      </m>
      <n v="-6698" in="0">
        <tpls c="5">
          <tpl fld="1" item="11"/>
          <tpl fld="2" item="15"/>
          <tpl hier="10" item="3"/>
          <tpl hier="11" item="9"/>
          <tpl fld="0" item="0"/>
        </tpls>
      </n>
      <m in="0">
        <tpls c="5">
          <tpl fld="1" item="0"/>
          <tpl fld="2" item="10"/>
          <tpl hier="10" item="3"/>
          <tpl hier="11" item="9"/>
          <tpl fld="0" item="1"/>
        </tpls>
      </m>
      <n v="-4809" in="0">
        <tpls c="5">
          <tpl fld="1" item="7"/>
          <tpl fld="2" item="1"/>
          <tpl hier="10" item="3"/>
          <tpl hier="11" item="9"/>
          <tpl fld="0" item="0"/>
        </tpls>
      </n>
      <m in="0">
        <tpls c="5">
          <tpl fld="1" item="4"/>
          <tpl fld="2" item="3"/>
          <tpl hier="10" item="3"/>
          <tpl hier="11" item="9"/>
          <tpl fld="0" item="1"/>
        </tpls>
      </m>
      <m in="0">
        <tpls c="5">
          <tpl fld="1" item="6"/>
          <tpl fld="2" item="7"/>
          <tpl hier="10" item="3"/>
          <tpl hier="11" item="9"/>
          <tpl fld="0" item="0"/>
        </tpls>
      </m>
      <n v="-4665.25" in="0">
        <tpls c="5">
          <tpl fld="1" item="1"/>
          <tpl fld="2" item="13"/>
          <tpl hier="10" item="3"/>
          <tpl hier="11" item="9"/>
          <tpl fld="0" item="0"/>
        </tpls>
      </n>
      <m in="0">
        <tpls c="5">
          <tpl fld="1" item="4"/>
          <tpl fld="2" item="14"/>
          <tpl hier="10" item="3"/>
          <tpl hier="11" item="9"/>
          <tpl fld="0" item="1"/>
        </tpls>
      </m>
      <m in="0">
        <tpls c="4">
          <tpl hier="9" item="4294967295"/>
          <tpl hier="10" item="3"/>
          <tpl hier="11" item="9"/>
          <tpl fld="0" item="1"/>
        </tpls>
      </m>
      <m in="0">
        <tpls c="5">
          <tpl fld="1" item="0"/>
          <tpl fld="2" item="11"/>
          <tpl hier="10" item="3"/>
          <tpl hier="11" item="9"/>
          <tpl fld="0" item="1"/>
        </tpls>
      </m>
      <m in="0">
        <tpls c="5">
          <tpl fld="1" item="2"/>
          <tpl fld="2" item="7"/>
          <tpl hier="10" item="3"/>
          <tpl hier="11" item="9"/>
          <tpl fld="0" item="0"/>
        </tpls>
      </m>
      <m in="0">
        <tpls c="5">
          <tpl fld="1" item="4"/>
          <tpl fld="2" item="10"/>
          <tpl hier="10" item="3"/>
          <tpl hier="11" item="9"/>
          <tpl fld="0" item="1"/>
        </tpls>
      </m>
      <m in="0">
        <tpls c="5">
          <tpl fld="1" item="11"/>
          <tpl fld="2" item="12"/>
          <tpl hier="10" item="3"/>
          <tpl hier="11" item="9"/>
          <tpl fld="0" item="1"/>
        </tpls>
      </m>
      <m in="0">
        <tpls c="5">
          <tpl fld="1" item="6"/>
          <tpl fld="2" item="7"/>
          <tpl hier="10" item="3"/>
          <tpl hier="11" item="9"/>
          <tpl fld="0" item="1"/>
        </tpls>
      </m>
      <m in="0">
        <tpls c="4">
          <tpl fld="2" item="11"/>
          <tpl hier="10" item="3"/>
          <tpl hier="11" item="9"/>
          <tpl fld="0" item="1"/>
        </tpls>
      </m>
      <n v="-11086.25" in="0">
        <tpls c="5">
          <tpl fld="1" item="4"/>
          <tpl fld="2" item="10"/>
          <tpl hier="10" item="3"/>
          <tpl hier="11" item="9"/>
          <tpl fld="0" item="0"/>
        </tpls>
      </n>
      <m in="0">
        <tpls c="4">
          <tpl fld="2" item="2"/>
          <tpl hier="10" item="3"/>
          <tpl hier="11" item="9"/>
          <tpl fld="0" item="0"/>
        </tpls>
      </m>
      <m in="0">
        <tpls c="5">
          <tpl fld="1" item="7"/>
          <tpl fld="2" item="14"/>
          <tpl hier="10" item="3"/>
          <tpl hier="11" item="9"/>
          <tpl fld="0" item="0"/>
        </tpls>
      </m>
      <m in="0">
        <tpls c="4">
          <tpl fld="2" item="7"/>
          <tpl hier="10" item="3"/>
          <tpl hier="11" item="9"/>
          <tpl fld="0" item="0"/>
        </tpls>
      </m>
      <n v="-5784.25" in="0">
        <tpls c="5">
          <tpl fld="1" item="5"/>
          <tpl fld="2" item="13"/>
          <tpl hier="10" item="3"/>
          <tpl hier="11" item="9"/>
          <tpl fld="0" item="0"/>
        </tpls>
      </n>
      <m in="0">
        <tpls c="4">
          <tpl fld="2" item="1"/>
          <tpl hier="10" item="3"/>
          <tpl hier="11" item="9"/>
          <tpl fld="0" item="1"/>
        </tpls>
      </m>
      <m in="0">
        <tpls c="5">
          <tpl fld="1" item="0"/>
          <tpl fld="2" item="12"/>
          <tpl hier="10" item="3"/>
          <tpl hier="11" item="9"/>
          <tpl fld="0" item="1"/>
        </tpls>
      </m>
      <m in="0">
        <tpls c="5">
          <tpl fld="1" item="2"/>
          <tpl fld="2" item="8"/>
          <tpl hier="10" item="3"/>
          <tpl hier="11" item="9"/>
          <tpl fld="0" item="1"/>
        </tpls>
      </m>
      <m in="0">
        <tpls c="5">
          <tpl fld="1" item="7"/>
          <tpl fld="2" item="0"/>
          <tpl hier="10" item="3"/>
          <tpl hier="11" item="9"/>
          <tpl fld="0" item="1"/>
        </tpls>
      </m>
      <m in="0">
        <tpls c="4">
          <tpl fld="2" item="7"/>
          <tpl hier="10" item="3"/>
          <tpl hier="11" item="9"/>
          <tpl fld="0" item="1"/>
        </tpls>
      </m>
      <m in="0">
        <tpls c="5">
          <tpl fld="1" item="5"/>
          <tpl fld="2" item="13"/>
          <tpl hier="10" item="3"/>
          <tpl hier="11" item="9"/>
          <tpl fld="0" item="1"/>
        </tpls>
      </m>
      <n v="-209684" in="0">
        <tpls c="4">
          <tpl fld="2" item="6"/>
          <tpl hier="10" item="3"/>
          <tpl hier="11" item="9"/>
          <tpl fld="0" item="0"/>
        </tpls>
      </n>
      <n v="-464.75" in="0">
        <tpls c="5">
          <tpl fld="1" item="11"/>
          <tpl fld="2" item="11"/>
          <tpl hier="10" item="3"/>
          <tpl hier="11" item="9"/>
          <tpl fld="0" item="0"/>
        </tpls>
      </n>
      <m in="0">
        <tpls c="5">
          <tpl fld="1" item="11"/>
          <tpl fld="2" item="3"/>
          <tpl hier="10" item="3"/>
          <tpl hier="11" item="9"/>
          <tpl fld="0" item="1"/>
        </tpls>
      </m>
      <n v="-151231.75" in="0">
        <tpls c="4">
          <tpl fld="2" item="10"/>
          <tpl hier="10" item="3"/>
          <tpl hier="11" item="9"/>
          <tpl fld="0" item="0"/>
        </tpls>
      </n>
      <m in="0">
        <tpls c="5">
          <tpl fld="1" item="11"/>
          <tpl fld="2" item="9"/>
          <tpl hier="10" item="3"/>
          <tpl hier="11" item="9"/>
          <tpl fld="0" item="0"/>
        </tpls>
      </m>
      <n v="-2994082" in="0">
        <tpls c="4">
          <tpl fld="2" item="0"/>
          <tpl hier="10" item="3"/>
          <tpl hier="11" item="9"/>
          <tpl fld="0" item="0"/>
        </tpls>
      </n>
      <m in="0">
        <tpls c="5">
          <tpl fld="1" item="8"/>
          <tpl fld="2" item="1"/>
          <tpl hier="10" item="3"/>
          <tpl hier="11" item="9"/>
          <tpl fld="0" item="1"/>
        </tpls>
      </m>
      <m in="0">
        <tpls c="4">
          <tpl fld="2" item="5"/>
          <tpl hier="10" item="3"/>
          <tpl hier="11" item="9"/>
          <tpl fld="0" item="1"/>
        </tpls>
      </m>
      <m in="0">
        <tpls c="4">
          <tpl fld="2" item="10"/>
          <tpl hier="10" item="3"/>
          <tpl hier="11" item="9"/>
          <tpl fld="0" item="1"/>
        </tpls>
      </m>
      <n v="-1324" in="0">
        <tpls c="5">
          <tpl fld="1" item="11"/>
          <tpl fld="2" item="5"/>
          <tpl hier="10" item="3"/>
          <tpl hier="11" item="9"/>
          <tpl fld="0" item="0"/>
        </tpls>
      </n>
      <n v="-27111.25" in="0">
        <tpls c="4">
          <tpl fld="2" item="3"/>
          <tpl hier="10" item="3"/>
          <tpl hier="11" item="9"/>
          <tpl fld="0" item="0"/>
        </tpls>
      </n>
      <m in="0">
        <tpls c="5">
          <tpl fld="1" item="8"/>
          <tpl fld="2" item="4"/>
          <tpl hier="10" item="3"/>
          <tpl hier="11" item="9"/>
          <tpl fld="0" item="1"/>
        </tpls>
      </m>
      <n v="-15642.5" in="0">
        <tpls c="5">
          <tpl fld="1" item="11"/>
          <tpl fld="2" item="10"/>
          <tpl hier="10" item="3"/>
          <tpl hier="11" item="9"/>
          <tpl fld="0" item="0"/>
        </tpls>
      </n>
      <m in="0">
        <tpls c="5">
          <tpl fld="1" item="9"/>
          <tpl hier="9" item="4294967295"/>
          <tpl hier="10" item="3"/>
          <tpl hier="11" item="9"/>
          <tpl fld="0" item="1"/>
        </tpls>
      </m>
      <n v="-2043.25" in="0">
        <tpls c="5">
          <tpl fld="1" item="3"/>
          <tpl fld="2" item="3"/>
          <tpl hier="10" item="3"/>
          <tpl hier="11" item="9"/>
          <tpl fld="0" item="0"/>
        </tpls>
      </n>
      <m in="0">
        <tpls c="5">
          <tpl fld="1" item="9"/>
          <tpl fld="2" item="2"/>
          <tpl hier="10" item="3"/>
          <tpl hier="11" item="9"/>
          <tpl fld="0" item="0"/>
        </tpls>
      </m>
      <m in="0">
        <tpls c="5">
          <tpl fld="1" item="11"/>
          <tpl fld="2" item="2"/>
          <tpl hier="10" item="3"/>
          <tpl hier="11" item="9"/>
          <tpl fld="0" item="0"/>
        </tpls>
      </m>
      <n v="-553.25" in="0">
        <tpls c="5">
          <tpl fld="1" item="10"/>
          <tpl fld="2" item="11"/>
          <tpl hier="10" item="3"/>
          <tpl hier="11" item="9"/>
          <tpl fld="0" item="0"/>
        </tpls>
      </n>
      <m in="0">
        <tpls c="5">
          <tpl fld="1" item="1"/>
          <tpl fld="2" item="3"/>
          <tpl hier="10" item="3"/>
          <tpl hier="11" item="9"/>
          <tpl fld="0" item="1"/>
        </tpls>
      </m>
      <m in="0">
        <tpls c="5">
          <tpl fld="1" item="2"/>
          <tpl fld="2" item="12"/>
          <tpl hier="10" item="3"/>
          <tpl hier="11" item="9"/>
          <tpl fld="0" item="1"/>
        </tpls>
      </m>
      <m in="0">
        <tpls c="4">
          <tpl fld="2" item="4"/>
          <tpl hier="10" item="3"/>
          <tpl hier="11" item="9"/>
          <tpl fld="0" item="0"/>
        </tpls>
      </m>
      <m in="0">
        <tpls c="5">
          <tpl fld="1" item="5"/>
          <tpl fld="2" item="8"/>
          <tpl hier="10" item="3"/>
          <tpl hier="11" item="9"/>
          <tpl fld="0" item="0"/>
        </tpls>
      </m>
      <n v="-5973.5" in="0">
        <tpls c="5">
          <tpl fld="1" item="1"/>
          <tpl fld="2" item="12"/>
          <tpl hier="10" item="3"/>
          <tpl hier="11" item="9"/>
          <tpl fld="0" item="0"/>
        </tpls>
      </n>
      <m in="0">
        <tpls c="5">
          <tpl fld="1" item="2"/>
          <tpl hier="9" item="4294967295"/>
          <tpl hier="10" item="3"/>
          <tpl hier="11" item="9"/>
          <tpl fld="0" item="1"/>
        </tpls>
      </m>
      <n v="-6340.25" in="0">
        <tpls c="5">
          <tpl fld="1" item="0"/>
          <tpl fld="2" item="15"/>
          <tpl hier="10" item="3"/>
          <tpl hier="11" item="9"/>
          <tpl fld="0" item="0"/>
        </tpls>
      </n>
      <m in="0">
        <tpls c="5">
          <tpl fld="1" item="10"/>
          <tpl fld="2" item="8"/>
          <tpl hier="10" item="3"/>
          <tpl hier="11" item="9"/>
          <tpl fld="0" item="1"/>
        </tpls>
      </m>
      <n v="-543.75" in="0">
        <tpls c="5">
          <tpl fld="1" item="4"/>
          <tpl fld="2" item="11"/>
          <tpl hier="10" item="3"/>
          <tpl hier="11" item="9"/>
          <tpl fld="0" item="0"/>
        </tpls>
      </n>
      <n v="-5013.5" in="0">
        <tpls c="5">
          <tpl fld="1" item="11"/>
          <tpl fld="2" item="12"/>
          <tpl hier="10" item="3"/>
          <tpl hier="11" item="9"/>
          <tpl fld="0" item="0"/>
        </tpls>
      </n>
      <n v="-5154.25" in="0">
        <tpls c="5">
          <tpl fld="1" item="5"/>
          <tpl fld="2" item="12"/>
          <tpl hier="10" item="3"/>
          <tpl hier="11" item="9"/>
          <tpl fld="0" item="0"/>
        </tpls>
      </n>
      <m in="0">
        <tpls c="5">
          <tpl fld="1" item="2"/>
          <tpl fld="2" item="15"/>
          <tpl hier="10" item="3"/>
          <tpl hier="11" item="9"/>
          <tpl fld="0" item="1"/>
        </tpls>
      </m>
      <n v="-16294" in="0">
        <tpls c="5">
          <tpl fld="1" item="6"/>
          <tpl fld="2" item="6"/>
          <tpl hier="10" item="3"/>
          <tpl hier="11" item="9"/>
          <tpl fld="0" item="0"/>
        </tpls>
      </n>
      <n v="-4074" in="0">
        <tpls c="5">
          <tpl fld="1" item="8"/>
          <tpl fld="2" item="1"/>
          <tpl hier="10" item="3"/>
          <tpl hier="11" item="9"/>
          <tpl fld="0" item="0"/>
        </tpls>
      </n>
      <m in="0">
        <tpls c="5">
          <tpl fld="1" item="9"/>
          <tpl fld="2" item="9"/>
          <tpl hier="10" item="3"/>
          <tpl hier="11" item="9"/>
          <tpl fld="0" item="0"/>
        </tpls>
      </m>
      <n v="-5198.5" in="0">
        <tpls c="5">
          <tpl fld="1" item="9"/>
          <tpl fld="2" item="15"/>
          <tpl hier="10" item="3"/>
          <tpl hier="11" item="9"/>
          <tpl fld="0" item="0"/>
        </tpls>
      </n>
      <m in="0">
        <tpls c="5">
          <tpl fld="1" item="2"/>
          <tpl fld="2" item="11"/>
          <tpl hier="10" item="3"/>
          <tpl hier="11" item="9"/>
          <tpl fld="0" item="1"/>
        </tpls>
      </m>
      <m in="0">
        <tpls c="5">
          <tpl fld="1" item="4"/>
          <tpl fld="2" item="14"/>
          <tpl hier="10" item="3"/>
          <tpl hier="11" item="9"/>
          <tpl fld="0" item="0"/>
        </tpls>
      </m>
      <n v="-288059" in="0">
        <tpls c="5">
          <tpl fld="1" item="2"/>
          <tpl fld="2" item="0"/>
          <tpl hier="10" item="3"/>
          <tpl hier="11" item="9"/>
          <tpl fld="0" item="0"/>
        </tpls>
      </n>
      <m in="0">
        <tpls c="5">
          <tpl fld="1" item="11"/>
          <tpl fld="2" item="1"/>
          <tpl hier="10" item="3"/>
          <tpl hier="11" item="9"/>
          <tpl fld="0" item="1"/>
        </tpls>
      </m>
      <n v="-254768.25" in="0">
        <tpls c="5">
          <tpl fld="1" item="5"/>
          <tpl fld="2" item="0"/>
          <tpl hier="10" item="3"/>
          <tpl hier="11" item="9"/>
          <tpl fld="0" item="0"/>
        </tpls>
      </n>
      <m in="0">
        <tpls c="5">
          <tpl fld="1" item="11"/>
          <tpl fld="2" item="9"/>
          <tpl hier="10" item="3"/>
          <tpl hier="11" item="9"/>
          <tpl fld="0" item="1"/>
        </tpls>
      </m>
      <m in="0">
        <tpls c="5">
          <tpl fld="1" item="6"/>
          <tpl fld="2" item="4"/>
          <tpl hier="10" item="3"/>
          <tpl hier="11" item="9"/>
          <tpl fld="0" item="0"/>
        </tpls>
      </m>
      <m in="0">
        <tpls c="5">
          <tpl fld="1" item="4"/>
          <tpl fld="2" item="4"/>
          <tpl hier="10" item="3"/>
          <tpl hier="11" item="9"/>
          <tpl fld="0" item="1"/>
        </tpls>
      </m>
      <n v="-4592" in="0">
        <tpls c="5">
          <tpl fld="1" item="3"/>
          <tpl fld="2" item="12"/>
          <tpl hier="10" item="3"/>
          <tpl hier="11" item="9"/>
          <tpl fld="0" item="0"/>
        </tpls>
      </n>
      <n v="-504.5" in="0">
        <tpls c="5">
          <tpl fld="1" item="2"/>
          <tpl fld="2" item="11"/>
          <tpl hier="10" item="3"/>
          <tpl hier="11" item="9"/>
          <tpl fld="0" item="0"/>
        </tpls>
      </n>
      <m in="0">
        <tpls c="5">
          <tpl fld="1" item="5"/>
          <tpl fld="2" item="8"/>
          <tpl hier="10" item="3"/>
          <tpl hier="11" item="9"/>
          <tpl fld="0" item="1"/>
        </tpls>
      </m>
      <n v="-1362.5" in="0">
        <tpls c="5">
          <tpl fld="1" item="7"/>
          <tpl fld="2" item="5"/>
          <tpl hier="10" item="3"/>
          <tpl hier="11" item="9"/>
          <tpl fld="0" item="0"/>
        </tpls>
      </n>
      <m in="0">
        <tpls c="5">
          <tpl fld="1" item="7"/>
          <tpl fld="2" item="7"/>
          <tpl hier="10" item="3"/>
          <tpl hier="11" item="9"/>
          <tpl fld="0" item="1"/>
        </tpls>
      </m>
      <n v="-8974.5" in="0">
        <tpls c="5">
          <tpl fld="1" item="2"/>
          <tpl fld="2" item="10"/>
          <tpl hier="10" item="3"/>
          <tpl hier="11" item="9"/>
          <tpl fld="0" item="0"/>
        </tpls>
      </n>
      <m in="0">
        <tpls c="5">
          <tpl fld="1" item="6"/>
          <tpl fld="2" item="11"/>
          <tpl hier="10" item="3"/>
          <tpl hier="11" item="9"/>
          <tpl fld="0" item="1"/>
        </tpls>
      </m>
      <m in="0">
        <tpls c="5">
          <tpl fld="1" item="2"/>
          <tpl fld="2" item="13"/>
          <tpl hier="10" item="3"/>
          <tpl hier="11" item="9"/>
          <tpl fld="0" item="1"/>
        </tpls>
      </m>
      <m in="0">
        <tpls c="5">
          <tpl fld="1" item="4"/>
          <tpl fld="2" item="4"/>
          <tpl hier="10" item="3"/>
          <tpl hier="11" item="9"/>
          <tpl fld="0" item="0"/>
        </tpls>
      </m>
      <m in="0">
        <tpls c="5">
          <tpl fld="1" item="7"/>
          <tpl fld="2" item="14"/>
          <tpl hier="10" item="3"/>
          <tpl hier="11" item="9"/>
          <tpl fld="0" item="1"/>
        </tpls>
      </m>
      <m in="0">
        <tpls c="4">
          <tpl fld="2" item="8"/>
          <tpl hier="10" item="3"/>
          <tpl hier="11" item="9"/>
          <tpl fld="0" item="1"/>
        </tpls>
      </m>
      <n v="-3645893" in="0">
        <tpls c="4">
          <tpl hier="9" item="4294967295"/>
          <tpl hier="10" item="3"/>
          <tpl hier="11" item="9"/>
          <tpl fld="0" item="0"/>
        </tpls>
      </n>
      <n v="-5014.5" in="0">
        <tpls c="5">
          <tpl fld="1" item="10"/>
          <tpl fld="2" item="15"/>
          <tpl hier="10" item="3"/>
          <tpl hier="11" item="9"/>
          <tpl fld="0" item="0"/>
        </tpls>
      </n>
      <n v="-12320.5" in="0">
        <tpls c="5">
          <tpl fld="1" item="0"/>
          <tpl fld="2" item="10"/>
          <tpl hier="10" item="3"/>
          <tpl hier="11" item="9"/>
          <tpl fld="0" item="0"/>
        </tpls>
      </n>
      <m in="0">
        <tpls c="5">
          <tpl fld="1" item="2"/>
          <tpl fld="2" item="2"/>
          <tpl hier="10" item="3"/>
          <tpl hier="11" item="9"/>
          <tpl fld="0" item="0"/>
        </tpls>
      </m>
      <n v="-3849.75" in="0">
        <tpls c="5">
          <tpl fld="1" item="4"/>
          <tpl fld="2" item="13"/>
          <tpl hier="10" item="3"/>
          <tpl hier="11" item="9"/>
          <tpl fld="0" item="0"/>
        </tpls>
      </n>
      <m in="0">
        <tpls c="5">
          <tpl fld="1" item="1"/>
          <tpl fld="2" item="10"/>
          <tpl hier="10" item="3"/>
          <tpl hier="11" item="9"/>
          <tpl fld="0" item="1"/>
        </tpls>
      </m>
      <n v="-6102.5" in="0">
        <tpls c="4">
          <tpl fld="2" item="11"/>
          <tpl hier="10" item="3"/>
          <tpl hier="11" item="9"/>
          <tpl fld="0" item="0"/>
        </tpls>
      </n>
      <m in="0">
        <tpls c="4">
          <tpl fld="2" item="3"/>
          <tpl hier="10" item="3"/>
          <tpl hier="11" item="9"/>
          <tpl fld="0" item="1"/>
        </tpls>
      </m>
      <m in="0">
        <tpls c="5">
          <tpl fld="1" item="10"/>
          <tpl fld="2" item="15"/>
          <tpl hier="10" item="3"/>
          <tpl hier="11" item="9"/>
          <tpl fld="0" item="1"/>
        </tpls>
      </m>
      <m in="0">
        <tpls c="5">
          <tpl fld="1" item="1"/>
          <tpl fld="2" item="8"/>
          <tpl hier="10" item="3"/>
          <tpl hier="11" item="9"/>
          <tpl fld="0" item="1"/>
        </tpls>
      </m>
      <m in="0">
        <tpls c="5">
          <tpl fld="1" item="6"/>
          <tpl fld="2" item="3"/>
          <tpl hier="10" item="3"/>
          <tpl hier="11" item="9"/>
          <tpl fld="0" item="1"/>
        </tpls>
      </m>
      <m in="0">
        <tpls c="5">
          <tpl fld="1" item="8"/>
          <tpl fld="2" item="5"/>
          <tpl hier="10" item="3"/>
          <tpl hier="11" item="9"/>
          <tpl fld="0" item="1"/>
        </tpls>
      </m>
      <m in="0">
        <tpls c="5">
          <tpl fld="1" item="5"/>
          <tpl fld="2" item="10"/>
          <tpl hier="10" item="3"/>
          <tpl hier="11" item="9"/>
          <tpl fld="0" item="1"/>
        </tpls>
      </m>
      <m in="0">
        <tpls c="5">
          <tpl fld="1" item="1"/>
          <tpl fld="2" item="13"/>
          <tpl hier="10" item="3"/>
          <tpl hier="11" item="9"/>
          <tpl fld="0" item="1"/>
        </tpls>
      </m>
      <m in="0">
        <tpls c="5">
          <tpl fld="1" item="9"/>
          <tpl fld="2" item="14"/>
          <tpl hier="10" item="3"/>
          <tpl hier="11" item="9"/>
          <tpl fld="0" item="0"/>
        </tpls>
      </m>
      <n v="-555" in="0">
        <tpls c="5">
          <tpl fld="1" item="0"/>
          <tpl fld="2" item="11"/>
          <tpl hier="10" item="3"/>
          <tpl hier="11" item="9"/>
          <tpl fld="0" item="0"/>
        </tpls>
      </n>
      <m in="0">
        <tpls c="5">
          <tpl fld="1" item="7"/>
          <tpl fld="2" item="11"/>
          <tpl hier="10" item="3"/>
          <tpl hier="11" item="9"/>
          <tpl fld="0" item="1"/>
        </tpls>
      </m>
      <m in="0">
        <tpls c="5">
          <tpl fld="1" item="6"/>
          <tpl fld="2" item="13"/>
          <tpl hier="10" item="3"/>
          <tpl hier="11" item="9"/>
          <tpl fld="0" item="1"/>
        </tpls>
      </m>
      <n v="-10624" in="0">
        <tpls c="5">
          <tpl fld="1" item="6"/>
          <tpl fld="2" item="10"/>
          <tpl hier="10" item="3"/>
          <tpl hier="11" item="9"/>
          <tpl fld="0" item="0"/>
        </tpls>
      </n>
      <n v="-285554.25" in="0">
        <tpls c="5">
          <tpl fld="1" item="4"/>
          <tpl fld="2" item="0"/>
          <tpl hier="10" item="3"/>
          <tpl hier="11" item="9"/>
          <tpl fld="0" item="0"/>
        </tpls>
      </n>
      <n v="-60000.25" in="0">
        <tpls c="4">
          <tpl fld="2" item="13"/>
          <tpl hier="10" item="3"/>
          <tpl hier="11" item="9"/>
          <tpl fld="0" item="0"/>
        </tpls>
      </n>
      <m in="0">
        <tpls c="5">
          <tpl fld="1" item="3"/>
          <tpl fld="2" item="2"/>
          <tpl hier="10" item="3"/>
          <tpl hier="11" item="9"/>
          <tpl fld="0" item="1"/>
        </tpls>
      </m>
      <m in="0">
        <tpls c="5">
          <tpl fld="1" item="1"/>
          <tpl fld="2" item="0"/>
          <tpl hier="10" item="3"/>
          <tpl hier="11" item="9"/>
          <tpl fld="0" item="1"/>
        </tpls>
      </m>
      <m in="0">
        <tpls c="5">
          <tpl fld="1" item="6"/>
          <tpl fld="2" item="10"/>
          <tpl hier="10" item="3"/>
          <tpl hier="11" item="9"/>
          <tpl fld="0" item="1"/>
        </tpls>
      </m>
      <n v="-3837.75" in="0">
        <tpls c="5">
          <tpl fld="1" item="4"/>
          <tpl fld="2" item="1"/>
          <tpl hier="10" item="3"/>
          <tpl hier="11" item="9"/>
          <tpl fld="0" item="0"/>
        </tpls>
      </n>
      <m in="0">
        <tpls c="5">
          <tpl fld="1" item="3"/>
          <tpl fld="2" item="7"/>
          <tpl hier="10" item="3"/>
          <tpl hier="11" item="9"/>
          <tpl fld="0" item="1"/>
        </tpls>
      </m>
      <m in="0">
        <tpls c="5">
          <tpl fld="1" item="8"/>
          <tpl fld="2" item="8"/>
          <tpl hier="10" item="3"/>
          <tpl hier="11" item="9"/>
          <tpl fld="0" item="0"/>
        </tpls>
      </m>
      <n v="-6935.75" in="0">
        <tpls c="5">
          <tpl fld="1" item="9"/>
          <tpl fld="2" item="13"/>
          <tpl hier="10" item="3"/>
          <tpl hier="11" item="9"/>
          <tpl fld="0" item="0"/>
        </tpls>
      </n>
      <n v="-340016.25" in="0">
        <tpls c="5">
          <tpl fld="1" item="2"/>
          <tpl hier="9" item="4294967295"/>
          <tpl hier="10" item="3"/>
          <tpl hier="11" item="9"/>
          <tpl fld="0" item="0"/>
        </tpls>
      </n>
      <m in="0">
        <tpls c="5">
          <tpl fld="1" item="0"/>
          <tpl fld="2" item="13"/>
          <tpl hier="10" item="3"/>
          <tpl hier="11" item="9"/>
          <tpl fld="0" item="1"/>
        </tpls>
      </m>
      <m in="0">
        <tpls c="5">
          <tpl fld="1" item="1"/>
          <tpl fld="2" item="5"/>
          <tpl hier="10" item="3"/>
          <tpl hier="11" item="9"/>
          <tpl fld="0" item="1"/>
        </tpls>
      </m>
      <m in="0">
        <tpls c="5">
          <tpl fld="1" item="4"/>
          <tpl fld="2" item="2"/>
          <tpl hier="10" item="3"/>
          <tpl hier="11" item="9"/>
          <tpl fld="0" item="0"/>
        </tpls>
      </m>
      <m in="0">
        <tpls c="5">
          <tpl fld="1" item="9"/>
          <tpl fld="2" item="13"/>
          <tpl hier="10" item="3"/>
          <tpl hier="11" item="9"/>
          <tpl fld="0" item="1"/>
        </tpls>
      </m>
      <m in="0">
        <tpls c="5">
          <tpl fld="1" item="0"/>
          <tpl hier="9" item="4294967295"/>
          <tpl hier="10" item="3"/>
          <tpl hier="11" item="9"/>
          <tpl fld="0" item="1"/>
        </tpls>
      </m>
      <n v="-17935.75" in="0">
        <tpls c="5">
          <tpl fld="1" item="4"/>
          <tpl fld="2" item="6"/>
          <tpl hier="10" item="3"/>
          <tpl hier="11" item="9"/>
          <tpl fld="0" item="0"/>
        </tpls>
      </n>
      <m in="0">
        <tpls c="5">
          <tpl fld="1" item="4"/>
          <tpl fld="2" item="2"/>
          <tpl hier="10" item="3"/>
          <tpl hier="11" item="9"/>
          <tpl fld="0" item="1"/>
        </tpls>
      </m>
      <m in="0">
        <tpls c="5">
          <tpl fld="1" item="4"/>
          <tpl fld="2" item="12"/>
          <tpl hier="10" item="3"/>
          <tpl hier="11" item="9"/>
          <tpl fld="0" item="1"/>
        </tpls>
      </m>
      <m in="0">
        <tpls c="5">
          <tpl fld="1" item="6"/>
          <tpl fld="2" item="14"/>
          <tpl hier="10" item="3"/>
          <tpl hier="11" item="9"/>
          <tpl fld="0" item="0"/>
        </tpls>
      </m>
      <m in="0">
        <tpls c="5">
          <tpl fld="1" item="7"/>
          <tpl fld="2" item="8"/>
          <tpl hier="10" item="3"/>
          <tpl hier="11" item="9"/>
          <tpl fld="0" item="1"/>
        </tpls>
      </m>
      <m in="0">
        <tpls c="5">
          <tpl fld="1" item="6"/>
          <tpl fld="2" item="14"/>
          <tpl hier="10" item="3"/>
          <tpl hier="11" item="9"/>
          <tpl fld="0" item="1"/>
        </tpls>
      </m>
      <m in="0">
        <tpls c="5">
          <tpl fld="1" item="11"/>
          <tpl fld="2" item="7"/>
          <tpl hier="10" item="3"/>
          <tpl hier="11" item="9"/>
          <tpl fld="0" item="1"/>
        </tpls>
      </m>
      <m in="0">
        <tpls c="5">
          <tpl fld="1" item="6"/>
          <tpl fld="2" item="8"/>
          <tpl hier="10" item="3"/>
          <tpl hier="11" item="9"/>
          <tpl fld="0" item="0"/>
        </tpls>
      </m>
      <n v="-3963" in="0">
        <tpls c="5">
          <tpl fld="1" item="10"/>
          <tpl fld="2" item="13"/>
          <tpl hier="10" item="3"/>
          <tpl hier="11" item="9"/>
          <tpl fld="0" item="0"/>
        </tpls>
      </n>
      <m in="0">
        <tpls c="5">
          <tpl fld="1" item="0"/>
          <tpl fld="2" item="15"/>
          <tpl hier="10" item="3"/>
          <tpl hier="11" item="9"/>
          <tpl fld="0" item="1"/>
        </tpls>
      </m>
      <m in="0">
        <tpls c="5">
          <tpl fld="1" item="6"/>
          <tpl fld="2" item="0"/>
          <tpl hier="10" item="3"/>
          <tpl hier="11" item="9"/>
          <tpl fld="0" item="1"/>
        </tpls>
      </m>
      <n v="-2169" in="0">
        <tpls c="5">
          <tpl fld="1" item="5"/>
          <tpl fld="2" item="3"/>
          <tpl hier="10" item="3"/>
          <tpl hier="11" item="9"/>
          <tpl fld="0" item="0"/>
        </tpls>
      </n>
      <m in="0">
        <tpls c="4">
          <tpl fld="2" item="14"/>
          <tpl hier="10" item="3"/>
          <tpl hier="11" item="9"/>
          <tpl fld="0" item="1"/>
        </tpls>
      </m>
      <m in="0">
        <tpls c="5">
          <tpl fld="1" item="8"/>
          <tpl fld="2" item="3"/>
          <tpl hier="10" item="3"/>
          <tpl hier="11" item="9"/>
          <tpl fld="0" item="1"/>
        </tpls>
      </m>
      <m in="0">
        <tpls c="5">
          <tpl fld="1" item="9"/>
          <tpl fld="2" item="8"/>
          <tpl hier="10" item="3"/>
          <tpl hier="11" item="9"/>
          <tpl fld="0" item="1"/>
        </tpls>
      </m>
      <n v="-2188" in="0">
        <tpls c="5">
          <tpl fld="1" item="6"/>
          <tpl fld="2" item="3"/>
          <tpl hier="10" item="3"/>
          <tpl hier="11" item="9"/>
          <tpl fld="0" item="0"/>
        </tpls>
      </n>
      <m in="0">
        <tpls c="4">
          <tpl fld="2" item="9"/>
          <tpl hier="10" item="3"/>
          <tpl hier="11" item="9"/>
          <tpl fld="0" item="1"/>
        </tpls>
      </m>
      <n v="-250119.75" in="0">
        <tpls c="5">
          <tpl fld="1" item="3"/>
          <tpl hier="9" item="4294967295"/>
          <tpl hier="10" item="3"/>
          <tpl hier="11" item="9"/>
          <tpl fld="0" item="0"/>
        </tpls>
      </n>
      <m in="0">
        <tpls c="5">
          <tpl fld="1" item="8"/>
          <tpl fld="2" item="2"/>
          <tpl hier="10" item="3"/>
          <tpl hier="11" item="9"/>
          <tpl fld="0" item="1"/>
        </tpls>
      </m>
      <m in="0">
        <tpls c="5">
          <tpl fld="1" item="10"/>
          <tpl fld="2" item="12"/>
          <tpl hier="10" item="3"/>
          <tpl hier="11" item="9"/>
          <tpl fld="0" item="1"/>
        </tpls>
      </m>
      <m in="0">
        <tpls c="5">
          <tpl fld="1" item="0"/>
          <tpl fld="2" item="3"/>
          <tpl hier="10" item="3"/>
          <tpl hier="11" item="9"/>
          <tpl fld="0" item="1"/>
        </tpls>
      </m>
      <m in="0">
        <tpls c="5">
          <tpl fld="1" item="11"/>
          <tpl fld="2" item="11"/>
          <tpl hier="10" item="3"/>
          <tpl hier="11" item="9"/>
          <tpl fld="0" item="1"/>
        </tpls>
      </m>
      <n v="-16294" in="0">
        <tpls c="5">
          <tpl fld="1" item="0"/>
          <tpl fld="2" item="6"/>
          <tpl hier="10" item="3"/>
          <tpl hier="11" item="9"/>
          <tpl fld="0" item="0"/>
        </tpls>
      </n>
      <m in="0">
        <tpls c="5">
          <tpl fld="1" item="6"/>
          <tpl fld="2" item="6"/>
          <tpl hier="10" item="3"/>
          <tpl hier="11" item="9"/>
          <tpl fld="0" item="1"/>
        </tpls>
      </m>
      <m in="0">
        <tpls c="5">
          <tpl fld="1" item="11"/>
          <tpl fld="2" item="4"/>
          <tpl hier="10" item="3"/>
          <tpl hier="11" item="9"/>
          <tpl fld="0" item="1"/>
        </tpls>
      </m>
      <m in="0">
        <tpls c="5">
          <tpl fld="1" item="7"/>
          <tpl fld="2" item="4"/>
          <tpl hier="10" item="3"/>
          <tpl hier="11" item="9"/>
          <tpl fld="0" item="1"/>
        </tpls>
      </m>
      <m in="0">
        <tpls c="5">
          <tpl fld="1" item="4"/>
          <tpl fld="2" item="15"/>
          <tpl hier="10" item="3"/>
          <tpl hier="11" item="9"/>
          <tpl fld="0" item="1"/>
        </tpls>
      </m>
      <m in="0">
        <tpls c="5">
          <tpl fld="1" item="11"/>
          <tpl fld="2" item="8"/>
          <tpl hier="10" item="3"/>
          <tpl hier="11" item="9"/>
          <tpl fld="0" item="0"/>
        </tpls>
      </m>
      <m in="0">
        <tpls c="5">
          <tpl fld="1" item="9"/>
          <tpl fld="2" item="11"/>
          <tpl hier="10" item="3"/>
          <tpl hier="11" item="9"/>
          <tpl fld="0" item="1"/>
        </tpls>
      </m>
      <n v="-329803.25" in="0">
        <tpls c="5">
          <tpl fld="1" item="0"/>
          <tpl hier="9" item="4294967295"/>
          <tpl hier="10" item="3"/>
          <tpl hier="11" item="9"/>
          <tpl fld="0" item="0"/>
        </tpls>
      </n>
      <m in="0">
        <tpls c="5">
          <tpl fld="1" item="9"/>
          <tpl fld="2" item="4"/>
          <tpl hier="10" item="3"/>
          <tpl hier="11" item="9"/>
          <tpl fld="0" item="0"/>
        </tpls>
      </m>
      <n v="-6935.75" in="0">
        <tpls c="5">
          <tpl fld="1" item="0"/>
          <tpl fld="2" item="13"/>
          <tpl hier="10" item="3"/>
          <tpl hier="11" item="9"/>
          <tpl fld="0" item="0"/>
        </tpls>
      </n>
      <n v="-1842.25" in="0">
        <tpls c="5">
          <tpl fld="1" item="7"/>
          <tpl fld="2" item="3"/>
          <tpl hier="10" item="3"/>
          <tpl hier="11" item="9"/>
          <tpl fld="0" item="0"/>
        </tpls>
      </n>
      <n v="-5180.25" in="0">
        <tpls c="5">
          <tpl fld="1" item="11"/>
          <tpl fld="2" item="13"/>
          <tpl hier="10" item="3"/>
          <tpl hier="11" item="9"/>
          <tpl fld="0" item="0"/>
        </tpls>
      </n>
      <m in="0">
        <tpls c="5">
          <tpl fld="1" item="0"/>
          <tpl fld="2" item="14"/>
          <tpl hier="10" item="3"/>
          <tpl hier="11" item="9"/>
          <tpl fld="0" item="1"/>
        </tpls>
      </m>
      <m in="0">
        <tpls c="5">
          <tpl fld="1" item="9"/>
          <tpl fld="2" item="3"/>
          <tpl hier="10" item="3"/>
          <tpl hier="11" item="9"/>
          <tpl fld="0" item="1"/>
        </tpls>
      </m>
      <m in="0">
        <tpls c="5">
          <tpl fld="1" item="1"/>
          <tpl fld="2" item="11"/>
          <tpl hier="10" item="3"/>
          <tpl hier="11" item="9"/>
          <tpl fld="0" item="1"/>
        </tpls>
      </m>
      <m in="0">
        <tpls c="5">
          <tpl fld="1" item="11"/>
          <tpl fld="2" item="13"/>
          <tpl hier="10" item="3"/>
          <tpl hier="11" item="9"/>
          <tpl fld="0" item="1"/>
        </tpls>
      </m>
      <m in="0">
        <tpls c="5">
          <tpl fld="1" item="0"/>
          <tpl fld="2" item="14"/>
          <tpl hier="10" item="3"/>
          <tpl hier="11" item="9"/>
          <tpl fld="0" item="0"/>
        </tpls>
      </m>
      <m in="0">
        <tpls c="5">
          <tpl fld="1" item="2"/>
          <tpl fld="2" item="3"/>
          <tpl hier="10" item="3"/>
          <tpl hier="11" item="9"/>
          <tpl fld="0" item="1"/>
        </tpls>
      </m>
      <m in="0">
        <tpls c="5">
          <tpl fld="1" item="3"/>
          <tpl hier="9" item="4294967295"/>
          <tpl hier="10" item="3"/>
          <tpl hier="11" item="9"/>
          <tpl fld="0" item="1"/>
        </tpls>
      </m>
      <m in="0">
        <tpls c="5">
          <tpl fld="1" item="5"/>
          <tpl fld="2" item="4"/>
          <tpl hier="10" item="3"/>
          <tpl hier="11" item="9"/>
          <tpl fld="0" item="1"/>
        </tpls>
      </m>
      <m in="0">
        <tpls c="5">
          <tpl fld="1" item="9"/>
          <tpl fld="2" item="2"/>
          <tpl hier="10" item="3"/>
          <tpl hier="11" item="9"/>
          <tpl fld="0" item="1"/>
        </tpls>
      </m>
      <m in="0">
        <tpls c="5">
          <tpl fld="1" item="10"/>
          <tpl fld="2" item="8"/>
          <tpl hier="10" item="3"/>
          <tpl hier="11" item="9"/>
          <tpl fld="0" item="0"/>
        </tpls>
      </m>
      <n v="-14810.75" in="0">
        <tpls c="5">
          <tpl fld="1" item="8"/>
          <tpl fld="2" item="10"/>
          <tpl hier="10" item="3"/>
          <tpl hier="11" item="9"/>
          <tpl fld="0" item="0"/>
        </tpls>
      </n>
      <n v="-7550.5" in="0">
        <tpls c="5">
          <tpl fld="1" item="2"/>
          <tpl fld="2" item="15"/>
          <tpl hier="10" item="3"/>
          <tpl hier="11" item="9"/>
          <tpl fld="0" item="0"/>
        </tpls>
      </n>
      <m in="0">
        <tpls c="5">
          <tpl fld="1" item="9"/>
          <tpl fld="2" item="7"/>
          <tpl hier="10" item="3"/>
          <tpl hier="11" item="9"/>
          <tpl fld="0" item="1"/>
        </tpls>
      </m>
      <n v="-1824.25" in="0">
        <tpls c="5">
          <tpl fld="1" item="4"/>
          <tpl fld="2" item="3"/>
          <tpl hier="10" item="3"/>
          <tpl hier="11" item="9"/>
          <tpl fld="0" item="0"/>
        </tpls>
      </n>
      <m in="0">
        <tpls c="5">
          <tpl fld="1" item="10"/>
          <tpl fld="2" item="4"/>
          <tpl hier="10" item="3"/>
          <tpl hier="11" item="9"/>
          <tpl fld="0" item="1"/>
        </tpls>
      </m>
      <m in="0">
        <tpls c="5">
          <tpl fld="1" item="1"/>
          <tpl fld="2" item="8"/>
          <tpl hier="10" item="3"/>
          <tpl hier="11" item="9"/>
          <tpl fld="0" item="0"/>
        </tpls>
      </m>
      <m in="0">
        <tpls c="5">
          <tpl fld="1" item="9"/>
          <tpl fld="2" item="9"/>
          <tpl hier="10" item="3"/>
          <tpl hier="11" item="9"/>
          <tpl fld="0" item="1"/>
        </tpls>
      </m>
      <m in="0">
        <tpls c="5">
          <tpl fld="1" item="2"/>
          <tpl fld="2" item="14"/>
          <tpl hier="10" item="3"/>
          <tpl hier="11" item="9"/>
          <tpl fld="0" item="1"/>
        </tpls>
      </m>
      <n v="-11927.25" in="0">
        <tpls c="5">
          <tpl fld="1" item="9"/>
          <tpl fld="2" item="10"/>
          <tpl hier="10" item="3"/>
          <tpl hier="11" item="9"/>
          <tpl fld="0" item="0"/>
        </tpls>
      </n>
      <n v="-4204.75" in="0">
        <tpls c="5">
          <tpl fld="1" item="5"/>
          <tpl fld="2" item="1"/>
          <tpl hier="10" item="3"/>
          <tpl hier="11" item="9"/>
          <tpl fld="0" item="0"/>
        </tpls>
      </n>
      <n v="-4928" in="0">
        <tpls c="5">
          <tpl fld="1" item="10"/>
          <tpl fld="2" item="12"/>
          <tpl hier="10" item="3"/>
          <tpl hier="11" item="9"/>
          <tpl fld="0" item="0"/>
        </tpls>
      </n>
      <m in="0">
        <tpls c="5">
          <tpl fld="1" item="4"/>
          <tpl fld="2" item="11"/>
          <tpl hier="10" item="3"/>
          <tpl hier="11" item="9"/>
          <tpl fld="0" item="1"/>
        </tpls>
      </m>
      <n v="-321912.75" in="0">
        <tpls c="5">
          <tpl fld="1" item="8"/>
          <tpl hier="9" item="4294967295"/>
          <tpl hier="10" item="3"/>
          <tpl hier="11" item="9"/>
          <tpl fld="0" item="0"/>
        </tpls>
      </n>
      <m in="0">
        <tpls c="5">
          <tpl fld="1" item="1"/>
          <tpl fld="2" item="14"/>
          <tpl hier="10" item="3"/>
          <tpl hier="11" item="9"/>
          <tpl fld="0" item="0"/>
        </tpls>
      </m>
      <m in="0">
        <tpls c="5">
          <tpl fld="1" item="1"/>
          <tpl fld="2" item="2"/>
          <tpl hier="10" item="3"/>
          <tpl hier="11" item="9"/>
          <tpl fld="0" item="0"/>
        </tpls>
      </m>
      <n v="-2996.75" in="0">
        <tpls c="5">
          <tpl fld="1" item="2"/>
          <tpl fld="2" item="3"/>
          <tpl hier="10" item="3"/>
          <tpl hier="11" item="9"/>
          <tpl fld="0" item="0"/>
        </tpls>
      </n>
      <n v="-1152" in="0">
        <tpls c="5">
          <tpl fld="1" item="6"/>
          <tpl fld="2" item="5"/>
          <tpl hier="10" item="3"/>
          <tpl hier="11" item="9"/>
          <tpl fld="0" item="0"/>
        </tpls>
      </n>
      <m in="0">
        <tpls c="5">
          <tpl fld="1" item="2"/>
          <tpl fld="2" item="9"/>
          <tpl hier="10" item="3"/>
          <tpl hier="11" item="9"/>
          <tpl fld="0" item="1"/>
        </tpls>
      </m>
      <m in="0">
        <tpls c="5">
          <tpl fld="1" item="8"/>
          <tpl fld="2" item="0"/>
          <tpl hier="10" item="3"/>
          <tpl hier="11" item="9"/>
          <tpl fld="0" item="1"/>
        </tpls>
      </m>
      <m in="0">
        <tpls c="5">
          <tpl fld="1" item="9"/>
          <tpl fld="2" item="7"/>
          <tpl hier="10" item="3"/>
          <tpl hier="11" item="9"/>
          <tpl fld="0" item="0"/>
        </tpls>
      </m>
      <m in="0">
        <tpls c="5">
          <tpl fld="1" item="3"/>
          <tpl fld="2" item="9"/>
          <tpl hier="10" item="3"/>
          <tpl hier="11" item="9"/>
          <tpl fld="0" item="0"/>
        </tpls>
      </m>
      <n v="-215418" in="0">
        <tpls c="5">
          <tpl fld="1" item="1"/>
          <tpl fld="2" item="0"/>
          <tpl hier="10" item="3"/>
          <tpl hier="11" item="9"/>
          <tpl fld="0" item="0"/>
        </tpls>
      </n>
      <m in="0">
        <tpls c="5">
          <tpl fld="1" item="2"/>
          <tpl fld="2" item="4"/>
          <tpl hier="10" item="3"/>
          <tpl hier="11" item="9"/>
          <tpl fld="0" item="1"/>
        </tpls>
      </m>
      <m in="0">
        <tpls c="5">
          <tpl fld="1" item="10"/>
          <tpl fld="2" item="9"/>
          <tpl hier="10" item="3"/>
          <tpl hier="11" item="9"/>
          <tpl fld="0" item="1"/>
        </tpls>
      </m>
      <m in="0">
        <tpls c="5">
          <tpl fld="1" item="5"/>
          <tpl fld="2" item="9"/>
          <tpl hier="10" item="3"/>
          <tpl hier="11" item="9"/>
          <tpl fld="0" item="1"/>
        </tpls>
      </m>
      <n v="-4383.25" in="0">
        <tpls c="5">
          <tpl fld="1" item="8"/>
          <tpl fld="2" item="12"/>
          <tpl hier="10" item="3"/>
          <tpl hier="11" item="9"/>
          <tpl fld="0" item="0"/>
        </tpls>
      </n>
      <n v="-1048.75" in="0">
        <tpls c="5">
          <tpl fld="1" item="8"/>
          <tpl fld="2" item="5"/>
          <tpl hier="10" item="3"/>
          <tpl hier="11" item="9"/>
          <tpl fld="0" item="0"/>
        </tpls>
      </n>
      <m in="0">
        <tpls c="5">
          <tpl fld="1" item="9"/>
          <tpl fld="2" item="5"/>
          <tpl hier="10" item="3"/>
          <tpl hier="11" item="9"/>
          <tpl fld="0" item="1"/>
        </tpls>
      </m>
      <m in="0">
        <tpls c="5">
          <tpl fld="1" item="10"/>
          <tpl fld="2" item="5"/>
          <tpl hier="10" item="3"/>
          <tpl hier="11" item="9"/>
          <tpl fld="0" item="1"/>
        </tpls>
      </m>
      <n v="-305631.25" in="0">
        <tpls c="5">
          <tpl fld="1" item="5"/>
          <tpl hier="9" item="4294967295"/>
          <tpl hier="10" item="3"/>
          <tpl hier="11" item="9"/>
          <tpl fld="0" item="0"/>
        </tpls>
      </n>
      <m in="0">
        <tpls c="5">
          <tpl fld="1" item="1"/>
          <tpl fld="2" item="15"/>
          <tpl hier="10" item="3"/>
          <tpl hier="11" item="9"/>
          <tpl fld="0" item="1"/>
        </tpls>
      </m>
      <n v="-1828.75" in="0">
        <tpls c="5">
          <tpl fld="1" item="0"/>
          <tpl fld="2" item="3"/>
          <tpl hier="10" item="3"/>
          <tpl hier="11" item="9"/>
          <tpl fld="0" item="0"/>
        </tpls>
      </n>
      <m in="0">
        <tpls c="5">
          <tpl fld="1" item="3"/>
          <tpl fld="2" item="4"/>
          <tpl hier="10" item="3"/>
          <tpl hier="11" item="9"/>
          <tpl fld="0" item="0"/>
        </tpls>
      </m>
      <m in="0">
        <tpls c="5">
          <tpl fld="1" item="2"/>
          <tpl fld="2" item="9"/>
          <tpl hier="10" item="3"/>
          <tpl hier="11" item="9"/>
          <tpl fld="0" item="0"/>
        </tpls>
      </m>
      <m in="0">
        <tpls c="5">
          <tpl fld="1" item="7"/>
          <tpl fld="2" item="6"/>
          <tpl hier="10" item="3"/>
          <tpl hier="11" item="9"/>
          <tpl fld="0" item="1"/>
        </tpls>
      </m>
      <m in="0">
        <tpls c="5">
          <tpl fld="1" item="6"/>
          <tpl fld="2" item="2"/>
          <tpl hier="10" item="3"/>
          <tpl hier="11" item="9"/>
          <tpl fld="0" item="1"/>
        </tpls>
      </m>
      <m in="0">
        <tpls c="5">
          <tpl fld="1" item="1"/>
          <tpl fld="2" item="4"/>
          <tpl hier="10" item="3"/>
          <tpl hier="11" item="9"/>
          <tpl fld="0" item="0"/>
        </tpls>
      </m>
      <m in="0">
        <tpls c="5">
          <tpl fld="1" item="8"/>
          <tpl fld="2" item="9"/>
          <tpl hier="10" item="3"/>
          <tpl hier="11" item="9"/>
          <tpl fld="0" item="0"/>
        </tpls>
      </m>
      <m in="0">
        <tpls c="5">
          <tpl fld="1" item="5"/>
          <tpl fld="2" item="5"/>
          <tpl hier="10" item="3"/>
          <tpl hier="11" item="9"/>
          <tpl fld="0" item="1"/>
        </tpls>
      </m>
      <m in="0">
        <tpls c="5">
          <tpl fld="1" item="8"/>
          <tpl fld="2" item="12"/>
          <tpl hier="10" item="3"/>
          <tpl hier="11" item="9"/>
          <tpl fld="0" item="1"/>
        </tpls>
      </m>
      <n v="-5560.75" in="0">
        <tpls c="5">
          <tpl fld="1" item="10"/>
          <tpl fld="2" item="1"/>
          <tpl hier="10" item="3"/>
          <tpl hier="11" item="9"/>
          <tpl fld="0" item="0"/>
        </tpls>
      </n>
      <m in="0">
        <tpls c="5">
          <tpl fld="1" item="9"/>
          <tpl fld="2" item="10"/>
          <tpl hier="10" item="3"/>
          <tpl hier="11" item="9"/>
          <tpl fld="0" item="1"/>
        </tpls>
      </m>
      <m in="0">
        <tpls c="5">
          <tpl fld="1" item="10"/>
          <tpl fld="2" item="2"/>
          <tpl hier="10" item="3"/>
          <tpl hier="11" item="9"/>
          <tpl fld="0" item="1"/>
        </tpls>
      </m>
      <m in="0">
        <tpls c="5">
          <tpl fld="1" item="5"/>
          <tpl hier="9" item="4294967295"/>
          <tpl hier="10" item="3"/>
          <tpl hier="11" item="9"/>
          <tpl fld="0" item="1"/>
        </tpls>
      </m>
      <n v="-5772.25" in="0">
        <tpls c="5">
          <tpl fld="1" item="5"/>
          <tpl fld="2" item="15"/>
          <tpl hier="10" item="3"/>
          <tpl hier="11" item="9"/>
          <tpl fld="0" item="0"/>
        </tpls>
      </n>
      <m in="0">
        <tpls c="5">
          <tpl fld="1" item="0"/>
          <tpl fld="2" item="4"/>
          <tpl hier="10" item="3"/>
          <tpl hier="11" item="9"/>
          <tpl fld="0" item="1"/>
        </tpls>
      </m>
      <n v="-3689" in="0">
        <tpls c="5">
          <tpl fld="1" item="3"/>
          <tpl fld="2" item="1"/>
          <tpl hier="10" item="3"/>
          <tpl hier="11" item="9"/>
          <tpl fld="0" item="0"/>
        </tpls>
      </n>
      <m in="0">
        <tpls c="5">
          <tpl fld="1" item="5"/>
          <tpl fld="2" item="0"/>
          <tpl hier="10" item="3"/>
          <tpl hier="11" item="9"/>
          <tpl fld="0" item="1"/>
        </tpls>
      </m>
      <n v="-2915.75" in="0">
        <tpls c="5">
          <tpl fld="1" item="11"/>
          <tpl fld="2" item="3"/>
          <tpl hier="10" item="3"/>
          <tpl hier="11" item="9"/>
          <tpl fld="0" item="0"/>
        </tpls>
      </n>
      <m in="0">
        <tpls c="5">
          <tpl fld="1" item="1"/>
          <tpl fld="2" item="4"/>
          <tpl hier="10" item="3"/>
          <tpl hier="11" item="9"/>
          <tpl fld="0" item="1"/>
        </tpls>
      </m>
      <m in="0">
        <tpls c="5">
          <tpl fld="1" item="8"/>
          <tpl fld="2" item="9"/>
          <tpl hier="10" item="3"/>
          <tpl hier="11" item="9"/>
          <tpl fld="0" item="1"/>
        </tpls>
      </m>
      <m in="0">
        <tpls c="5">
          <tpl fld="1" item="5"/>
          <tpl fld="2" item="7"/>
          <tpl hier="10" item="3"/>
          <tpl hier="11" item="9"/>
          <tpl fld="0" item="1"/>
        </tpls>
      </m>
      <n v="-4861.5" in="0">
        <tpls c="5">
          <tpl fld="1" item="7"/>
          <tpl fld="2" item="12"/>
          <tpl hier="10" item="3"/>
          <tpl hier="11" item="9"/>
          <tpl fld="0" item="0"/>
        </tpls>
      </n>
      <m in="0">
        <tpls c="5">
          <tpl fld="1" item="10"/>
          <tpl fld="2" item="4"/>
          <tpl hier="10" item="3"/>
          <tpl hier="11" item="9"/>
          <tpl fld="0" item="0"/>
        </tpls>
      </m>
      <m in="0">
        <tpls c="5">
          <tpl fld="1" item="9"/>
          <tpl fld="2" item="0"/>
          <tpl hier="10" item="3"/>
          <tpl hier="11" item="9"/>
          <tpl fld="0" item="1"/>
        </tpls>
      </m>
      <n v="-1068" in="0">
        <tpls c="5">
          <tpl fld="1" item="5"/>
          <tpl fld="2" item="5"/>
          <tpl hier="10" item="3"/>
          <tpl hier="11" item="9"/>
          <tpl fld="0" item="0"/>
        </tpls>
      </n>
      <n v="-336149.5" in="0">
        <tpls c="5">
          <tpl fld="1" item="4"/>
          <tpl hier="9" item="4294967295"/>
          <tpl hier="10" item="3"/>
          <tpl hier="11" item="9"/>
          <tpl fld="0" item="0"/>
        </tpls>
      </n>
      <m in="0">
        <tpls c="5">
          <tpl fld="1" item="5"/>
          <tpl fld="2" item="15"/>
          <tpl hier="10" item="3"/>
          <tpl hier="11" item="9"/>
          <tpl fld="0" item="1"/>
        </tpls>
      </m>
      <m in="0">
        <tpls c="5">
          <tpl fld="1" item="0"/>
          <tpl fld="2" item="4"/>
          <tpl hier="10" item="3"/>
          <tpl hier="11" item="9"/>
          <tpl fld="0" item="0"/>
        </tpls>
      </m>
      <n v="-4648" in="0">
        <tpls c="5">
          <tpl fld="1" item="6"/>
          <tpl fld="2" item="1"/>
          <tpl hier="10" item="3"/>
          <tpl hier="11" item="9"/>
          <tpl fld="0" item="0"/>
        </tpls>
      </n>
      <m in="0">
        <tpls c="5">
          <tpl fld="1" item="9"/>
          <tpl fld="2" item="8"/>
          <tpl hier="10" item="3"/>
          <tpl hier="11" item="9"/>
          <tpl fld="0" item="0"/>
        </tpls>
      </m>
      <n v="-268894" in="0">
        <tpls c="5">
          <tpl fld="1" item="8"/>
          <tpl fld="2" item="0"/>
          <tpl hier="10" item="3"/>
          <tpl hier="11" item="9"/>
          <tpl fld="0" item="0"/>
        </tpls>
      </n>
      <m in="0">
        <tpls c="5">
          <tpl fld="1" item="1"/>
          <tpl fld="2" item="1"/>
          <tpl hier="10" item="3"/>
          <tpl hier="11" item="9"/>
          <tpl fld="0" item="1"/>
        </tpls>
      </m>
      <m in="0">
        <tpls c="5">
          <tpl fld="1" item="10"/>
          <tpl fld="2" item="3"/>
          <tpl hier="10" item="3"/>
          <tpl hier="11" item="9"/>
          <tpl fld="0" item="1"/>
        </tpls>
      </m>
      <m in="0">
        <tpls c="5">
          <tpl fld="1" item="11"/>
          <tpl fld="2" item="6"/>
          <tpl hier="10" item="3"/>
          <tpl hier="11" item="9"/>
          <tpl fld="0" item="1"/>
        </tpls>
      </m>
      <m in="0">
        <tpls c="5">
          <tpl fld="1" item="5"/>
          <tpl fld="2" item="4"/>
          <tpl hier="10" item="3"/>
          <tpl hier="11" item="9"/>
          <tpl fld="0" item="0"/>
        </tpls>
      </m>
      <m in="0">
        <tpls c="5">
          <tpl fld="1" item="7"/>
          <tpl fld="2" item="9"/>
          <tpl hier="10" item="3"/>
          <tpl hier="11" item="9"/>
          <tpl fld="0" item="0"/>
        </tpls>
      </m>
      <m in="0">
        <tpls c="5">
          <tpl fld="1" item="5"/>
          <tpl fld="2" item="6"/>
          <tpl hier="10" item="3"/>
          <tpl hier="11" item="9"/>
          <tpl fld="0" item="1"/>
        </tpls>
      </m>
      <m in="0">
        <tpls c="5">
          <tpl fld="1" item="7"/>
          <tpl fld="2" item="12"/>
          <tpl hier="10" item="3"/>
          <tpl hier="11" item="9"/>
          <tpl fld="0" item="1"/>
        </tpls>
      </m>
      <n v="-1103.25" in="0">
        <tpls c="5">
          <tpl fld="1" item="10"/>
          <tpl fld="2" item="5"/>
          <tpl hier="10" item="3"/>
          <tpl hier="11" item="9"/>
          <tpl fld="0" item="0"/>
        </tpls>
      </n>
      <m in="0">
        <tpls c="5">
          <tpl fld="1" item="3"/>
          <tpl fld="2" item="14"/>
          <tpl hier="10" item="3"/>
          <tpl hier="11" item="9"/>
          <tpl fld="0" item="0"/>
        </tpls>
      </m>
      <n v="-11634.75" in="0">
        <tpls c="5">
          <tpl fld="1" item="5"/>
          <tpl fld="2" item="10"/>
          <tpl hier="10" item="3"/>
          <tpl hier="11" item="9"/>
          <tpl fld="0" item="0"/>
        </tpls>
      </n>
      <m in="0">
        <tpls c="5">
          <tpl fld="1" item="4"/>
          <tpl hier="9" item="4294967295"/>
          <tpl hier="10" item="3"/>
          <tpl hier="11" item="9"/>
          <tpl fld="0" item="1"/>
        </tpls>
      </m>
      <m in="0">
        <tpls c="5">
          <tpl fld="1" item="3"/>
          <tpl fld="2" item="15"/>
          <tpl hier="10" item="3"/>
          <tpl hier="11" item="9"/>
          <tpl fld="0" item="1"/>
        </tpls>
      </m>
      <m in="0">
        <tpls c="5">
          <tpl fld="1" item="0"/>
          <tpl fld="2" item="5"/>
          <tpl hier="10" item="3"/>
          <tpl hier="11" item="9"/>
          <tpl fld="0" item="1"/>
        </tpls>
      </m>
      <m in="0">
        <tpls c="5">
          <tpl fld="1" item="1"/>
          <tpl fld="2" item="7"/>
          <tpl hier="10" item="3"/>
          <tpl hier="11" item="9"/>
          <tpl fld="0" item="0"/>
        </tpls>
      </m>
      <n v="-21496.5" in="0">
        <tpls c="5">
          <tpl fld="1" item="7"/>
          <tpl fld="2" item="6"/>
          <tpl hier="10" item="3"/>
          <tpl hier="11" item="9"/>
          <tpl fld="0" item="0"/>
        </tpls>
      </n>
      <m in="0">
        <tpls c="5">
          <tpl fld="1" item="1"/>
          <tpl fld="2" item="14"/>
          <tpl hier="10" item="3"/>
          <tpl hier="11" item="9"/>
          <tpl fld="0" item="1"/>
        </tpls>
      </m>
      <n v="-15468.25" in="0">
        <tpls c="5">
          <tpl fld="1" item="8"/>
          <tpl fld="2" item="6"/>
          <tpl hier="10" item="3"/>
          <tpl hier="11" item="9"/>
          <tpl fld="0" item="0"/>
        </tpls>
      </n>
      <m in="0">
        <tpls c="5">
          <tpl fld="1" item="10"/>
          <tpl fld="2" item="7"/>
          <tpl hier="10" item="3"/>
          <tpl hier="11" item="9"/>
          <tpl fld="0" item="0"/>
        </tpls>
      </m>
      <n v="-1421.75" in="0">
        <tpls c="5">
          <tpl fld="1" item="3"/>
          <tpl fld="2" item="5"/>
          <tpl hier="10" item="3"/>
          <tpl hier="11" item="9"/>
          <tpl fld="0" item="0"/>
        </tpls>
      </n>
      <m in="0">
        <tpls c="5">
          <tpl fld="1" item="7"/>
          <tpl fld="2" item="9"/>
          <tpl hier="10" item="3"/>
          <tpl hier="11" item="9"/>
          <tpl fld="0" item="1"/>
        </tpls>
      </m>
      <m in="0">
        <tpls c="5">
          <tpl fld="1" item="5"/>
          <tpl fld="2" item="1"/>
          <tpl hier="10" item="3"/>
          <tpl hier="11" item="9"/>
          <tpl fld="0" item="1"/>
        </tpls>
      </m>
      <n v="-4354.25" in="0">
        <tpls c="5">
          <tpl fld="1" item="6"/>
          <tpl fld="2" item="12"/>
          <tpl hier="10" item="3"/>
          <tpl hier="11" item="9"/>
          <tpl fld="0" item="0"/>
        </tpls>
      </n>
      <m in="0">
        <tpls c="5">
          <tpl fld="1" item="10"/>
          <tpl fld="2" item="2"/>
          <tpl hier="10" item="3"/>
          <tpl hier="11" item="9"/>
          <tpl fld="0" item="0"/>
        </tpls>
      </m>
      <m in="0">
        <tpls c="5">
          <tpl fld="1" item="3"/>
          <tpl fld="2" item="14"/>
          <tpl hier="10" item="3"/>
          <tpl hier="11" item="9"/>
          <tpl fld="0" item="1"/>
        </tpls>
      </m>
      <m in="0">
        <tpls c="5">
          <tpl fld="1" item="5"/>
          <tpl fld="2" item="9"/>
          <tpl hier="10" item="3"/>
          <tpl hier="11" item="9"/>
          <tpl fld="0" item="0"/>
        </tpls>
      </m>
      <n v="-250689" in="0">
        <tpls c="5">
          <tpl fld="1" item="9"/>
          <tpl hier="9" item="4294967295"/>
          <tpl hier="10" item="3"/>
          <tpl hier="11" item="9"/>
          <tpl fld="0" item="0"/>
        </tpls>
      </n>
      <n v="-6268.5" in="0">
        <tpls c="5">
          <tpl fld="1" item="4"/>
          <tpl fld="2" item="15"/>
          <tpl hier="10" item="3"/>
          <tpl hier="11" item="9"/>
          <tpl fld="0" item="0"/>
        </tpls>
      </n>
      <n v="-1287" in="0">
        <tpls c="5">
          <tpl fld="1" item="0"/>
          <tpl fld="2" item="5"/>
          <tpl hier="10" item="3"/>
          <tpl hier="11" item="9"/>
          <tpl fld="0" item="0"/>
        </tpls>
      </n>
      <n v="-2269" in="0">
        <tpls c="5">
          <tpl fld="1" item="9"/>
          <tpl fld="2" item="3"/>
          <tpl hier="10" item="3"/>
          <tpl hier="11" item="9"/>
          <tpl fld="0" item="0"/>
        </tpls>
      </n>
      <n v="-535.75" in="0">
        <tpls c="5">
          <tpl fld="1" item="1"/>
          <tpl fld="2" item="11"/>
          <tpl hier="10" item="3"/>
          <tpl hier="11" item="9"/>
          <tpl fld="0" item="0"/>
        </tpls>
      </n>
      <n v="-246534.25" in="0">
        <tpls c="5">
          <tpl fld="1" item="6"/>
          <tpl fld="2" item="0"/>
          <tpl hier="10" item="3"/>
          <tpl hier="11" item="9"/>
          <tpl fld="0" item="0"/>
        </tpls>
      </n>
      <m in="0">
        <tpls c="5">
          <tpl fld="1" item="5"/>
          <tpl fld="2" item="11"/>
          <tpl hier="10" item="3"/>
          <tpl hier="11" item="9"/>
          <tpl fld="0" item="1"/>
        </tpls>
      </m>
      <m in="0">
        <tpls c="5">
          <tpl fld="1" item="3"/>
          <tpl fld="2" item="5"/>
          <tpl hier="10" item="3"/>
          <tpl hier="11" item="9"/>
          <tpl fld="0" item="1"/>
        </tpls>
      </m>
      <m in="0">
        <tpls c="5">
          <tpl fld="1" item="6"/>
          <tpl fld="2" item="9"/>
          <tpl hier="10" item="3"/>
          <tpl hier="11" item="9"/>
          <tpl fld="0" item="0"/>
        </tpls>
      </m>
      <m in="0">
        <tpls c="5">
          <tpl fld="1" item="5"/>
          <tpl fld="2" item="2"/>
          <tpl hier="10" item="3"/>
          <tpl hier="11" item="9"/>
          <tpl fld="0" item="1"/>
        </tpls>
      </m>
      <m in="0">
        <tpls c="5">
          <tpl fld="1" item="6"/>
          <tpl fld="2" item="12"/>
          <tpl hier="10" item="3"/>
          <tpl hier="11" item="9"/>
          <tpl fld="0" item="1"/>
        </tpls>
      </m>
      <n v="-246966.25" in="0">
        <tpls c="5">
          <tpl fld="1" item="10"/>
          <tpl fld="2" item="0"/>
          <tpl hier="10" item="3"/>
          <tpl hier="11" item="9"/>
          <tpl fld="0" item="0"/>
        </tpls>
      </n>
      <m in="0">
        <tpls c="5">
          <tpl fld="1" item="2"/>
          <tpl fld="2" item="14"/>
          <tpl hier="10" item="3"/>
          <tpl hier="11" item="9"/>
          <tpl fld="0" item="0"/>
        </tpls>
      </m>
      <m in="0">
        <tpls c="5">
          <tpl fld="1" item="5"/>
          <tpl fld="2" item="7"/>
          <tpl hier="10" item="3"/>
          <tpl hier="11" item="9"/>
          <tpl fld="0" item="0"/>
        </tpls>
      </m>
      <n v="-329590.75" in="0">
        <tpls c="5">
          <tpl fld="1" item="11"/>
          <tpl hier="9" item="4294967295"/>
          <tpl hier="10" item="3"/>
          <tpl hier="11" item="9"/>
          <tpl fld="0" item="0"/>
        </tpls>
      </n>
      <n v="-5047.75" in="0">
        <tpls c="5">
          <tpl fld="1" item="3"/>
          <tpl fld="2" item="15"/>
          <tpl hier="10" item="3"/>
          <tpl hier="11" item="9"/>
          <tpl fld="0" item="0"/>
        </tpls>
      </n>
      <m in="0">
        <tpls c="5">
          <tpl fld="1" item="0"/>
          <tpl fld="2" item="6"/>
          <tpl hier="10" item="3"/>
          <tpl hier="11" item="9"/>
          <tpl fld="0" item="1"/>
        </tpls>
      </m>
      <m in="0">
        <tpls c="5">
          <tpl fld="1" item="7"/>
          <tpl fld="2" item="1"/>
          <tpl hier="10" item="3"/>
          <tpl hier="11" item="9"/>
          <tpl fld="0" item="1"/>
        </tpls>
      </m>
      <m in="0">
        <tpls c="5">
          <tpl fld="1" item="2"/>
          <tpl fld="2" item="0"/>
          <tpl hier="10" item="3"/>
          <tpl hier="11" item="9"/>
          <tpl fld="0" item="1"/>
        </tpls>
      </m>
      <m in="0">
        <tpls c="5">
          <tpl fld="1" item="1"/>
          <tpl fld="2" item="9"/>
          <tpl hier="10" item="3"/>
          <tpl hier="11" item="9"/>
          <tpl fld="0" item="1"/>
        </tpls>
      </m>
      <n v="-20639" in="0">
        <tpls c="5">
          <tpl fld="1" item="11"/>
          <tpl fld="2" item="6"/>
          <tpl hier="10" item="3"/>
          <tpl hier="11" item="9"/>
          <tpl fld="0" item="0"/>
        </tpls>
      </n>
      <n v="-56362.25" in="0">
        <tpls c="4">
          <tpl fld="2" item="12"/>
          <tpl hier="10" item="3"/>
          <tpl hier="11" item="9"/>
          <tpl fld="0" item="0"/>
        </tpls>
      </n>
      <m in="0">
        <tpls c="5">
          <tpl fld="1" item="4"/>
          <tpl fld="2" item="6"/>
          <tpl hier="10" item="3"/>
          <tpl hier="11" item="9"/>
          <tpl fld="0" item="1"/>
        </tpls>
      </m>
      <m in="0">
        <tpls c="5">
          <tpl fld="1" item="8"/>
          <tpl fld="2" item="11"/>
          <tpl hier="10" item="3"/>
          <tpl hier="11" item="9"/>
          <tpl fld="0" item="1"/>
        </tpls>
      </m>
      <n v="-17742.25" in="0">
        <tpls c="5">
          <tpl fld="1" item="1"/>
          <tpl fld="2" item="6"/>
          <tpl hier="10" item="3"/>
          <tpl hier="11" item="9"/>
          <tpl fld="0" item="0"/>
        </tpls>
      </n>
      <m in="0">
        <tpls c="5">
          <tpl fld="1" item="7"/>
          <tpl fld="2" item="13"/>
          <tpl hier="10" item="3"/>
          <tpl hier="11" item="9"/>
          <tpl fld="0" item="1"/>
        </tpls>
      </m>
      <m in="0">
        <tpls c="5">
          <tpl fld="1" item="7"/>
          <tpl fld="2" item="10"/>
          <tpl hier="10" item="3"/>
          <tpl hier="11" item="9"/>
          <tpl fld="0" item="1"/>
        </tpls>
      </m>
      <n v="-4852.75" in="0">
        <tpls c="5">
          <tpl fld="1" item="9"/>
          <tpl fld="2" item="1"/>
          <tpl hier="10" item="3"/>
          <tpl hier="11" item="9"/>
          <tpl fld="0" item="0"/>
        </tpls>
      </n>
      <m in="0">
        <tpls c="5">
          <tpl fld="1" item="0"/>
          <tpl fld="2" item="8"/>
          <tpl hier="10" item="3"/>
          <tpl hier="11" item="9"/>
          <tpl fld="0" item="1"/>
        </tpls>
      </m>
      <n v="-198583.75" in="0">
        <tpls c="5">
          <tpl fld="1" item="9"/>
          <tpl fld="2" item="0"/>
          <tpl hier="10" item="3"/>
          <tpl hier="11" item="9"/>
          <tpl fld="0" item="0"/>
        </tpls>
      </n>
      <m in="0">
        <tpls c="5">
          <tpl fld="1" item="4"/>
          <tpl fld="2" item="9"/>
          <tpl hier="10" item="4"/>
          <tpl hier="11" item="9"/>
          <tpl fld="0" item="0"/>
        </tpls>
      </m>
      <m in="0">
        <tpls c="5">
          <tpl fld="1" item="1"/>
          <tpl fld="2" item="7"/>
          <tpl hier="10" item="4"/>
          <tpl hier="11" item="9"/>
          <tpl fld="0" item="1"/>
        </tpls>
      </m>
      <n v="-1955.75" in="0">
        <tpls c="5">
          <tpl fld="1" item="3"/>
          <tpl fld="2" item="2"/>
          <tpl hier="10" item="4"/>
          <tpl hier="11" item="9"/>
          <tpl fld="0" item="0"/>
        </tpls>
      </n>
      <m in="0">
        <tpls c="5">
          <tpl fld="1" item="2"/>
          <tpl fld="2" item="6"/>
          <tpl hier="10" item="4"/>
          <tpl hier="11" item="9"/>
          <tpl fld="0" item="1"/>
        </tpls>
      </m>
      <m in="0">
        <tpls c="5">
          <tpl fld="1" item="3"/>
          <tpl fld="2" item="11"/>
          <tpl hier="10" item="4"/>
          <tpl hier="11" item="9"/>
          <tpl fld="0" item="1"/>
        </tpls>
      </m>
      <n v="-14737.5" in="0">
        <tpls c="5">
          <tpl fld="1" item="3"/>
          <tpl fld="2" item="10"/>
          <tpl hier="10" item="4"/>
          <tpl hier="11" item="9"/>
          <tpl fld="0" item="0"/>
        </tpls>
      </n>
      <n v="-2943" in="0">
        <tpls c="5">
          <tpl fld="1" item="10"/>
          <tpl fld="2" item="3"/>
          <tpl hier="10" item="4"/>
          <tpl hier="11" item="9"/>
          <tpl fld="0" item="0"/>
        </tpls>
      </n>
      <m in="0">
        <tpls c="5">
          <tpl fld="1" item="11"/>
          <tpl fld="2" item="7"/>
          <tpl hier="10" item="4"/>
          <tpl hier="11" item="9"/>
          <tpl fld="0" item="0"/>
        </tpls>
      </m>
      <m in="0">
        <tpls c="5">
          <tpl fld="1" item="3"/>
          <tpl fld="2" item="6"/>
          <tpl hier="10" item="4"/>
          <tpl hier="11" item="9"/>
          <tpl fld="0" item="1"/>
        </tpls>
      </m>
      <m in="0">
        <tpls c="5">
          <tpl fld="1" item="4"/>
          <tpl fld="2" item="9"/>
          <tpl hier="10" item="4"/>
          <tpl hier="11" item="9"/>
          <tpl fld="0" item="1"/>
        </tpls>
      </m>
      <m in="0">
        <tpls c="5">
          <tpl fld="1" item="10"/>
          <tpl fld="2" item="11"/>
          <tpl hier="10" item="4"/>
          <tpl hier="11" item="9"/>
          <tpl fld="0" item="1"/>
        </tpls>
      </m>
      <n v="-5075" in="0">
        <tpls c="5">
          <tpl fld="1" item="7"/>
          <tpl fld="2" item="13"/>
          <tpl hier="10" item="4"/>
          <tpl hier="11" item="9"/>
          <tpl fld="0" item="0"/>
        </tpls>
      </n>
      <m in="0">
        <tpls c="5">
          <tpl fld="1" item="11"/>
          <tpl fld="2" item="5"/>
          <tpl hier="10" item="4"/>
          <tpl hier="11" item="9"/>
          <tpl fld="0" item="1"/>
        </tpls>
      </m>
      <m in="0">
        <tpls c="5">
          <tpl fld="1" item="5"/>
          <tpl fld="2" item="14"/>
          <tpl hier="10" item="4"/>
          <tpl hier="11" item="9"/>
          <tpl fld="0" item="0"/>
        </tpls>
      </m>
      <m in="0">
        <tpls c="4">
          <tpl fld="2" item="13"/>
          <tpl hier="10" item="4"/>
          <tpl hier="11" item="9"/>
          <tpl fld="0" item="1"/>
        </tpls>
      </m>
      <n v="-286239.75" in="0">
        <tpls c="5">
          <tpl fld="1" item="7"/>
          <tpl hier="9" item="4294967295"/>
          <tpl hier="10" item="4"/>
          <tpl hier="11" item="9"/>
          <tpl fld="0" item="0"/>
        </tpls>
      </n>
      <m in="0">
        <tpls c="5">
          <tpl fld="1" item="11"/>
          <tpl fld="2" item="15"/>
          <tpl hier="10" item="4"/>
          <tpl hier="11" item="9"/>
          <tpl fld="0" item="1"/>
        </tpls>
      </m>
      <m in="0">
        <tpls c="5">
          <tpl fld="1" item="0"/>
          <tpl fld="2" item="8"/>
          <tpl hier="10" item="4"/>
          <tpl hier="11" item="9"/>
          <tpl fld="0" item="0"/>
        </tpls>
      </m>
      <m in="0">
        <tpls c="5">
          <tpl fld="1" item="6"/>
          <tpl fld="2" item="1"/>
          <tpl hier="10" item="4"/>
          <tpl hier="11" item="9"/>
          <tpl fld="0" item="1"/>
        </tpls>
      </m>
      <m in="0">
        <tpls c="5">
          <tpl fld="1" item="3"/>
          <tpl fld="2" item="7"/>
          <tpl hier="10" item="4"/>
          <tpl hier="11" item="9"/>
          <tpl fld="0" item="0"/>
        </tpls>
      </m>
      <m in="0">
        <tpls c="5">
          <tpl fld="1" item="6"/>
          <tpl fld="2" item="9"/>
          <tpl hier="10" item="4"/>
          <tpl hier="11" item="9"/>
          <tpl fld="0" item="1"/>
        </tpls>
      </m>
      <m in="0">
        <tpls c="5">
          <tpl fld="1" item="3"/>
          <tpl fld="2" item="3"/>
          <tpl hier="10" item="4"/>
          <tpl hier="11" item="9"/>
          <tpl fld="0" item="1"/>
        </tpls>
      </m>
      <n v="-549.25" in="0">
        <tpls c="5">
          <tpl fld="1" item="9"/>
          <tpl fld="2" item="11"/>
          <tpl hier="10" item="4"/>
          <tpl hier="11" item="9"/>
          <tpl fld="0" item="0"/>
        </tpls>
      </n>
      <m in="0">
        <tpls c="5">
          <tpl fld="1" item="10"/>
          <tpl fld="2" item="6"/>
          <tpl hier="10" item="4"/>
          <tpl hier="11" item="9"/>
          <tpl fld="0" item="1"/>
        </tpls>
      </m>
      <m in="0">
        <tpls c="5">
          <tpl fld="1" item="3"/>
          <tpl fld="2" item="0"/>
          <tpl hier="10" item="4"/>
          <tpl hier="11" item="9"/>
          <tpl fld="0" item="1"/>
        </tpls>
      </m>
      <n v="-19654.25" in="0">
        <tpls c="5">
          <tpl fld="1" item="2"/>
          <tpl fld="2" item="6"/>
          <tpl hier="10" item="4"/>
          <tpl hier="11" item="9"/>
          <tpl fld="0" item="0"/>
        </tpls>
      </n>
      <m in="0">
        <tpls c="5">
          <tpl fld="1" item="4"/>
          <tpl fld="2" item="5"/>
          <tpl hier="10" item="4"/>
          <tpl hier="11" item="9"/>
          <tpl fld="0" item="1"/>
        </tpls>
      </m>
      <n v="-460" in="0">
        <tpls c="5">
          <tpl fld="1" item="8"/>
          <tpl fld="2" item="11"/>
          <tpl hier="10" item="4"/>
          <tpl hier="11" item="9"/>
          <tpl fld="0" item="0"/>
        </tpls>
      </n>
      <n v="-5502.5" in="0">
        <tpls c="5">
          <tpl fld="1" item="3"/>
          <tpl fld="2" item="13"/>
          <tpl hier="10" item="4"/>
          <tpl hier="11" item="9"/>
          <tpl fld="0" item="0"/>
        </tpls>
      </n>
      <m in="0">
        <tpls c="5">
          <tpl fld="1" item="11"/>
          <tpl fld="2" item="2"/>
          <tpl hier="10" item="4"/>
          <tpl hier="11" item="9"/>
          <tpl fld="0" item="1"/>
        </tpls>
      </m>
      <m in="0">
        <tpls c="5">
          <tpl fld="1" item="5"/>
          <tpl fld="2" item="14"/>
          <tpl hier="10" item="4"/>
          <tpl hier="11" item="9"/>
          <tpl fld="0" item="1"/>
        </tpls>
      </m>
      <m in="0">
        <tpls c="4">
          <tpl fld="2" item="12"/>
          <tpl hier="10" item="4"/>
          <tpl hier="11" item="9"/>
          <tpl fld="0" item="1"/>
        </tpls>
      </m>
      <m in="0">
        <tpls c="5">
          <tpl fld="1" item="7"/>
          <tpl hier="9" item="4294967295"/>
          <tpl hier="10" item="4"/>
          <tpl hier="11" item="9"/>
          <tpl fld="0" item="1"/>
        </tpls>
      </m>
      <n v="-68736.5" in="0">
        <tpls c="4">
          <tpl fld="2" item="15"/>
          <tpl hier="10" item="4"/>
          <tpl hier="11" item="9"/>
          <tpl fld="0" item="0"/>
        </tpls>
      </n>
      <m in="0">
        <tpls c="5">
          <tpl fld="1" item="0"/>
          <tpl fld="2" item="9"/>
          <tpl hier="10" item="4"/>
          <tpl hier="11" item="9"/>
          <tpl fld="0" item="1"/>
        </tpls>
      </m>
      <m in="0">
        <tpls c="5">
          <tpl fld="1" item="6"/>
          <tpl fld="2" item="4"/>
          <tpl hier="10" item="4"/>
          <tpl hier="11" item="9"/>
          <tpl fld="0" item="1"/>
        </tpls>
      </m>
      <m in="0">
        <tpls c="5">
          <tpl fld="1" item="2"/>
          <tpl fld="2" item="1"/>
          <tpl hier="10" item="4"/>
          <tpl hier="11" item="9"/>
          <tpl fld="0" item="1"/>
        </tpls>
      </m>
      <m in="0">
        <tpls c="5">
          <tpl fld="1" item="2"/>
          <tpl fld="2" item="2"/>
          <tpl hier="10" item="4"/>
          <tpl hier="11" item="9"/>
          <tpl fld="0" item="1"/>
        </tpls>
      </m>
      <m in="0">
        <tpls c="5">
          <tpl fld="1" item="3"/>
          <tpl fld="2" item="8"/>
          <tpl hier="10" item="4"/>
          <tpl hier="11" item="9"/>
          <tpl fld="0" item="1"/>
        </tpls>
      </m>
      <m in="0">
        <tpls c="5">
          <tpl fld="1" item="3"/>
          <tpl fld="2" item="9"/>
          <tpl hier="10" item="4"/>
          <tpl hier="11" item="9"/>
          <tpl fld="0" item="1"/>
        </tpls>
      </m>
      <n v="-380.25" in="0">
        <tpls c="5">
          <tpl fld="1" item="5"/>
          <tpl fld="2" item="11"/>
          <tpl hier="10" item="4"/>
          <tpl hier="11" item="9"/>
          <tpl fld="0" item="0"/>
        </tpls>
      </n>
      <n v="-16689" in="0">
        <tpls c="5">
          <tpl fld="1" item="9"/>
          <tpl fld="2" item="6"/>
          <tpl hier="10" item="4"/>
          <tpl hier="11" item="9"/>
          <tpl fld="0" item="0"/>
        </tpls>
      </n>
      <m in="0">
        <tpls c="5">
          <tpl fld="1" item="4"/>
          <tpl fld="2" item="7"/>
          <tpl hier="10" item="4"/>
          <tpl hier="11" item="9"/>
          <tpl fld="0" item="0"/>
        </tpls>
      </m>
      <m in="0">
        <tpls c="5">
          <tpl fld="1" item="4"/>
          <tpl fld="2" item="0"/>
          <tpl hier="10" item="4"/>
          <tpl hier="11" item="9"/>
          <tpl fld="0" item="1"/>
        </tpls>
      </m>
      <n v="-504.5" in="0">
        <tpls c="5">
          <tpl fld="1" item="7"/>
          <tpl fld="2" item="11"/>
          <tpl hier="10" item="4"/>
          <tpl hier="11" item="9"/>
          <tpl fld="0" item="0"/>
        </tpls>
      </n>
      <m in="0">
        <tpls c="5">
          <tpl fld="1" item="3"/>
          <tpl fld="2" item="13"/>
          <tpl hier="10" item="4"/>
          <tpl hier="11" item="9"/>
          <tpl fld="0" item="1"/>
        </tpls>
      </m>
      <m in="0">
        <tpls c="5">
          <tpl fld="1" item="11"/>
          <tpl fld="2" item="0"/>
          <tpl hier="10" item="4"/>
          <tpl hier="11" item="9"/>
          <tpl fld="0" item="1"/>
        </tpls>
      </m>
      <m in="0">
        <tpls c="5">
          <tpl fld="1" item="11"/>
          <tpl fld="2" item="14"/>
          <tpl hier="10" item="4"/>
          <tpl hier="11" item="9"/>
          <tpl fld="0" item="0"/>
        </tpls>
      </m>
      <m in="0">
        <tpls c="4">
          <tpl fld="2" item="0"/>
          <tpl hier="10" item="4"/>
          <tpl hier="11" item="9"/>
          <tpl fld="0" item="1"/>
        </tpls>
      </m>
      <n v="-248311.75" in="0">
        <tpls c="5">
          <tpl fld="1" item="6"/>
          <tpl hier="9" item="4294967295"/>
          <tpl hier="10" item="4"/>
          <tpl hier="11" item="9"/>
          <tpl fld="0" item="0"/>
        </tpls>
      </n>
      <m in="0">
        <tpls c="4">
          <tpl fld="2" item="15"/>
          <tpl hier="10" item="4"/>
          <tpl hier="11" item="9"/>
          <tpl fld="0" item="1"/>
        </tpls>
      </m>
      <m in="0">
        <tpls c="5">
          <tpl fld="1" item="0"/>
          <tpl fld="2" item="9"/>
          <tpl hier="10" item="4"/>
          <tpl hier="11" item="9"/>
          <tpl fld="0" item="0"/>
        </tpls>
      </m>
      <m in="0">
        <tpls c="4">
          <tpl fld="2" item="4"/>
          <tpl hier="10" item="4"/>
          <tpl hier="11" item="9"/>
          <tpl fld="0" item="1"/>
        </tpls>
      </m>
      <n v="-6065" in="0">
        <tpls c="5">
          <tpl fld="1" item="8"/>
          <tpl fld="2" item="15"/>
          <tpl hier="10" item="4"/>
          <tpl hier="11" item="9"/>
          <tpl fld="0" item="0"/>
        </tpls>
      </n>
      <m in="0">
        <tpls c="5">
          <tpl fld="1" item="3"/>
          <tpl fld="2" item="8"/>
          <tpl hier="10" item="4"/>
          <tpl hier="11" item="9"/>
          <tpl fld="0" item="0"/>
        </tpls>
      </m>
      <n v="-421.75" in="0">
        <tpls c="5">
          <tpl fld="1" item="3"/>
          <tpl fld="2" item="11"/>
          <tpl hier="10" item="4"/>
          <tpl hier="11" item="9"/>
          <tpl fld="0" item="0"/>
        </tpls>
      </n>
      <m in="0">
        <tpls c="5">
          <tpl fld="1" item="11"/>
          <tpl fld="2" item="14"/>
          <tpl hier="10" item="4"/>
          <tpl hier="11" item="9"/>
          <tpl fld="0" item="1"/>
        </tpls>
      </m>
      <m in="0">
        <tpls c="5">
          <tpl fld="1" item="8"/>
          <tpl fld="2" item="15"/>
          <tpl hier="10" item="4"/>
          <tpl hier="11" item="9"/>
          <tpl fld="0" item="1"/>
        </tpls>
      </m>
      <m in="0">
        <tpls c="5">
          <tpl fld="1" item="3"/>
          <tpl fld="2" item="1"/>
          <tpl hier="10" item="4"/>
          <tpl hier="11" item="9"/>
          <tpl fld="0" item="1"/>
        </tpls>
      </m>
      <m in="0">
        <tpls c="5">
          <tpl fld="1" item="9"/>
          <tpl fld="2" item="1"/>
          <tpl hier="10" item="4"/>
          <tpl hier="11" item="9"/>
          <tpl fld="0" item="1"/>
        </tpls>
      </m>
      <m in="0">
        <tpls c="5">
          <tpl fld="1" item="9"/>
          <tpl fld="2" item="12"/>
          <tpl hier="10" item="4"/>
          <tpl hier="11" item="9"/>
          <tpl fld="0" item="1"/>
        </tpls>
      </m>
      <m in="0">
        <tpls c="5">
          <tpl fld="1" item="10"/>
          <tpl fld="2" item="14"/>
          <tpl hier="10" item="4"/>
          <tpl hier="11" item="9"/>
          <tpl fld="0" item="0"/>
        </tpls>
      </m>
      <n v="-4401.5" in="0">
        <tpls c="5">
          <tpl fld="1" item="0"/>
          <tpl fld="2" item="12"/>
          <tpl hier="10" item="4"/>
          <tpl hier="11" item="9"/>
          <tpl fld="0" item="0"/>
        </tpls>
      </n>
      <m in="0">
        <tpls c="5">
          <tpl fld="1" item="7"/>
          <tpl fld="2" item="5"/>
          <tpl hier="10" item="4"/>
          <tpl hier="11" item="9"/>
          <tpl fld="0" item="1"/>
        </tpls>
      </m>
      <n v="-5030.25" in="0">
        <tpls c="5">
          <tpl fld="1" item="11"/>
          <tpl fld="2" item="1"/>
          <tpl hier="10" item="4"/>
          <tpl hier="11" item="9"/>
          <tpl fld="0" item="0"/>
        </tpls>
      </n>
      <n v="-5471.25" in="0">
        <tpls c="5">
          <tpl fld="1" item="2"/>
          <tpl fld="2" item="12"/>
          <tpl hier="10" item="4"/>
          <tpl hier="11" item="9"/>
          <tpl fld="0" item="0"/>
        </tpls>
      </n>
      <m in="0">
        <tpls c="5">
          <tpl fld="1" item="8"/>
          <tpl fld="2" item="14"/>
          <tpl hier="10" item="4"/>
          <tpl hier="11" item="9"/>
          <tpl fld="0" item="0"/>
        </tpls>
      </m>
      <m in="0">
        <tpls c="5">
          <tpl fld="1" item="7"/>
          <tpl fld="2" item="15"/>
          <tpl hier="10" item="4"/>
          <tpl hier="11" item="9"/>
          <tpl fld="0" item="1"/>
        </tpls>
      </m>
      <m in="0">
        <tpls c="5">
          <tpl fld="1" item="2"/>
          <tpl fld="2" item="8"/>
          <tpl hier="10" item="4"/>
          <tpl hier="11" item="9"/>
          <tpl fld="0" item="0"/>
        </tpls>
      </m>
      <n v="-201260.25" in="0">
        <tpls c="5">
          <tpl fld="1" item="3"/>
          <tpl fld="2" item="0"/>
          <tpl hier="10" item="4"/>
          <tpl hier="11" item="9"/>
          <tpl fld="0" item="0"/>
        </tpls>
      </n>
      <m in="0">
        <tpls c="5">
          <tpl fld="1" item="8"/>
          <tpl fld="2" item="8"/>
          <tpl hier="10" item="4"/>
          <tpl hier="11" item="9"/>
          <tpl fld="0" item="1"/>
        </tpls>
      </m>
      <m in="0">
        <tpls c="5">
          <tpl fld="1" item="5"/>
          <tpl fld="2" item="12"/>
          <tpl hier="10" item="4"/>
          <tpl hier="11" item="9"/>
          <tpl fld="0" item="1"/>
        </tpls>
      </m>
      <m in="0">
        <tpls c="5">
          <tpl fld="1" item="8"/>
          <tpl fld="2" item="14"/>
          <tpl hier="10" item="4"/>
          <tpl hier="11" item="9"/>
          <tpl fld="0" item="1"/>
        </tpls>
      </m>
      <n v="-4444.5" in="0">
        <tpls c="5">
          <tpl fld="1" item="6"/>
          <tpl fld="2" item="15"/>
          <tpl hier="10" item="4"/>
          <tpl hier="11" item="9"/>
          <tpl fld="0" item="0"/>
        </tpls>
      </n>
      <n v="-17703" in="0">
        <tpls c="5">
          <tpl fld="1" item="10"/>
          <tpl fld="2" item="6"/>
          <tpl hier="10" item="4"/>
          <tpl hier="11" item="9"/>
          <tpl fld="0" item="0"/>
        </tpls>
      </n>
      <m in="0">
        <tpls c="5">
          <tpl fld="1" item="11"/>
          <tpl fld="2" item="4"/>
          <tpl hier="10" item="4"/>
          <tpl hier="11" item="9"/>
          <tpl fld="0" item="0"/>
        </tpls>
      </m>
      <m in="0">
        <tpls c="5">
          <tpl fld="1" item="0"/>
          <tpl fld="2" item="0"/>
          <tpl hier="10" item="4"/>
          <tpl hier="11" item="9"/>
          <tpl fld="0" item="1"/>
        </tpls>
      </m>
      <m in="0">
        <tpls c="5">
          <tpl fld="1" item="1"/>
          <tpl fld="2" item="2"/>
          <tpl hier="10" item="4"/>
          <tpl hier="11" item="9"/>
          <tpl fld="0" item="1"/>
        </tpls>
      </m>
      <m in="0">
        <tpls c="5">
          <tpl fld="1" item="11"/>
          <tpl fld="2" item="10"/>
          <tpl hier="10" item="4"/>
          <tpl hier="11" item="9"/>
          <tpl fld="0" item="1"/>
        </tpls>
      </m>
      <m in="0">
        <tpls c="5">
          <tpl fld="1" item="11"/>
          <tpl hier="9" item="4294967295"/>
          <tpl hier="10" item="4"/>
          <tpl hier="11" item="9"/>
          <tpl fld="0" item="1"/>
        </tpls>
      </m>
      <n v="-2695.75" in="0">
        <tpls c="5">
          <tpl fld="1" item="8"/>
          <tpl fld="2" item="3"/>
          <tpl hier="10" item="4"/>
          <tpl hier="11" item="9"/>
          <tpl fld="0" item="0"/>
        </tpls>
      </n>
      <m in="0">
        <tpls c="5">
          <tpl fld="1" item="10"/>
          <tpl fld="2" item="7"/>
          <tpl hier="10" item="4"/>
          <tpl hier="11" item="9"/>
          <tpl fld="0" item="1"/>
        </tpls>
      </m>
      <n v="-8735" in="0">
        <tpls c="5">
          <tpl fld="1" item="10"/>
          <tpl fld="2" item="10"/>
          <tpl hier="10" item="4"/>
          <tpl hier="11" item="9"/>
          <tpl fld="0" item="0"/>
        </tpls>
      </n>
      <n v="-308403.75" in="0">
        <tpls c="5">
          <tpl fld="1" item="11"/>
          <tpl fld="2" item="0"/>
          <tpl hier="10" item="4"/>
          <tpl hier="11" item="9"/>
          <tpl fld="0" item="0"/>
        </tpls>
      </n>
      <m in="0">
        <tpls c="5">
          <tpl fld="1" item="3"/>
          <tpl fld="2" item="4"/>
          <tpl hier="10" item="4"/>
          <tpl hier="11" item="9"/>
          <tpl fld="0" item="1"/>
        </tpls>
      </m>
      <m in="0">
        <tpls c="5">
          <tpl fld="1" item="10"/>
          <tpl fld="2" item="13"/>
          <tpl hier="10" item="4"/>
          <tpl hier="11" item="9"/>
          <tpl fld="0" item="1"/>
        </tpls>
      </m>
      <m in="0">
        <tpls c="5">
          <tpl fld="1" item="5"/>
          <tpl fld="2" item="3"/>
          <tpl hier="10" item="4"/>
          <tpl hier="11" item="9"/>
          <tpl fld="0" item="1"/>
        </tpls>
      </m>
      <n v="-4964.25" in="0">
        <tpls c="5">
          <tpl fld="1" item="8"/>
          <tpl fld="2" item="13"/>
          <tpl hier="10" item="4"/>
          <tpl hier="11" item="9"/>
          <tpl fld="0" item="0"/>
        </tpls>
      </n>
      <m in="0">
        <tpls c="5">
          <tpl fld="1" item="0"/>
          <tpl fld="2" item="2"/>
          <tpl hier="10" item="4"/>
          <tpl hier="11" item="9"/>
          <tpl fld="0" item="1"/>
        </tpls>
      </m>
      <n v="-2252" in="0">
        <tpls c="5">
          <tpl fld="1" item="6"/>
          <tpl fld="2" item="2"/>
          <tpl hier="10" item="4"/>
          <tpl hier="11" item="9"/>
          <tpl fld="0" item="0"/>
        </tpls>
      </n>
      <m in="0">
        <tpls c="5">
          <tpl fld="1" item="8"/>
          <tpl fld="2" item="10"/>
          <tpl hier="10" item="4"/>
          <tpl hier="11" item="9"/>
          <tpl fld="0" item="1"/>
        </tpls>
      </m>
      <n v="-2023" in="0">
        <tpls c="5">
          <tpl fld="1" item="0"/>
          <tpl fld="2" item="2"/>
          <tpl hier="10" item="4"/>
          <tpl hier="11" item="9"/>
          <tpl fld="0" item="0"/>
        </tpls>
      </n>
      <n v="-3421.5" in="0">
        <tpls c="5">
          <tpl fld="1" item="6"/>
          <tpl fld="2" item="13"/>
          <tpl hier="10" item="4"/>
          <tpl hier="11" item="9"/>
          <tpl fld="0" item="0"/>
        </tpls>
      </n>
      <m in="0">
        <tpls c="5">
          <tpl fld="1" item="10"/>
          <tpl fld="2" item="9"/>
          <tpl hier="10" item="4"/>
          <tpl hier="11" item="9"/>
          <tpl fld="0" item="0"/>
        </tpls>
      </m>
      <m in="0">
        <tpls c="5">
          <tpl fld="1" item="10"/>
          <tpl fld="2" item="1"/>
          <tpl hier="10" item="4"/>
          <tpl hier="11" item="9"/>
          <tpl fld="0" item="1"/>
        </tpls>
      </m>
      <m in="0">
        <tpls c="5">
          <tpl fld="1" item="8"/>
          <tpl fld="2" item="7"/>
          <tpl hier="10" item="4"/>
          <tpl hier="11" item="9"/>
          <tpl fld="0" item="1"/>
        </tpls>
      </m>
      <n v="-19611" in="0">
        <tpls c="5">
          <tpl fld="1" item="5"/>
          <tpl fld="2" item="6"/>
          <tpl hier="10" item="4"/>
          <tpl hier="11" item="9"/>
          <tpl fld="0" item="0"/>
        </tpls>
      </n>
      <m in="0">
        <tpls c="5">
          <tpl fld="1" item="4"/>
          <tpl fld="2" item="8"/>
          <tpl hier="10" item="4"/>
          <tpl hier="11" item="9"/>
          <tpl fld="0" item="0"/>
        </tpls>
      </m>
      <n v="-1399.25" in="0">
        <tpls c="5">
          <tpl fld="1" item="9"/>
          <tpl fld="2" item="5"/>
          <tpl hier="10" item="4"/>
          <tpl hier="11" item="9"/>
          <tpl fld="0" item="0"/>
        </tpls>
      </n>
      <m in="0">
        <tpls c="5">
          <tpl fld="1" item="10"/>
          <tpl hier="9" item="4294967295"/>
          <tpl hier="10" item="4"/>
          <tpl hier="11" item="9"/>
          <tpl fld="0" item="1"/>
        </tpls>
      </m>
      <n v="-4686" in="0">
        <tpls c="5">
          <tpl fld="1" item="9"/>
          <tpl fld="2" item="12"/>
          <tpl hier="10" item="4"/>
          <tpl hier="11" item="9"/>
          <tpl fld="0" item="0"/>
        </tpls>
      </n>
      <n v="-2532.5" in="0">
        <tpls c="5">
          <tpl fld="1" item="5"/>
          <tpl fld="2" item="2"/>
          <tpl hier="10" item="4"/>
          <tpl hier="11" item="9"/>
          <tpl fld="0" item="0"/>
        </tpls>
      </n>
      <m in="0">
        <tpls c="5">
          <tpl fld="1" item="7"/>
          <tpl fld="2" item="4"/>
          <tpl hier="10" item="4"/>
          <tpl hier="11" item="9"/>
          <tpl fld="0" item="0"/>
        </tpls>
      </m>
      <n v="-19584" in="0">
        <tpls c="5">
          <tpl fld="1" item="3"/>
          <tpl fld="2" item="6"/>
          <tpl hier="10" item="4"/>
          <tpl hier="11" item="9"/>
          <tpl fld="0" item="0"/>
        </tpls>
      </n>
      <m in="0">
        <tpls c="5">
          <tpl fld="1" item="4"/>
          <tpl fld="2" item="13"/>
          <tpl hier="10" item="4"/>
          <tpl hier="11" item="9"/>
          <tpl fld="0" item="1"/>
        </tpls>
      </m>
      <m in="0">
        <tpls c="5">
          <tpl fld="1" item="9"/>
          <tpl fld="2" item="15"/>
          <tpl hier="10" item="4"/>
          <tpl hier="11" item="9"/>
          <tpl fld="0" item="1"/>
        </tpls>
      </m>
      <n v="-2056.5" in="0">
        <tpls c="5">
          <tpl fld="1" item="1"/>
          <tpl fld="2" item="3"/>
          <tpl hier="10" item="4"/>
          <tpl hier="11" item="9"/>
          <tpl fld="0" item="0"/>
        </tpls>
      </n>
      <m in="0">
        <tpls c="5">
          <tpl fld="1" item="7"/>
          <tpl fld="2" item="8"/>
          <tpl hier="10" item="4"/>
          <tpl hier="11" item="9"/>
          <tpl fld="0" item="0"/>
        </tpls>
      </m>
      <n v="-15034.25" in="0">
        <tpls c="4">
          <tpl fld="2" item="5"/>
          <tpl hier="10" item="4"/>
          <tpl hier="11" item="9"/>
          <tpl fld="0" item="0"/>
        </tpls>
      </n>
      <n v="-9393.25" in="0">
        <tpls c="5">
          <tpl fld="1" item="1"/>
          <tpl fld="2" item="10"/>
          <tpl hier="10" item="4"/>
          <tpl hier="11" item="9"/>
          <tpl fld="0" item="0"/>
        </tpls>
      </n>
      <m in="0">
        <tpls c="5">
          <tpl fld="1" item="10"/>
          <tpl fld="2" item="0"/>
          <tpl hier="10" item="4"/>
          <tpl hier="11" item="9"/>
          <tpl fld="0" item="1"/>
        </tpls>
      </m>
      <m in="0">
        <tpls c="5">
          <tpl fld="1" item="3"/>
          <tpl fld="2" item="12"/>
          <tpl hier="10" item="4"/>
          <tpl hier="11" item="9"/>
          <tpl fld="0" item="1"/>
        </tpls>
      </m>
      <m in="0">
        <tpls c="4">
          <tpl fld="2" item="9"/>
          <tpl hier="10" item="4"/>
          <tpl hier="11" item="9"/>
          <tpl fld="0" item="0"/>
        </tpls>
      </m>
      <n v="-3962.5" in="0">
        <tpls c="5">
          <tpl fld="1" item="2"/>
          <tpl fld="2" item="1"/>
          <tpl hier="10" item="4"/>
          <tpl hier="11" item="9"/>
          <tpl fld="0" item="0"/>
        </tpls>
      </n>
      <m in="0">
        <tpls c="4">
          <tpl fld="2" item="14"/>
          <tpl hier="10" item="4"/>
          <tpl hier="11" item="9"/>
          <tpl fld="0" item="0"/>
        </tpls>
      </m>
      <m in="0">
        <tpls c="5">
          <tpl fld="1" item="2"/>
          <tpl fld="2" item="10"/>
          <tpl hier="10" item="4"/>
          <tpl hier="11" item="9"/>
          <tpl fld="0" item="1"/>
        </tpls>
      </m>
      <m in="0">
        <tpls c="5">
          <tpl fld="1" item="6"/>
          <tpl fld="2" item="8"/>
          <tpl hier="10" item="4"/>
          <tpl hier="11" item="9"/>
          <tpl fld="0" item="1"/>
        </tpls>
      </m>
      <n v="-55781.25" in="0">
        <tpls c="4">
          <tpl fld="2" item="1"/>
          <tpl hier="10" item="4"/>
          <tpl hier="11" item="9"/>
          <tpl fld="0" item="0"/>
        </tpls>
      </n>
      <m in="0">
        <tpls c="5">
          <tpl fld="1" item="8"/>
          <tpl fld="2" item="6"/>
          <tpl hier="10" item="4"/>
          <tpl hier="11" item="9"/>
          <tpl fld="0" item="1"/>
        </tpls>
      </m>
      <m in="0">
        <tpls c="4">
          <tpl fld="2" item="8"/>
          <tpl hier="10" item="4"/>
          <tpl hier="11" item="9"/>
          <tpl fld="0" item="0"/>
        </tpls>
      </m>
      <m in="0">
        <tpls c="5">
          <tpl fld="1" item="1"/>
          <tpl hier="9" item="4294967295"/>
          <tpl hier="10" item="4"/>
          <tpl hier="11" item="9"/>
          <tpl fld="0" item="1"/>
        </tpls>
      </m>
      <m in="0">
        <tpls c="5">
          <tpl fld="1" item="8"/>
          <tpl fld="2" item="4"/>
          <tpl hier="10" item="4"/>
          <tpl hier="11" item="9"/>
          <tpl fld="0" item="0"/>
        </tpls>
      </m>
      <m in="0">
        <tpls c="5">
          <tpl fld="1" item="4"/>
          <tpl fld="2" item="8"/>
          <tpl hier="10" item="4"/>
          <tpl hier="11" item="9"/>
          <tpl fld="0" item="1"/>
        </tpls>
      </m>
      <n v="-9943" in="0">
        <tpls c="5">
          <tpl fld="1" item="7"/>
          <tpl fld="2" item="10"/>
          <tpl hier="10" item="4"/>
          <tpl hier="11" item="9"/>
          <tpl fld="0" item="0"/>
        </tpls>
      </n>
      <n v="-6521.75" in="0">
        <tpls c="5">
          <tpl fld="1" item="1"/>
          <tpl fld="2" item="15"/>
          <tpl hier="10" item="4"/>
          <tpl hier="11" item="9"/>
          <tpl fld="0" item="0"/>
        </tpls>
      </n>
      <n v="-1092.75" in="0">
        <tpls c="5">
          <tpl fld="1" item="2"/>
          <tpl fld="2" item="5"/>
          <tpl hier="10" item="4"/>
          <tpl hier="11" item="9"/>
          <tpl fld="0" item="0"/>
        </tpls>
      </n>
      <n v="-249746" in="0">
        <tpls c="5">
          <tpl fld="1" item="10"/>
          <tpl hier="9" item="4294967295"/>
          <tpl hier="10" item="4"/>
          <tpl hier="11" item="9"/>
          <tpl fld="0" item="0"/>
        </tpls>
      </n>
      <m in="0">
        <tpls c="5">
          <tpl fld="1" item="2"/>
          <tpl fld="2" item="5"/>
          <tpl hier="10" item="4"/>
          <tpl hier="11" item="9"/>
          <tpl fld="0" item="1"/>
        </tpls>
      </m>
      <m in="0">
        <tpls c="5">
          <tpl fld="1" item="8"/>
          <tpl fld="2" item="13"/>
          <tpl hier="10" item="4"/>
          <tpl hier="11" item="9"/>
          <tpl fld="0" item="1"/>
        </tpls>
      </m>
      <m in="0">
        <tpls c="5">
          <tpl fld="1" item="6"/>
          <tpl fld="2" item="15"/>
          <tpl hier="10" item="4"/>
          <tpl hier="11" item="9"/>
          <tpl fld="0" item="1"/>
        </tpls>
      </m>
      <m in="0">
        <tpls c="5">
          <tpl fld="1" item="7"/>
          <tpl fld="2" item="3"/>
          <tpl hier="10" item="4"/>
          <tpl hier="11" item="9"/>
          <tpl fld="0" item="1"/>
        </tpls>
      </m>
      <m in="0">
        <tpls c="5">
          <tpl fld="1" item="9"/>
          <tpl fld="2" item="14"/>
          <tpl hier="10" item="4"/>
          <tpl hier="11" item="9"/>
          <tpl fld="0" item="1"/>
        </tpls>
      </m>
      <n v="-1961.25" in="0">
        <tpls c="5">
          <tpl fld="1" item="7"/>
          <tpl fld="2" item="2"/>
          <tpl hier="10" item="4"/>
          <tpl hier="11" item="9"/>
          <tpl fld="0" item="0"/>
        </tpls>
      </n>
      <m in="0">
        <tpls c="4">
          <tpl fld="2" item="2"/>
          <tpl hier="10" item="4"/>
          <tpl hier="11" item="9"/>
          <tpl fld="0" item="1"/>
        </tpls>
      </m>
      <n v="-5396" in="0">
        <tpls c="5">
          <tpl fld="1" item="7"/>
          <tpl fld="2" item="15"/>
          <tpl hier="10" item="4"/>
          <tpl hier="11" item="9"/>
          <tpl fld="0" item="0"/>
        </tpls>
      </n>
      <n v="-210305.75" in="0">
        <tpls c="5">
          <tpl fld="1" item="0"/>
          <tpl fld="2" item="0"/>
          <tpl hier="10" item="4"/>
          <tpl hier="11" item="9"/>
          <tpl fld="0" item="0"/>
        </tpls>
      </n>
      <m in="0">
        <tpls c="5">
          <tpl fld="1" item="4"/>
          <tpl fld="2" item="7"/>
          <tpl hier="10" item="4"/>
          <tpl hier="11" item="9"/>
          <tpl fld="0" item="1"/>
        </tpls>
      </m>
      <m in="0">
        <tpls c="5">
          <tpl fld="1" item="0"/>
          <tpl fld="2" item="1"/>
          <tpl hier="10" item="4"/>
          <tpl hier="11" item="9"/>
          <tpl fld="0" item="1"/>
        </tpls>
      </m>
      <m in="0">
        <tpls c="5">
          <tpl fld="1" item="9"/>
          <tpl fld="2" item="6"/>
          <tpl hier="10" item="4"/>
          <tpl hier="11" item="9"/>
          <tpl fld="0" item="1"/>
        </tpls>
      </m>
      <m in="0">
        <tpls c="5">
          <tpl fld="1" item="10"/>
          <tpl fld="2" item="10"/>
          <tpl hier="10" item="4"/>
          <tpl hier="11" item="9"/>
          <tpl fld="0" item="1"/>
        </tpls>
      </m>
      <n v="-4808.25" in="0">
        <tpls c="5">
          <tpl fld="1" item="0"/>
          <tpl fld="2" item="1"/>
          <tpl hier="10" item="4"/>
          <tpl hier="11" item="9"/>
          <tpl fld="0" item="0"/>
        </tpls>
      </n>
      <n v="-3917.75" in="0">
        <tpls c="5">
          <tpl fld="1" item="1"/>
          <tpl fld="2" item="1"/>
          <tpl hier="10" item="4"/>
          <tpl hier="11" item="9"/>
          <tpl fld="0" item="0"/>
        </tpls>
      </n>
      <m in="0">
        <tpls c="5">
          <tpl fld="1" item="1"/>
          <tpl fld="2" item="12"/>
          <tpl hier="10" item="4"/>
          <tpl hier="11" item="9"/>
          <tpl fld="0" item="1"/>
        </tpls>
      </m>
      <n v="-236134.5" in="0">
        <tpls c="5">
          <tpl fld="1" item="7"/>
          <tpl fld="2" item="0"/>
          <tpl hier="10" item="4"/>
          <tpl hier="11" item="9"/>
          <tpl fld="0" item="0"/>
        </tpls>
      </n>
      <m in="0">
        <tpls c="5">
          <tpl fld="1" item="9"/>
          <tpl fld="2" item="4"/>
          <tpl hier="10" item="4"/>
          <tpl hier="11" item="9"/>
          <tpl fld="0" item="1"/>
        </tpls>
      </m>
      <m in="0">
        <tpls c="5">
          <tpl fld="1" item="3"/>
          <tpl fld="2" item="10"/>
          <tpl hier="10" item="4"/>
          <tpl hier="11" item="9"/>
          <tpl fld="0" item="1"/>
        </tpls>
      </m>
      <m in="0">
        <tpls c="5">
          <tpl fld="1" item="2"/>
          <tpl fld="2" item="4"/>
          <tpl hier="10" item="4"/>
          <tpl hier="11" item="9"/>
          <tpl fld="0" item="0"/>
        </tpls>
      </m>
      <n v="-334537" in="0">
        <tpls c="5">
          <tpl fld="1" item="1"/>
          <tpl hier="9" item="4294967295"/>
          <tpl hier="10" item="4"/>
          <tpl hier="11" item="9"/>
          <tpl fld="0" item="0"/>
        </tpls>
      </n>
      <m in="0">
        <tpls c="5">
          <tpl fld="1" item="11"/>
          <tpl fld="2" item="8"/>
          <tpl hier="10" item="4"/>
          <tpl hier="11" item="9"/>
          <tpl fld="0" item="1"/>
        </tpls>
      </m>
      <m in="0">
        <tpls c="5">
          <tpl fld="1" item="1"/>
          <tpl fld="2" item="6"/>
          <tpl hier="10" item="4"/>
          <tpl hier="11" item="9"/>
          <tpl fld="0" item="1"/>
        </tpls>
      </m>
      <m in="0">
        <tpls c="5">
          <tpl fld="1" item="0"/>
          <tpl fld="2" item="7"/>
          <tpl hier="10" item="4"/>
          <tpl hier="11" item="9"/>
          <tpl fld="0" item="1"/>
        </tpls>
      </m>
      <n v="-1206.25" in="0">
        <tpls c="5">
          <tpl fld="1" item="1"/>
          <tpl fld="2" item="5"/>
          <tpl hier="10" item="4"/>
          <tpl hier="11" item="9"/>
          <tpl fld="0" item="0"/>
        </tpls>
      </n>
      <m in="0">
        <tpls c="5">
          <tpl fld="1" item="0"/>
          <tpl fld="2" item="7"/>
          <tpl hier="10" item="4"/>
          <tpl hier="11" item="9"/>
          <tpl fld="0" item="0"/>
        </tpls>
      </m>
      <m in="0">
        <tpls c="5">
          <tpl fld="1" item="7"/>
          <tpl fld="2" item="2"/>
          <tpl hier="10" item="4"/>
          <tpl hier="11" item="9"/>
          <tpl fld="0" item="1"/>
        </tpls>
      </m>
      <m in="0">
        <tpls c="5">
          <tpl fld="1" item="8"/>
          <tpl hier="9" item="4294967295"/>
          <tpl hier="10" item="4"/>
          <tpl hier="11" item="9"/>
          <tpl fld="0" item="1"/>
        </tpls>
      </m>
      <m in="0">
        <tpls c="5">
          <tpl fld="1" item="1"/>
          <tpl fld="2" item="9"/>
          <tpl hier="10" item="4"/>
          <tpl hier="11" item="9"/>
          <tpl fld="0" item="0"/>
        </tpls>
      </m>
      <m in="0">
        <tpls c="5">
          <tpl fld="1" item="2"/>
          <tpl fld="2" item="7"/>
          <tpl hier="10" item="4"/>
          <tpl hier="11" item="9"/>
          <tpl fld="0" item="1"/>
        </tpls>
      </m>
      <n v="-2873.5" in="0">
        <tpls c="5">
          <tpl fld="1" item="8"/>
          <tpl fld="2" item="2"/>
          <tpl hier="10" item="4"/>
          <tpl hier="11" item="9"/>
          <tpl fld="0" item="0"/>
        </tpls>
      </n>
      <m in="0">
        <tpls c="5">
          <tpl fld="1" item="6"/>
          <tpl fld="2" item="5"/>
          <tpl hier="10" item="4"/>
          <tpl hier="11" item="9"/>
          <tpl fld="0" item="1"/>
        </tpls>
      </m>
      <m in="0">
        <tpls c="5">
          <tpl fld="1" item="8"/>
          <tpl fld="2" item="7"/>
          <tpl hier="10" item="4"/>
          <tpl hier="11" item="9"/>
          <tpl fld="0" item="0"/>
        </tpls>
      </m>
      <n v="-4478.75" in="0">
        <tpls c="5">
          <tpl fld="1" item="4"/>
          <tpl fld="2" item="12"/>
          <tpl hier="10" item="4"/>
          <tpl hier="11" item="9"/>
          <tpl fld="0" item="0"/>
        </tpls>
      </n>
      <m in="0">
        <tpls c="5">
          <tpl fld="1" item="7"/>
          <tpl fld="2" item="7"/>
          <tpl hier="10" item="4"/>
          <tpl hier="11" item="9"/>
          <tpl fld="0" item="0"/>
        </tpls>
      </m>
      <m in="0">
        <tpls c="5">
          <tpl fld="1" item="4"/>
          <tpl fld="2" item="1"/>
          <tpl hier="10" item="4"/>
          <tpl hier="11" item="9"/>
          <tpl fld="0" item="1"/>
        </tpls>
      </m>
      <n v="-420.5" in="0">
        <tpls c="5">
          <tpl fld="1" item="6"/>
          <tpl fld="2" item="11"/>
          <tpl hier="10" item="4"/>
          <tpl hier="11" item="9"/>
          <tpl fld="0" item="0"/>
        </tpls>
      </n>
      <n v="-3307.5" in="0">
        <tpls c="5">
          <tpl fld="1" item="2"/>
          <tpl fld="2" item="13"/>
          <tpl hier="10" item="4"/>
          <tpl hier="11" item="9"/>
          <tpl fld="0" item="0"/>
        </tpls>
      </n>
      <n v="-1649.75" in="0">
        <tpls c="5">
          <tpl fld="1" item="4"/>
          <tpl fld="2" item="5"/>
          <tpl hier="10" item="4"/>
          <tpl hier="11" item="9"/>
          <tpl fld="0" item="0"/>
        </tpls>
      </n>
      <m in="0">
        <tpls c="5">
          <tpl fld="1" item="10"/>
          <tpl fld="2" item="14"/>
          <tpl hier="10" item="4"/>
          <tpl hier="11" item="9"/>
          <tpl fld="0" item="1"/>
        </tpls>
      </m>
      <m in="0">
        <tpls c="4">
          <tpl fld="2" item="6"/>
          <tpl hier="10" item="4"/>
          <tpl hier="11" item="9"/>
          <tpl fld="0" item="1"/>
        </tpls>
      </m>
      <m in="0">
        <tpls c="5">
          <tpl fld="1" item="6"/>
          <tpl hier="9" item="4294967295"/>
          <tpl hier="10" item="4"/>
          <tpl hier="11" item="9"/>
          <tpl fld="0" item="1"/>
        </tpls>
      </m>
      <n v="-4904.25" in="0">
        <tpls c="5">
          <tpl fld="1" item="11"/>
          <tpl fld="2" item="15"/>
          <tpl hier="10" item="4"/>
          <tpl hier="11" item="9"/>
          <tpl fld="0" item="0"/>
        </tpls>
      </n>
      <m in="0">
        <tpls c="5">
          <tpl fld="1" item="0"/>
          <tpl fld="2" item="10"/>
          <tpl hier="10" item="4"/>
          <tpl hier="11" item="9"/>
          <tpl fld="0" item="1"/>
        </tpls>
      </m>
      <n v="-3828.75" in="0">
        <tpls c="5">
          <tpl fld="1" item="7"/>
          <tpl fld="2" item="1"/>
          <tpl hier="10" item="4"/>
          <tpl hier="11" item="9"/>
          <tpl fld="0" item="0"/>
        </tpls>
      </n>
      <m in="0">
        <tpls c="5">
          <tpl fld="1" item="4"/>
          <tpl fld="2" item="3"/>
          <tpl hier="10" item="4"/>
          <tpl hier="11" item="9"/>
          <tpl fld="0" item="1"/>
        </tpls>
      </m>
      <m in="0">
        <tpls c="5">
          <tpl fld="1" item="6"/>
          <tpl fld="2" item="7"/>
          <tpl hier="10" item="4"/>
          <tpl hier="11" item="9"/>
          <tpl fld="0" item="0"/>
        </tpls>
      </m>
      <n v="-3873.25" in="0">
        <tpls c="5">
          <tpl fld="1" item="1"/>
          <tpl fld="2" item="13"/>
          <tpl hier="10" item="4"/>
          <tpl hier="11" item="9"/>
          <tpl fld="0" item="0"/>
        </tpls>
      </n>
      <m in="0">
        <tpls c="5">
          <tpl fld="1" item="4"/>
          <tpl fld="2" item="14"/>
          <tpl hier="10" item="4"/>
          <tpl hier="11" item="9"/>
          <tpl fld="0" item="1"/>
        </tpls>
      </m>
      <m in="0">
        <tpls c="4">
          <tpl hier="9" item="4294967295"/>
          <tpl hier="10" item="4"/>
          <tpl hier="11" item="9"/>
          <tpl fld="0" item="1"/>
        </tpls>
      </m>
      <m in="0">
        <tpls c="5">
          <tpl fld="1" item="0"/>
          <tpl fld="2" item="11"/>
          <tpl hier="10" item="4"/>
          <tpl hier="11" item="9"/>
          <tpl fld="0" item="1"/>
        </tpls>
      </m>
      <m in="0">
        <tpls c="5">
          <tpl fld="1" item="2"/>
          <tpl fld="2" item="7"/>
          <tpl hier="10" item="4"/>
          <tpl hier="11" item="9"/>
          <tpl fld="0" item="0"/>
        </tpls>
      </m>
      <m in="0">
        <tpls c="5">
          <tpl fld="1" item="4"/>
          <tpl fld="2" item="10"/>
          <tpl hier="10" item="4"/>
          <tpl hier="11" item="9"/>
          <tpl fld="0" item="1"/>
        </tpls>
      </m>
      <m in="0">
        <tpls c="5">
          <tpl fld="1" item="11"/>
          <tpl fld="2" item="12"/>
          <tpl hier="10" item="4"/>
          <tpl hier="11" item="9"/>
          <tpl fld="0" item="1"/>
        </tpls>
      </m>
      <m in="0">
        <tpls c="5">
          <tpl fld="1" item="6"/>
          <tpl fld="2" item="7"/>
          <tpl hier="10" item="4"/>
          <tpl hier="11" item="9"/>
          <tpl fld="0" item="1"/>
        </tpls>
      </m>
      <m in="0">
        <tpls c="4">
          <tpl fld="2" item="11"/>
          <tpl hier="10" item="4"/>
          <tpl hier="11" item="9"/>
          <tpl fld="0" item="1"/>
        </tpls>
      </m>
      <n v="-14566" in="0">
        <tpls c="5">
          <tpl fld="1" item="4"/>
          <tpl fld="2" item="10"/>
          <tpl hier="10" item="4"/>
          <tpl hier="11" item="9"/>
          <tpl fld="0" item="0"/>
        </tpls>
      </n>
      <n v="-26934.5" in="0">
        <tpls c="4">
          <tpl fld="2" item="2"/>
          <tpl hier="10" item="4"/>
          <tpl hier="11" item="9"/>
          <tpl fld="0" item="0"/>
        </tpls>
      </n>
      <m in="0">
        <tpls c="5">
          <tpl fld="1" item="7"/>
          <tpl fld="2" item="14"/>
          <tpl hier="10" item="4"/>
          <tpl hier="11" item="9"/>
          <tpl fld="0" item="0"/>
        </tpls>
      </m>
      <m in="0">
        <tpls c="4">
          <tpl fld="2" item="7"/>
          <tpl hier="10" item="4"/>
          <tpl hier="11" item="9"/>
          <tpl fld="0" item="0"/>
        </tpls>
      </m>
      <n v="-4902.25" in="0">
        <tpls c="5">
          <tpl fld="1" item="5"/>
          <tpl fld="2" item="13"/>
          <tpl hier="10" item="4"/>
          <tpl hier="11" item="9"/>
          <tpl fld="0" item="0"/>
        </tpls>
      </n>
      <m in="0">
        <tpls c="4">
          <tpl fld="2" item="1"/>
          <tpl hier="10" item="4"/>
          <tpl hier="11" item="9"/>
          <tpl fld="0" item="1"/>
        </tpls>
      </m>
      <m in="0">
        <tpls c="5">
          <tpl fld="1" item="0"/>
          <tpl fld="2" item="12"/>
          <tpl hier="10" item="4"/>
          <tpl hier="11" item="9"/>
          <tpl fld="0" item="1"/>
        </tpls>
      </m>
      <m in="0">
        <tpls c="5">
          <tpl fld="1" item="2"/>
          <tpl fld="2" item="8"/>
          <tpl hier="10" item="4"/>
          <tpl hier="11" item="9"/>
          <tpl fld="0" item="1"/>
        </tpls>
      </m>
      <m in="0">
        <tpls c="5">
          <tpl fld="1" item="7"/>
          <tpl fld="2" item="0"/>
          <tpl hier="10" item="4"/>
          <tpl hier="11" item="9"/>
          <tpl fld="0" item="1"/>
        </tpls>
      </m>
      <m in="0">
        <tpls c="4">
          <tpl fld="2" item="7"/>
          <tpl hier="10" item="4"/>
          <tpl hier="11" item="9"/>
          <tpl fld="0" item="1"/>
        </tpls>
      </m>
      <m in="0">
        <tpls c="5">
          <tpl fld="1" item="5"/>
          <tpl fld="2" item="13"/>
          <tpl hier="10" item="4"/>
          <tpl hier="11" item="9"/>
          <tpl fld="0" item="1"/>
        </tpls>
      </m>
      <n v="-224153.75" in="0">
        <tpls c="4">
          <tpl fld="2" item="6"/>
          <tpl hier="10" item="4"/>
          <tpl hier="11" item="9"/>
          <tpl fld="0" item="0"/>
        </tpls>
      </n>
      <n v="-549" in="0">
        <tpls c="5">
          <tpl fld="1" item="11"/>
          <tpl fld="2" item="11"/>
          <tpl hier="10" item="4"/>
          <tpl hier="11" item="9"/>
          <tpl fld="0" item="0"/>
        </tpls>
      </n>
      <m in="0">
        <tpls c="5">
          <tpl fld="1" item="11"/>
          <tpl fld="2" item="3"/>
          <tpl hier="10" item="4"/>
          <tpl hier="11" item="9"/>
          <tpl fld="0" item="1"/>
        </tpls>
      </m>
      <n v="-141977" in="0">
        <tpls c="4">
          <tpl fld="2" item="10"/>
          <tpl hier="10" item="4"/>
          <tpl hier="11" item="9"/>
          <tpl fld="0" item="0"/>
        </tpls>
      </n>
      <m in="0">
        <tpls c="5">
          <tpl fld="1" item="11"/>
          <tpl fld="2" item="9"/>
          <tpl hier="10" item="4"/>
          <tpl hier="11" item="9"/>
          <tpl fld="0" item="0"/>
        </tpls>
      </m>
      <n v="-2718730.5" in="0">
        <tpls c="4">
          <tpl fld="2" item="0"/>
          <tpl hier="10" item="4"/>
          <tpl hier="11" item="9"/>
          <tpl fld="0" item="0"/>
        </tpls>
      </n>
      <m in="0">
        <tpls c="5">
          <tpl fld="1" item="8"/>
          <tpl fld="2" item="1"/>
          <tpl hier="10" item="4"/>
          <tpl hier="11" item="9"/>
          <tpl fld="0" item="1"/>
        </tpls>
      </m>
      <m in="0">
        <tpls c="4">
          <tpl fld="2" item="5"/>
          <tpl hier="10" item="4"/>
          <tpl hier="11" item="9"/>
          <tpl fld="0" item="1"/>
        </tpls>
      </m>
      <m in="0">
        <tpls c="4">
          <tpl fld="2" item="10"/>
          <tpl hier="10" item="4"/>
          <tpl hier="11" item="9"/>
          <tpl fld="0" item="1"/>
        </tpls>
      </m>
      <n v="-1222.5" in="0">
        <tpls c="5">
          <tpl fld="1" item="11"/>
          <tpl fld="2" item="5"/>
          <tpl hier="10" item="4"/>
          <tpl hier="11" item="9"/>
          <tpl fld="0" item="0"/>
        </tpls>
      </n>
      <n v="-27403" in="0">
        <tpls c="4">
          <tpl fld="2" item="3"/>
          <tpl hier="10" item="4"/>
          <tpl hier="11" item="9"/>
          <tpl fld="0" item="0"/>
        </tpls>
      </n>
      <m in="0">
        <tpls c="5">
          <tpl fld="1" item="8"/>
          <tpl fld="2" item="4"/>
          <tpl hier="10" item="4"/>
          <tpl hier="11" item="9"/>
          <tpl fld="0" item="1"/>
        </tpls>
      </m>
      <n v="-11101" in="0">
        <tpls c="5">
          <tpl fld="1" item="11"/>
          <tpl fld="2" item="10"/>
          <tpl hier="10" item="4"/>
          <tpl hier="11" item="9"/>
          <tpl fld="0" item="0"/>
        </tpls>
      </n>
      <m in="0">
        <tpls c="5">
          <tpl fld="1" item="9"/>
          <tpl hier="9" item="4294967295"/>
          <tpl hier="10" item="4"/>
          <tpl hier="11" item="9"/>
          <tpl fld="0" item="1"/>
        </tpls>
      </m>
      <n v="-2293.5" in="0">
        <tpls c="5">
          <tpl fld="1" item="3"/>
          <tpl fld="2" item="3"/>
          <tpl hier="10" item="4"/>
          <tpl hier="11" item="9"/>
          <tpl fld="0" item="0"/>
        </tpls>
      </n>
      <n v="-2225.5" in="0">
        <tpls c="5">
          <tpl fld="1" item="9"/>
          <tpl fld="2" item="2"/>
          <tpl hier="10" item="4"/>
          <tpl hier="11" item="9"/>
          <tpl fld="0" item="0"/>
        </tpls>
      </n>
      <n v="-1977.25" in="0">
        <tpls c="5">
          <tpl fld="1" item="11"/>
          <tpl fld="2" item="2"/>
          <tpl hier="10" item="4"/>
          <tpl hier="11" item="9"/>
          <tpl fld="0" item="0"/>
        </tpls>
      </n>
      <n v="-463.75" in="0">
        <tpls c="5">
          <tpl fld="1" item="10"/>
          <tpl fld="2" item="11"/>
          <tpl hier="10" item="4"/>
          <tpl hier="11" item="9"/>
          <tpl fld="0" item="0"/>
        </tpls>
      </n>
      <m in="0">
        <tpls c="5">
          <tpl fld="1" item="1"/>
          <tpl fld="2" item="3"/>
          <tpl hier="10" item="4"/>
          <tpl hier="11" item="9"/>
          <tpl fld="0" item="1"/>
        </tpls>
      </m>
      <m in="0">
        <tpls c="5">
          <tpl fld="1" item="2"/>
          <tpl fld="2" item="12"/>
          <tpl hier="10" item="4"/>
          <tpl hier="11" item="9"/>
          <tpl fld="0" item="1"/>
        </tpls>
      </m>
      <m in="0">
        <tpls c="4">
          <tpl fld="2" item="4"/>
          <tpl hier="10" item="4"/>
          <tpl hier="11" item="9"/>
          <tpl fld="0" item="0"/>
        </tpls>
      </m>
      <m in="0">
        <tpls c="5">
          <tpl fld="1" item="5"/>
          <tpl fld="2" item="8"/>
          <tpl hier="10" item="4"/>
          <tpl hier="11" item="9"/>
          <tpl fld="0" item="0"/>
        </tpls>
      </m>
      <n v="-5709.5" in="0">
        <tpls c="5">
          <tpl fld="1" item="1"/>
          <tpl fld="2" item="12"/>
          <tpl hier="10" item="4"/>
          <tpl hier="11" item="9"/>
          <tpl fld="0" item="0"/>
        </tpls>
      </n>
      <m in="0">
        <tpls c="5">
          <tpl fld="1" item="2"/>
          <tpl hier="9" item="4294967295"/>
          <tpl hier="10" item="4"/>
          <tpl hier="11" item="9"/>
          <tpl fld="0" item="1"/>
        </tpls>
      </m>
      <n v="-5555.75" in="0">
        <tpls c="5">
          <tpl fld="1" item="0"/>
          <tpl fld="2" item="15"/>
          <tpl hier="10" item="4"/>
          <tpl hier="11" item="9"/>
          <tpl fld="0" item="0"/>
        </tpls>
      </n>
      <m in="0">
        <tpls c="5">
          <tpl fld="1" item="10"/>
          <tpl fld="2" item="8"/>
          <tpl hier="10" item="4"/>
          <tpl hier="11" item="9"/>
          <tpl fld="0" item="1"/>
        </tpls>
      </m>
      <n v="-487.75" in="0">
        <tpls c="5">
          <tpl fld="1" item="4"/>
          <tpl fld="2" item="11"/>
          <tpl hier="10" item="4"/>
          <tpl hier="11" item="9"/>
          <tpl fld="0" item="0"/>
        </tpls>
      </n>
      <n v="-5750" in="0">
        <tpls c="5">
          <tpl fld="1" item="11"/>
          <tpl fld="2" item="12"/>
          <tpl hier="10" item="4"/>
          <tpl hier="11" item="9"/>
          <tpl fld="0" item="0"/>
        </tpls>
      </n>
      <n v="-4756.25" in="0">
        <tpls c="5">
          <tpl fld="1" item="5"/>
          <tpl fld="2" item="12"/>
          <tpl hier="10" item="4"/>
          <tpl hier="11" item="9"/>
          <tpl fld="0" item="0"/>
        </tpls>
      </n>
      <m in="0">
        <tpls c="5">
          <tpl fld="1" item="2"/>
          <tpl fld="2" item="15"/>
          <tpl hier="10" item="4"/>
          <tpl hier="11" item="9"/>
          <tpl fld="0" item="1"/>
        </tpls>
      </m>
      <n v="-15497" in="0">
        <tpls c="5">
          <tpl fld="1" item="6"/>
          <tpl fld="2" item="6"/>
          <tpl hier="10" item="4"/>
          <tpl hier="11" item="9"/>
          <tpl fld="0" item="0"/>
        </tpls>
      </n>
      <n v="-5938.75" in="0">
        <tpls c="5">
          <tpl fld="1" item="8"/>
          <tpl fld="2" item="1"/>
          <tpl hier="10" item="4"/>
          <tpl hier="11" item="9"/>
          <tpl fld="0" item="0"/>
        </tpls>
      </n>
      <m in="0">
        <tpls c="5">
          <tpl fld="1" item="9"/>
          <tpl fld="2" item="9"/>
          <tpl hier="10" item="4"/>
          <tpl hier="11" item="9"/>
          <tpl fld="0" item="0"/>
        </tpls>
      </m>
      <n v="-5290" in="0">
        <tpls c="5">
          <tpl fld="1" item="9"/>
          <tpl fld="2" item="15"/>
          <tpl hier="10" item="4"/>
          <tpl hier="11" item="9"/>
          <tpl fld="0" item="0"/>
        </tpls>
      </n>
      <m in="0">
        <tpls c="5">
          <tpl fld="1" item="2"/>
          <tpl fld="2" item="11"/>
          <tpl hier="10" item="4"/>
          <tpl hier="11" item="9"/>
          <tpl fld="0" item="1"/>
        </tpls>
      </m>
      <m in="0">
        <tpls c="5">
          <tpl fld="1" item="4"/>
          <tpl fld="2" item="14"/>
          <tpl hier="10" item="4"/>
          <tpl hier="11" item="9"/>
          <tpl fld="0" item="0"/>
        </tpls>
      </m>
      <n v="-242447.25" in="0">
        <tpls c="5">
          <tpl fld="1" item="2"/>
          <tpl fld="2" item="0"/>
          <tpl hier="10" item="4"/>
          <tpl hier="11" item="9"/>
          <tpl fld="0" item="0"/>
        </tpls>
      </n>
      <m in="0">
        <tpls c="5">
          <tpl fld="1" item="11"/>
          <tpl fld="2" item="1"/>
          <tpl hier="10" item="4"/>
          <tpl hier="11" item="9"/>
          <tpl fld="0" item="1"/>
        </tpls>
      </m>
      <n v="-233387.25" in="0">
        <tpls c="5">
          <tpl fld="1" item="5"/>
          <tpl fld="2" item="0"/>
          <tpl hier="10" item="4"/>
          <tpl hier="11" item="9"/>
          <tpl fld="0" item="0"/>
        </tpls>
      </n>
      <m in="0">
        <tpls c="5">
          <tpl fld="1" item="11"/>
          <tpl fld="2" item="9"/>
          <tpl hier="10" item="4"/>
          <tpl hier="11" item="9"/>
          <tpl fld="0" item="1"/>
        </tpls>
      </m>
      <m in="0">
        <tpls c="5">
          <tpl fld="1" item="6"/>
          <tpl fld="2" item="4"/>
          <tpl hier="10" item="4"/>
          <tpl hier="11" item="9"/>
          <tpl fld="0" item="0"/>
        </tpls>
      </m>
      <m in="0">
        <tpls c="5">
          <tpl fld="1" item="4"/>
          <tpl fld="2" item="4"/>
          <tpl hier="10" item="4"/>
          <tpl hier="11" item="9"/>
          <tpl fld="0" item="1"/>
        </tpls>
      </m>
      <n v="-5220.25" in="0">
        <tpls c="5">
          <tpl fld="1" item="3"/>
          <tpl fld="2" item="12"/>
          <tpl hier="10" item="4"/>
          <tpl hier="11" item="9"/>
          <tpl fld="0" item="0"/>
        </tpls>
      </n>
      <n v="-535.75" in="0">
        <tpls c="5">
          <tpl fld="1" item="2"/>
          <tpl fld="2" item="11"/>
          <tpl hier="10" item="4"/>
          <tpl hier="11" item="9"/>
          <tpl fld="0" item="0"/>
        </tpls>
      </n>
      <m in="0">
        <tpls c="5">
          <tpl fld="1" item="5"/>
          <tpl fld="2" item="8"/>
          <tpl hier="10" item="4"/>
          <tpl hier="11" item="9"/>
          <tpl fld="0" item="1"/>
        </tpls>
      </m>
      <n v="-1048.5" in="0">
        <tpls c="5">
          <tpl fld="1" item="7"/>
          <tpl fld="2" item="5"/>
          <tpl hier="10" item="4"/>
          <tpl hier="11" item="9"/>
          <tpl fld="0" item="0"/>
        </tpls>
      </n>
      <m in="0">
        <tpls c="5">
          <tpl fld="1" item="7"/>
          <tpl fld="2" item="7"/>
          <tpl hier="10" item="4"/>
          <tpl hier="11" item="9"/>
          <tpl fld="0" item="1"/>
        </tpls>
      </m>
      <n v="-8791.25" in="0">
        <tpls c="5">
          <tpl fld="1" item="2"/>
          <tpl fld="2" item="10"/>
          <tpl hier="10" item="4"/>
          <tpl hier="11" item="9"/>
          <tpl fld="0" item="0"/>
        </tpls>
      </n>
      <m in="0">
        <tpls c="5">
          <tpl fld="1" item="6"/>
          <tpl fld="2" item="11"/>
          <tpl hier="10" item="4"/>
          <tpl hier="11" item="9"/>
          <tpl fld="0" item="1"/>
        </tpls>
      </m>
      <m in="0">
        <tpls c="5">
          <tpl fld="1" item="2"/>
          <tpl fld="2" item="13"/>
          <tpl hier="10" item="4"/>
          <tpl hier="11" item="9"/>
          <tpl fld="0" item="1"/>
        </tpls>
      </m>
      <m in="0">
        <tpls c="5">
          <tpl fld="1" item="4"/>
          <tpl fld="2" item="4"/>
          <tpl hier="10" item="4"/>
          <tpl hier="11" item="9"/>
          <tpl fld="0" item="0"/>
        </tpls>
      </m>
      <m in="0">
        <tpls c="5">
          <tpl fld="1" item="7"/>
          <tpl fld="2" item="14"/>
          <tpl hier="10" item="4"/>
          <tpl hier="11" item="9"/>
          <tpl fld="0" item="1"/>
        </tpls>
      </m>
      <m in="0">
        <tpls c="4">
          <tpl fld="2" item="8"/>
          <tpl hier="10" item="4"/>
          <tpl hier="11" item="9"/>
          <tpl fld="0" item="1"/>
        </tpls>
      </m>
      <n v="-3406790" in="0">
        <tpls c="4">
          <tpl hier="9" item="4294967295"/>
          <tpl hier="10" item="4"/>
          <tpl hier="11" item="9"/>
          <tpl fld="0" item="0"/>
        </tpls>
      </n>
      <n v="-7451.5" in="0">
        <tpls c="5">
          <tpl fld="1" item="10"/>
          <tpl fld="2" item="15"/>
          <tpl hier="10" item="4"/>
          <tpl hier="11" item="9"/>
          <tpl fld="0" item="0"/>
        </tpls>
      </n>
      <n v="-17479.25" in="0">
        <tpls c="5">
          <tpl fld="1" item="0"/>
          <tpl fld="2" item="10"/>
          <tpl hier="10" item="4"/>
          <tpl hier="11" item="9"/>
          <tpl fld="0" item="0"/>
        </tpls>
      </n>
      <n v="-2745.75" in="0">
        <tpls c="5">
          <tpl fld="1" item="2"/>
          <tpl fld="2" item="2"/>
          <tpl hier="10" item="4"/>
          <tpl hier="11" item="9"/>
          <tpl fld="0" item="0"/>
        </tpls>
      </n>
      <n v="-5630.5" in="0">
        <tpls c="5">
          <tpl fld="1" item="4"/>
          <tpl fld="2" item="13"/>
          <tpl hier="10" item="4"/>
          <tpl hier="11" item="9"/>
          <tpl fld="0" item="0"/>
        </tpls>
      </n>
      <m in="0">
        <tpls c="5">
          <tpl fld="1" item="1"/>
          <tpl fld="2" item="10"/>
          <tpl hier="10" item="4"/>
          <tpl hier="11" item="9"/>
          <tpl fld="0" item="1"/>
        </tpls>
      </m>
      <n v="-5886.5" in="0">
        <tpls c="4">
          <tpl fld="2" item="11"/>
          <tpl hier="10" item="4"/>
          <tpl hier="11" item="9"/>
          <tpl fld="0" item="0"/>
        </tpls>
      </n>
      <m in="0">
        <tpls c="4">
          <tpl fld="2" item="3"/>
          <tpl hier="10" item="4"/>
          <tpl hier="11" item="9"/>
          <tpl fld="0" item="1"/>
        </tpls>
      </m>
      <m in="0">
        <tpls c="5">
          <tpl fld="1" item="10"/>
          <tpl fld="2" item="15"/>
          <tpl hier="10" item="4"/>
          <tpl hier="11" item="9"/>
          <tpl fld="0" item="1"/>
        </tpls>
      </m>
      <m in="0">
        <tpls c="5">
          <tpl fld="1" item="1"/>
          <tpl fld="2" item="8"/>
          <tpl hier="10" item="4"/>
          <tpl hier="11" item="9"/>
          <tpl fld="0" item="1"/>
        </tpls>
      </m>
      <m in="0">
        <tpls c="5">
          <tpl fld="1" item="6"/>
          <tpl fld="2" item="3"/>
          <tpl hier="10" item="4"/>
          <tpl hier="11" item="9"/>
          <tpl fld="0" item="1"/>
        </tpls>
      </m>
      <m in="0">
        <tpls c="5">
          <tpl fld="1" item="8"/>
          <tpl fld="2" item="5"/>
          <tpl hier="10" item="4"/>
          <tpl hier="11" item="9"/>
          <tpl fld="0" item="1"/>
        </tpls>
      </m>
      <m in="0">
        <tpls c="5">
          <tpl fld="1" item="5"/>
          <tpl fld="2" item="10"/>
          <tpl hier="10" item="4"/>
          <tpl hier="11" item="9"/>
          <tpl fld="0" item="1"/>
        </tpls>
      </m>
      <m in="0">
        <tpls c="5">
          <tpl fld="1" item="1"/>
          <tpl fld="2" item="13"/>
          <tpl hier="10" item="4"/>
          <tpl hier="11" item="9"/>
          <tpl fld="0" item="1"/>
        </tpls>
      </m>
      <m in="0">
        <tpls c="5">
          <tpl fld="1" item="9"/>
          <tpl fld="2" item="14"/>
          <tpl hier="10" item="4"/>
          <tpl hier="11" item="9"/>
          <tpl fld="0" item="0"/>
        </tpls>
      </m>
      <n v="-544.25" in="0">
        <tpls c="5">
          <tpl fld="1" item="0"/>
          <tpl fld="2" item="11"/>
          <tpl hier="10" item="4"/>
          <tpl hier="11" item="9"/>
          <tpl fld="0" item="0"/>
        </tpls>
      </n>
      <m in="0">
        <tpls c="5">
          <tpl fld="1" item="7"/>
          <tpl fld="2" item="11"/>
          <tpl hier="10" item="4"/>
          <tpl hier="11" item="9"/>
          <tpl fld="0" item="1"/>
        </tpls>
      </m>
      <m in="0">
        <tpls c="5">
          <tpl fld="1" item="6"/>
          <tpl fld="2" item="13"/>
          <tpl hier="10" item="4"/>
          <tpl hier="11" item="9"/>
          <tpl fld="0" item="1"/>
        </tpls>
      </m>
      <n v="-13192.25" in="0">
        <tpls c="5">
          <tpl fld="1" item="6"/>
          <tpl fld="2" item="10"/>
          <tpl hier="10" item="4"/>
          <tpl hier="11" item="9"/>
          <tpl fld="0" item="0"/>
        </tpls>
      </n>
      <n v="-193394.25" in="0">
        <tpls c="5">
          <tpl fld="1" item="4"/>
          <tpl fld="2" item="0"/>
          <tpl hier="10" item="4"/>
          <tpl hier="11" item="9"/>
          <tpl fld="0" item="0"/>
        </tpls>
      </n>
      <n v="-61053.75" in="0">
        <tpls c="4">
          <tpl fld="2" item="13"/>
          <tpl hier="10" item="4"/>
          <tpl hier="11" item="9"/>
          <tpl fld="0" item="0"/>
        </tpls>
      </n>
      <m in="0">
        <tpls c="5">
          <tpl fld="1" item="3"/>
          <tpl fld="2" item="2"/>
          <tpl hier="10" item="4"/>
          <tpl hier="11" item="9"/>
          <tpl fld="0" item="1"/>
        </tpls>
      </m>
      <m in="0">
        <tpls c="5">
          <tpl fld="1" item="1"/>
          <tpl fld="2" item="0"/>
          <tpl hier="10" item="4"/>
          <tpl hier="11" item="9"/>
          <tpl fld="0" item="1"/>
        </tpls>
      </m>
      <m in="0">
        <tpls c="5">
          <tpl fld="1" item="6"/>
          <tpl fld="2" item="10"/>
          <tpl hier="10" item="4"/>
          <tpl hier="11" item="9"/>
          <tpl fld="0" item="1"/>
        </tpls>
      </m>
      <n v="-5693.5" in="0">
        <tpls c="5">
          <tpl fld="1" item="4"/>
          <tpl fld="2" item="1"/>
          <tpl hier="10" item="4"/>
          <tpl hier="11" item="9"/>
          <tpl fld="0" item="0"/>
        </tpls>
      </n>
      <m in="0">
        <tpls c="5">
          <tpl fld="1" item="3"/>
          <tpl fld="2" item="7"/>
          <tpl hier="10" item="4"/>
          <tpl hier="11" item="9"/>
          <tpl fld="0" item="1"/>
        </tpls>
      </m>
      <m in="0">
        <tpls c="5">
          <tpl fld="1" item="8"/>
          <tpl fld="2" item="8"/>
          <tpl hier="10" item="4"/>
          <tpl hier="11" item="9"/>
          <tpl fld="0" item="0"/>
        </tpls>
      </m>
      <n v="-6788" in="0">
        <tpls c="5">
          <tpl fld="1" item="9"/>
          <tpl fld="2" item="13"/>
          <tpl hier="10" item="4"/>
          <tpl hier="11" item="9"/>
          <tpl fld="0" item="0"/>
        </tpls>
      </n>
      <n v="-295431.75" in="0">
        <tpls c="5">
          <tpl fld="1" item="2"/>
          <tpl hier="9" item="4294967295"/>
          <tpl hier="10" item="4"/>
          <tpl hier="11" item="9"/>
          <tpl fld="0" item="0"/>
        </tpls>
      </n>
      <m in="0">
        <tpls c="5">
          <tpl fld="1" item="0"/>
          <tpl fld="2" item="13"/>
          <tpl hier="10" item="4"/>
          <tpl hier="11" item="9"/>
          <tpl fld="0" item="1"/>
        </tpls>
      </m>
      <m in="0">
        <tpls c="5">
          <tpl fld="1" item="1"/>
          <tpl fld="2" item="5"/>
          <tpl hier="10" item="4"/>
          <tpl hier="11" item="9"/>
          <tpl fld="0" item="1"/>
        </tpls>
      </m>
      <n v="-2067.5" in="0">
        <tpls c="5">
          <tpl fld="1" item="4"/>
          <tpl fld="2" item="2"/>
          <tpl hier="10" item="4"/>
          <tpl hier="11" item="9"/>
          <tpl fld="0" item="0"/>
        </tpls>
      </n>
      <m in="0">
        <tpls c="5">
          <tpl fld="1" item="9"/>
          <tpl fld="2" item="13"/>
          <tpl hier="10" item="4"/>
          <tpl hier="11" item="9"/>
          <tpl fld="0" item="1"/>
        </tpls>
      </m>
      <m in="0">
        <tpls c="5">
          <tpl fld="1" item="0"/>
          <tpl hier="9" item="4294967295"/>
          <tpl hier="10" item="4"/>
          <tpl hier="11" item="9"/>
          <tpl fld="0" item="1"/>
        </tpls>
      </m>
      <n v="-19045.25" in="0">
        <tpls c="5">
          <tpl fld="1" item="4"/>
          <tpl fld="2" item="6"/>
          <tpl hier="10" item="4"/>
          <tpl hier="11" item="9"/>
          <tpl fld="0" item="0"/>
        </tpls>
      </n>
      <m in="0">
        <tpls c="5">
          <tpl fld="1" item="4"/>
          <tpl fld="2" item="2"/>
          <tpl hier="10" item="4"/>
          <tpl hier="11" item="9"/>
          <tpl fld="0" item="1"/>
        </tpls>
      </m>
      <m in="0">
        <tpls c="5">
          <tpl fld="1" item="4"/>
          <tpl fld="2" item="12"/>
          <tpl hier="10" item="4"/>
          <tpl hier="11" item="9"/>
          <tpl fld="0" item="1"/>
        </tpls>
      </m>
      <m in="0">
        <tpls c="5">
          <tpl fld="1" item="6"/>
          <tpl fld="2" item="14"/>
          <tpl hier="10" item="4"/>
          <tpl hier="11" item="9"/>
          <tpl fld="0" item="0"/>
        </tpls>
      </m>
      <m in="0">
        <tpls c="5">
          <tpl fld="1" item="7"/>
          <tpl fld="2" item="8"/>
          <tpl hier="10" item="4"/>
          <tpl hier="11" item="9"/>
          <tpl fld="0" item="1"/>
        </tpls>
      </m>
      <m in="0">
        <tpls c="5">
          <tpl fld="1" item="6"/>
          <tpl fld="2" item="14"/>
          <tpl hier="10" item="4"/>
          <tpl hier="11" item="9"/>
          <tpl fld="0" item="1"/>
        </tpls>
      </m>
      <m in="0">
        <tpls c="5">
          <tpl fld="1" item="11"/>
          <tpl fld="2" item="7"/>
          <tpl hier="10" item="4"/>
          <tpl hier="11" item="9"/>
          <tpl fld="0" item="1"/>
        </tpls>
      </m>
      <m in="0">
        <tpls c="5">
          <tpl fld="1" item="6"/>
          <tpl fld="2" item="8"/>
          <tpl hier="10" item="4"/>
          <tpl hier="11" item="9"/>
          <tpl fld="0" item="0"/>
        </tpls>
      </m>
      <n v="-5689.5" in="0">
        <tpls c="5">
          <tpl fld="1" item="10"/>
          <tpl fld="2" item="13"/>
          <tpl hier="10" item="4"/>
          <tpl hier="11" item="9"/>
          <tpl fld="0" item="0"/>
        </tpls>
      </n>
      <m in="0">
        <tpls c="5">
          <tpl fld="1" item="0"/>
          <tpl fld="2" item="15"/>
          <tpl hier="10" item="4"/>
          <tpl hier="11" item="9"/>
          <tpl fld="0" item="1"/>
        </tpls>
      </m>
      <m in="0">
        <tpls c="5">
          <tpl fld="1" item="6"/>
          <tpl fld="2" item="0"/>
          <tpl hier="10" item="4"/>
          <tpl hier="11" item="9"/>
          <tpl fld="0" item="1"/>
        </tpls>
      </m>
      <n v="-1843.5" in="0">
        <tpls c="5">
          <tpl fld="1" item="5"/>
          <tpl fld="2" item="3"/>
          <tpl hier="10" item="4"/>
          <tpl hier="11" item="9"/>
          <tpl fld="0" item="0"/>
        </tpls>
      </n>
      <m in="0">
        <tpls c="4">
          <tpl fld="2" item="14"/>
          <tpl hier="10" item="4"/>
          <tpl hier="11" item="9"/>
          <tpl fld="0" item="1"/>
        </tpls>
      </m>
      <m in="0">
        <tpls c="5">
          <tpl fld="1" item="8"/>
          <tpl fld="2" item="3"/>
          <tpl hier="10" item="4"/>
          <tpl hier="11" item="9"/>
          <tpl fld="0" item="1"/>
        </tpls>
      </m>
      <m in="0">
        <tpls c="5">
          <tpl fld="1" item="9"/>
          <tpl fld="2" item="8"/>
          <tpl hier="10" item="4"/>
          <tpl hier="11" item="9"/>
          <tpl fld="0" item="1"/>
        </tpls>
      </m>
      <n v="-1828.75" in="0">
        <tpls c="5">
          <tpl fld="1" item="6"/>
          <tpl fld="2" item="3"/>
          <tpl hier="10" item="4"/>
          <tpl hier="11" item="9"/>
          <tpl fld="0" item="0"/>
        </tpls>
      </n>
      <m in="0">
        <tpls c="4">
          <tpl fld="2" item="9"/>
          <tpl hier="10" item="4"/>
          <tpl hier="11" item="9"/>
          <tpl fld="0" item="1"/>
        </tpls>
      </m>
      <n v="-261270.5" in="0">
        <tpls c="5">
          <tpl fld="1" item="3"/>
          <tpl hier="9" item="4294967295"/>
          <tpl hier="10" item="4"/>
          <tpl hier="11" item="9"/>
          <tpl fld="0" item="0"/>
        </tpls>
      </n>
      <m in="0">
        <tpls c="5">
          <tpl fld="1" item="8"/>
          <tpl fld="2" item="2"/>
          <tpl hier="10" item="4"/>
          <tpl hier="11" item="9"/>
          <tpl fld="0" item="1"/>
        </tpls>
      </m>
      <m in="0">
        <tpls c="5">
          <tpl fld="1" item="10"/>
          <tpl fld="2" item="12"/>
          <tpl hier="10" item="4"/>
          <tpl hier="11" item="9"/>
          <tpl fld="0" item="1"/>
        </tpls>
      </m>
      <m in="0">
        <tpls c="5">
          <tpl fld="1" item="0"/>
          <tpl fld="2" item="3"/>
          <tpl hier="10" item="4"/>
          <tpl hier="11" item="9"/>
          <tpl fld="0" item="1"/>
        </tpls>
      </m>
      <m in="0">
        <tpls c="5">
          <tpl fld="1" item="11"/>
          <tpl fld="2" item="11"/>
          <tpl hier="10" item="4"/>
          <tpl hier="11" item="9"/>
          <tpl fld="0" item="1"/>
        </tpls>
      </m>
      <n v="-20462.5" in="0">
        <tpls c="5">
          <tpl fld="1" item="0"/>
          <tpl fld="2" item="6"/>
          <tpl hier="10" item="4"/>
          <tpl hier="11" item="9"/>
          <tpl fld="0" item="0"/>
        </tpls>
      </n>
      <m in="0">
        <tpls c="5">
          <tpl fld="1" item="6"/>
          <tpl fld="2" item="6"/>
          <tpl hier="10" item="4"/>
          <tpl hier="11" item="9"/>
          <tpl fld="0" item="1"/>
        </tpls>
      </m>
      <m in="0">
        <tpls c="5">
          <tpl fld="1" item="11"/>
          <tpl fld="2" item="4"/>
          <tpl hier="10" item="4"/>
          <tpl hier="11" item="9"/>
          <tpl fld="0" item="1"/>
        </tpls>
      </m>
      <m in="0">
        <tpls c="5">
          <tpl fld="1" item="7"/>
          <tpl fld="2" item="4"/>
          <tpl hier="10" item="4"/>
          <tpl hier="11" item="9"/>
          <tpl fld="0" item="1"/>
        </tpls>
      </m>
      <m in="0">
        <tpls c="5">
          <tpl fld="1" item="4"/>
          <tpl fld="2" item="15"/>
          <tpl hier="10" item="4"/>
          <tpl hier="11" item="9"/>
          <tpl fld="0" item="1"/>
        </tpls>
      </m>
      <m in="0">
        <tpls c="5">
          <tpl fld="1" item="11"/>
          <tpl fld="2" item="8"/>
          <tpl hier="10" item="4"/>
          <tpl hier="11" item="9"/>
          <tpl fld="0" item="0"/>
        </tpls>
      </m>
      <m in="0">
        <tpls c="5">
          <tpl fld="1" item="9"/>
          <tpl fld="2" item="11"/>
          <tpl hier="10" item="4"/>
          <tpl hier="11" item="9"/>
          <tpl fld="0" item="1"/>
        </tpls>
      </m>
      <n v="-274599.75" in="0">
        <tpls c="5">
          <tpl fld="1" item="0"/>
          <tpl hier="9" item="4294967295"/>
          <tpl hier="10" item="4"/>
          <tpl hier="11" item="9"/>
          <tpl fld="0" item="0"/>
        </tpls>
      </n>
      <m in="0">
        <tpls c="5">
          <tpl fld="1" item="9"/>
          <tpl fld="2" item="4"/>
          <tpl hier="10" item="4"/>
          <tpl hier="11" item="9"/>
          <tpl fld="0" item="0"/>
        </tpls>
      </m>
      <n v="-5511.5" in="0">
        <tpls c="5">
          <tpl fld="1" item="0"/>
          <tpl fld="2" item="13"/>
          <tpl hier="10" item="4"/>
          <tpl hier="11" item="9"/>
          <tpl fld="0" item="0"/>
        </tpls>
      </n>
      <n v="-2834" in="0">
        <tpls c="5">
          <tpl fld="1" item="7"/>
          <tpl fld="2" item="3"/>
          <tpl hier="10" item="4"/>
          <tpl hier="11" item="9"/>
          <tpl fld="0" item="0"/>
        </tpls>
      </n>
      <n v="-6388" in="0">
        <tpls c="5">
          <tpl fld="1" item="11"/>
          <tpl fld="2" item="13"/>
          <tpl hier="10" item="4"/>
          <tpl hier="11" item="9"/>
          <tpl fld="0" item="0"/>
        </tpls>
      </n>
      <m in="0">
        <tpls c="5">
          <tpl fld="1" item="0"/>
          <tpl fld="2" item="14"/>
          <tpl hier="10" item="4"/>
          <tpl hier="11" item="9"/>
          <tpl fld="0" item="1"/>
        </tpls>
      </m>
      <m in="0">
        <tpls c="5">
          <tpl fld="1" item="9"/>
          <tpl fld="2" item="3"/>
          <tpl hier="10" item="4"/>
          <tpl hier="11" item="9"/>
          <tpl fld="0" item="1"/>
        </tpls>
      </m>
      <m in="0">
        <tpls c="5">
          <tpl fld="1" item="1"/>
          <tpl fld="2" item="11"/>
          <tpl hier="10" item="4"/>
          <tpl hier="11" item="9"/>
          <tpl fld="0" item="1"/>
        </tpls>
      </m>
      <m in="0">
        <tpls c="5">
          <tpl fld="1" item="11"/>
          <tpl fld="2" item="13"/>
          <tpl hier="10" item="4"/>
          <tpl hier="11" item="9"/>
          <tpl fld="0" item="1"/>
        </tpls>
      </m>
      <m in="0">
        <tpls c="5">
          <tpl fld="1" item="0"/>
          <tpl fld="2" item="14"/>
          <tpl hier="10" item="4"/>
          <tpl hier="11" item="9"/>
          <tpl fld="0" item="0"/>
        </tpls>
      </m>
      <m in="0">
        <tpls c="5">
          <tpl fld="1" item="2"/>
          <tpl fld="2" item="3"/>
          <tpl hier="10" item="4"/>
          <tpl hier="11" item="9"/>
          <tpl fld="0" item="1"/>
        </tpls>
      </m>
      <m in="0">
        <tpls c="5">
          <tpl fld="1" item="3"/>
          <tpl hier="9" item="4294967295"/>
          <tpl hier="10" item="4"/>
          <tpl hier="11" item="9"/>
          <tpl fld="0" item="1"/>
        </tpls>
      </m>
      <m in="0">
        <tpls c="5">
          <tpl fld="1" item="5"/>
          <tpl fld="2" item="4"/>
          <tpl hier="10" item="4"/>
          <tpl hier="11" item="9"/>
          <tpl fld="0" item="1"/>
        </tpls>
      </m>
      <m in="0">
        <tpls c="5">
          <tpl fld="1" item="9"/>
          <tpl fld="2" item="2"/>
          <tpl hier="10" item="4"/>
          <tpl hier="11" item="9"/>
          <tpl fld="0" item="1"/>
        </tpls>
      </m>
      <m in="0">
        <tpls c="5">
          <tpl fld="1" item="10"/>
          <tpl fld="2" item="8"/>
          <tpl hier="10" item="4"/>
          <tpl hier="11" item="9"/>
          <tpl fld="0" item="0"/>
        </tpls>
      </m>
      <n v="-13035.5" in="0">
        <tpls c="5">
          <tpl fld="1" item="8"/>
          <tpl fld="2" item="10"/>
          <tpl hier="10" item="4"/>
          <tpl hier="11" item="9"/>
          <tpl fld="0" item="0"/>
        </tpls>
      </n>
      <n v="-5620.5" in="0">
        <tpls c="5">
          <tpl fld="1" item="2"/>
          <tpl fld="2" item="15"/>
          <tpl hier="10" item="4"/>
          <tpl hier="11" item="9"/>
          <tpl fld="0" item="0"/>
        </tpls>
      </n>
      <m in="0">
        <tpls c="5">
          <tpl fld="1" item="9"/>
          <tpl fld="2" item="7"/>
          <tpl hier="10" item="4"/>
          <tpl hier="11" item="9"/>
          <tpl fld="0" item="1"/>
        </tpls>
      </m>
      <n v="-2724" in="0">
        <tpls c="5">
          <tpl fld="1" item="4"/>
          <tpl fld="2" item="3"/>
          <tpl hier="10" item="4"/>
          <tpl hier="11" item="9"/>
          <tpl fld="0" item="0"/>
        </tpls>
      </n>
      <m in="0">
        <tpls c="5">
          <tpl fld="1" item="10"/>
          <tpl fld="2" item="4"/>
          <tpl hier="10" item="4"/>
          <tpl hier="11" item="9"/>
          <tpl fld="0" item="1"/>
        </tpls>
      </m>
      <m in="0">
        <tpls c="5">
          <tpl fld="1" item="1"/>
          <tpl fld="2" item="8"/>
          <tpl hier="10" item="4"/>
          <tpl hier="11" item="9"/>
          <tpl fld="0" item="0"/>
        </tpls>
      </m>
      <m in="0">
        <tpls c="5">
          <tpl fld="1" item="9"/>
          <tpl fld="2" item="9"/>
          <tpl hier="10" item="4"/>
          <tpl hier="11" item="9"/>
          <tpl fld="0" item="1"/>
        </tpls>
      </m>
      <m in="0">
        <tpls c="5">
          <tpl fld="1" item="2"/>
          <tpl fld="2" item="14"/>
          <tpl hier="10" item="4"/>
          <tpl hier="11" item="9"/>
          <tpl fld="0" item="1"/>
        </tpls>
      </m>
      <n v="-10967" in="0">
        <tpls c="5">
          <tpl fld="1" item="9"/>
          <tpl fld="2" item="10"/>
          <tpl hier="10" item="4"/>
          <tpl hier="11" item="9"/>
          <tpl fld="0" item="0"/>
        </tpls>
      </n>
      <n v="-4001" in="0">
        <tpls c="5">
          <tpl fld="1" item="5"/>
          <tpl fld="2" item="1"/>
          <tpl hier="10" item="4"/>
          <tpl hier="11" item="9"/>
          <tpl fld="0" item="0"/>
        </tpls>
      </n>
      <n v="-4730.75" in="0">
        <tpls c="5">
          <tpl fld="1" item="10"/>
          <tpl fld="2" item="12"/>
          <tpl hier="10" item="4"/>
          <tpl hier="11" item="9"/>
          <tpl fld="0" item="0"/>
        </tpls>
      </n>
      <m in="0">
        <tpls c="5">
          <tpl fld="1" item="4"/>
          <tpl fld="2" item="11"/>
          <tpl hier="10" item="4"/>
          <tpl hier="11" item="9"/>
          <tpl fld="0" item="1"/>
        </tpls>
      </m>
      <n v="-279889" in="0">
        <tpls c="5">
          <tpl fld="1" item="8"/>
          <tpl hier="9" item="4294967295"/>
          <tpl hier="10" item="4"/>
          <tpl hier="11" item="9"/>
          <tpl fld="0" item="0"/>
        </tpls>
      </n>
      <m in="0">
        <tpls c="5">
          <tpl fld="1" item="1"/>
          <tpl fld="2" item="14"/>
          <tpl hier="10" item="4"/>
          <tpl hier="11" item="9"/>
          <tpl fld="0" item="0"/>
        </tpls>
      </m>
      <n v="-2252" in="0">
        <tpls c="5">
          <tpl fld="1" item="1"/>
          <tpl fld="2" item="2"/>
          <tpl hier="10" item="4"/>
          <tpl hier="11" item="9"/>
          <tpl fld="0" item="0"/>
        </tpls>
      </n>
      <n v="-1803" in="0">
        <tpls c="5">
          <tpl fld="1" item="2"/>
          <tpl fld="2" item="3"/>
          <tpl hier="10" item="4"/>
          <tpl hier="11" item="9"/>
          <tpl fld="0" item="0"/>
        </tpls>
      </n>
      <n v="-1103.25" in="0">
        <tpls c="5">
          <tpl fld="1" item="6"/>
          <tpl fld="2" item="5"/>
          <tpl hier="10" item="4"/>
          <tpl hier="11" item="9"/>
          <tpl fld="0" item="0"/>
        </tpls>
      </n>
      <m in="0">
        <tpls c="5">
          <tpl fld="1" item="2"/>
          <tpl fld="2" item="9"/>
          <tpl hier="10" item="4"/>
          <tpl hier="11" item="9"/>
          <tpl fld="0" item="1"/>
        </tpls>
      </m>
      <m in="0">
        <tpls c="5">
          <tpl fld="1" item="8"/>
          <tpl fld="2" item="0"/>
          <tpl hier="10" item="4"/>
          <tpl hier="11" item="9"/>
          <tpl fld="0" item="1"/>
        </tpls>
      </m>
      <m in="0">
        <tpls c="5">
          <tpl fld="1" item="9"/>
          <tpl fld="2" item="7"/>
          <tpl hier="10" item="4"/>
          <tpl hier="11" item="9"/>
          <tpl fld="0" item="0"/>
        </tpls>
      </m>
      <m in="0">
        <tpls c="5">
          <tpl fld="1" item="3"/>
          <tpl fld="2" item="9"/>
          <tpl hier="10" item="4"/>
          <tpl hier="11" item="9"/>
          <tpl fld="0" item="0"/>
        </tpls>
      </m>
      <n v="-276350.25" in="0">
        <tpls c="5">
          <tpl fld="1" item="1"/>
          <tpl fld="2" item="0"/>
          <tpl hier="10" item="4"/>
          <tpl hier="11" item="9"/>
          <tpl fld="0" item="0"/>
        </tpls>
      </n>
      <m in="0">
        <tpls c="5">
          <tpl fld="1" item="2"/>
          <tpl fld="2" item="4"/>
          <tpl hier="10" item="4"/>
          <tpl hier="11" item="9"/>
          <tpl fld="0" item="1"/>
        </tpls>
      </m>
      <m in="0">
        <tpls c="5">
          <tpl fld="1" item="10"/>
          <tpl fld="2" item="9"/>
          <tpl hier="10" item="4"/>
          <tpl hier="11" item="9"/>
          <tpl fld="0" item="1"/>
        </tpls>
      </m>
      <m in="0">
        <tpls c="5">
          <tpl fld="1" item="5"/>
          <tpl fld="2" item="9"/>
          <tpl hier="10" item="4"/>
          <tpl hier="11" item="9"/>
          <tpl fld="0" item="1"/>
        </tpls>
      </m>
      <n v="-5806" in="0">
        <tpls c="5">
          <tpl fld="1" item="8"/>
          <tpl fld="2" item="12"/>
          <tpl hier="10" item="4"/>
          <tpl hier="11" item="9"/>
          <tpl fld="0" item="0"/>
        </tpls>
      </n>
      <n v="-1345" in="0">
        <tpls c="5">
          <tpl fld="1" item="8"/>
          <tpl fld="2" item="5"/>
          <tpl hier="10" item="4"/>
          <tpl hier="11" item="9"/>
          <tpl fld="0" item="0"/>
        </tpls>
      </n>
      <m in="0">
        <tpls c="5">
          <tpl fld="1" item="9"/>
          <tpl fld="2" item="5"/>
          <tpl hier="10" item="4"/>
          <tpl hier="11" item="9"/>
          <tpl fld="0" item="1"/>
        </tpls>
      </m>
      <m in="0">
        <tpls c="5">
          <tpl fld="1" item="10"/>
          <tpl fld="2" item="5"/>
          <tpl hier="10" item="4"/>
          <tpl hier="11" item="9"/>
          <tpl fld="0" item="1"/>
        </tpls>
      </m>
      <n v="-288824.25" in="0">
        <tpls c="5">
          <tpl fld="1" item="5"/>
          <tpl hier="9" item="4294967295"/>
          <tpl hier="10" item="4"/>
          <tpl hier="11" item="9"/>
          <tpl fld="0" item="0"/>
        </tpls>
      </n>
      <m in="0">
        <tpls c="5">
          <tpl fld="1" item="1"/>
          <tpl fld="2" item="15"/>
          <tpl hier="10" item="4"/>
          <tpl hier="11" item="9"/>
          <tpl fld="0" item="1"/>
        </tpls>
      </m>
      <n v="-2274.25" in="0">
        <tpls c="5">
          <tpl fld="1" item="0"/>
          <tpl fld="2" item="3"/>
          <tpl hier="10" item="4"/>
          <tpl hier="11" item="9"/>
          <tpl fld="0" item="0"/>
        </tpls>
      </n>
      <m in="0">
        <tpls c="5">
          <tpl fld="1" item="3"/>
          <tpl fld="2" item="4"/>
          <tpl hier="10" item="4"/>
          <tpl hier="11" item="9"/>
          <tpl fld="0" item="0"/>
        </tpls>
      </m>
      <m in="0">
        <tpls c="5">
          <tpl fld="1" item="2"/>
          <tpl fld="2" item="9"/>
          <tpl hier="10" item="4"/>
          <tpl hier="11" item="9"/>
          <tpl fld="0" item="0"/>
        </tpls>
      </m>
      <m in="0">
        <tpls c="5">
          <tpl fld="1" item="7"/>
          <tpl fld="2" item="6"/>
          <tpl hier="10" item="4"/>
          <tpl hier="11" item="9"/>
          <tpl fld="0" item="1"/>
        </tpls>
      </m>
      <m in="0">
        <tpls c="5">
          <tpl fld="1" item="6"/>
          <tpl fld="2" item="2"/>
          <tpl hier="10" item="4"/>
          <tpl hier="11" item="9"/>
          <tpl fld="0" item="1"/>
        </tpls>
      </m>
      <m in="0">
        <tpls c="5">
          <tpl fld="1" item="1"/>
          <tpl fld="2" item="4"/>
          <tpl hier="10" item="4"/>
          <tpl hier="11" item="9"/>
          <tpl fld="0" item="0"/>
        </tpls>
      </m>
      <m in="0">
        <tpls c="5">
          <tpl fld="1" item="8"/>
          <tpl fld="2" item="9"/>
          <tpl hier="10" item="4"/>
          <tpl hier="11" item="9"/>
          <tpl fld="0" item="0"/>
        </tpls>
      </m>
      <m in="0">
        <tpls c="5">
          <tpl fld="1" item="5"/>
          <tpl fld="2" item="5"/>
          <tpl hier="10" item="4"/>
          <tpl hier="11" item="9"/>
          <tpl fld="0" item="1"/>
        </tpls>
      </m>
      <m in="0">
        <tpls c="5">
          <tpl fld="1" item="8"/>
          <tpl fld="2" item="12"/>
          <tpl hier="10" item="4"/>
          <tpl hier="11" item="9"/>
          <tpl fld="0" item="1"/>
        </tpls>
      </m>
      <n v="-4262.5" in="0">
        <tpls c="5">
          <tpl fld="1" item="10"/>
          <tpl fld="2" item="1"/>
          <tpl hier="10" item="4"/>
          <tpl hier="11" item="9"/>
          <tpl fld="0" item="0"/>
        </tpls>
      </n>
      <m in="0">
        <tpls c="5">
          <tpl fld="1" item="9"/>
          <tpl fld="2" item="10"/>
          <tpl hier="10" item="4"/>
          <tpl hier="11" item="9"/>
          <tpl fld="0" item="1"/>
        </tpls>
      </m>
      <m in="0">
        <tpls c="5">
          <tpl fld="1" item="10"/>
          <tpl fld="2" item="2"/>
          <tpl hier="10" item="4"/>
          <tpl hier="11" item="9"/>
          <tpl fld="0" item="1"/>
        </tpls>
      </m>
      <m in="0">
        <tpls c="5">
          <tpl fld="1" item="5"/>
          <tpl hier="9" item="4294967295"/>
          <tpl hier="10" item="4"/>
          <tpl hier="11" item="9"/>
          <tpl fld="0" item="1"/>
        </tpls>
      </m>
      <n v="-6208.25" in="0">
        <tpls c="5">
          <tpl fld="1" item="5"/>
          <tpl fld="2" item="15"/>
          <tpl hier="10" item="4"/>
          <tpl hier="11" item="9"/>
          <tpl fld="0" item="0"/>
        </tpls>
      </n>
      <m in="0">
        <tpls c="5">
          <tpl fld="1" item="0"/>
          <tpl fld="2" item="4"/>
          <tpl hier="10" item="4"/>
          <tpl hier="11" item="9"/>
          <tpl fld="0" item="1"/>
        </tpls>
      </m>
      <n v="-3844.25" in="0">
        <tpls c="5">
          <tpl fld="1" item="3"/>
          <tpl fld="2" item="1"/>
          <tpl hier="10" item="4"/>
          <tpl hier="11" item="9"/>
          <tpl fld="0" item="0"/>
        </tpls>
      </n>
      <m in="0">
        <tpls c="5">
          <tpl fld="1" item="5"/>
          <tpl fld="2" item="0"/>
          <tpl hier="10" item="4"/>
          <tpl hier="11" item="9"/>
          <tpl fld="0" item="1"/>
        </tpls>
      </m>
      <n v="-1939" in="0">
        <tpls c="5">
          <tpl fld="1" item="11"/>
          <tpl fld="2" item="3"/>
          <tpl hier="10" item="4"/>
          <tpl hier="11" item="9"/>
          <tpl fld="0" item="0"/>
        </tpls>
      </n>
      <m in="0">
        <tpls c="5">
          <tpl fld="1" item="1"/>
          <tpl fld="2" item="4"/>
          <tpl hier="10" item="4"/>
          <tpl hier="11" item="9"/>
          <tpl fld="0" item="1"/>
        </tpls>
      </m>
      <m in="0">
        <tpls c="5">
          <tpl fld="1" item="8"/>
          <tpl fld="2" item="9"/>
          <tpl hier="10" item="4"/>
          <tpl hier="11" item="9"/>
          <tpl fld="0" item="1"/>
        </tpls>
      </m>
      <m in="0">
        <tpls c="5">
          <tpl fld="1" item="5"/>
          <tpl fld="2" item="7"/>
          <tpl hier="10" item="4"/>
          <tpl hier="11" item="9"/>
          <tpl fld="0" item="1"/>
        </tpls>
      </m>
      <n v="-4868.75" in="0">
        <tpls c="5">
          <tpl fld="1" item="7"/>
          <tpl fld="2" item="12"/>
          <tpl hier="10" item="4"/>
          <tpl hier="11" item="9"/>
          <tpl fld="0" item="0"/>
        </tpls>
      </n>
      <m in="0">
        <tpls c="5">
          <tpl fld="1" item="10"/>
          <tpl fld="2" item="4"/>
          <tpl hier="10" item="4"/>
          <tpl hier="11" item="9"/>
          <tpl fld="0" item="0"/>
        </tpls>
      </m>
      <m in="0">
        <tpls c="5">
          <tpl fld="1" item="9"/>
          <tpl fld="2" item="0"/>
          <tpl hier="10" item="4"/>
          <tpl hier="11" item="9"/>
          <tpl fld="0" item="1"/>
        </tpls>
      </m>
      <n v="-1166" in="0">
        <tpls c="5">
          <tpl fld="1" item="5"/>
          <tpl fld="2" item="5"/>
          <tpl hier="10" item="4"/>
          <tpl hier="11" item="9"/>
          <tpl fld="0" item="0"/>
        </tpls>
      </n>
      <n v="-255910.5" in="0">
        <tpls c="5">
          <tpl fld="1" item="4"/>
          <tpl hier="9" item="4294967295"/>
          <tpl hier="10" item="4"/>
          <tpl hier="11" item="9"/>
          <tpl fld="0" item="0"/>
        </tpls>
      </n>
      <m in="0">
        <tpls c="5">
          <tpl fld="1" item="5"/>
          <tpl fld="2" item="15"/>
          <tpl hier="10" item="4"/>
          <tpl hier="11" item="9"/>
          <tpl fld="0" item="1"/>
        </tpls>
      </m>
      <m in="0">
        <tpls c="5">
          <tpl fld="1" item="0"/>
          <tpl fld="2" item="4"/>
          <tpl hier="10" item="4"/>
          <tpl hier="11" item="9"/>
          <tpl fld="0" item="0"/>
        </tpls>
      </m>
      <n v="-5364.75" in="0">
        <tpls c="5">
          <tpl fld="1" item="6"/>
          <tpl fld="2" item="1"/>
          <tpl hier="10" item="4"/>
          <tpl hier="11" item="9"/>
          <tpl fld="0" item="0"/>
        </tpls>
      </n>
      <m in="0">
        <tpls c="5">
          <tpl fld="1" item="9"/>
          <tpl fld="2" item="8"/>
          <tpl hier="10" item="4"/>
          <tpl hier="11" item="9"/>
          <tpl fld="0" item="0"/>
        </tpls>
      </m>
      <n v="-218677.25" in="0">
        <tpls c="5">
          <tpl fld="1" item="8"/>
          <tpl fld="2" item="0"/>
          <tpl hier="10" item="4"/>
          <tpl hier="11" item="9"/>
          <tpl fld="0" item="0"/>
        </tpls>
      </n>
      <m in="0">
        <tpls c="5">
          <tpl fld="1" item="1"/>
          <tpl fld="2" item="1"/>
          <tpl hier="10" item="4"/>
          <tpl hier="11" item="9"/>
          <tpl fld="0" item="1"/>
        </tpls>
      </m>
      <m in="0">
        <tpls c="5">
          <tpl fld="1" item="10"/>
          <tpl fld="2" item="3"/>
          <tpl hier="10" item="4"/>
          <tpl hier="11" item="9"/>
          <tpl fld="0" item="1"/>
        </tpls>
      </m>
      <m in="0">
        <tpls c="5">
          <tpl fld="1" item="11"/>
          <tpl fld="2" item="6"/>
          <tpl hier="10" item="4"/>
          <tpl hier="11" item="9"/>
          <tpl fld="0" item="1"/>
        </tpls>
      </m>
      <m in="0">
        <tpls c="5">
          <tpl fld="1" item="5"/>
          <tpl fld="2" item="4"/>
          <tpl hier="10" item="4"/>
          <tpl hier="11" item="9"/>
          <tpl fld="0" item="0"/>
        </tpls>
      </m>
      <m in="0">
        <tpls c="5">
          <tpl fld="1" item="7"/>
          <tpl fld="2" item="9"/>
          <tpl hier="10" item="4"/>
          <tpl hier="11" item="9"/>
          <tpl fld="0" item="0"/>
        </tpls>
      </m>
      <m in="0">
        <tpls c="5">
          <tpl fld="1" item="5"/>
          <tpl fld="2" item="6"/>
          <tpl hier="10" item="4"/>
          <tpl hier="11" item="9"/>
          <tpl fld="0" item="1"/>
        </tpls>
      </m>
      <m in="0">
        <tpls c="5">
          <tpl fld="1" item="7"/>
          <tpl fld="2" item="12"/>
          <tpl hier="10" item="4"/>
          <tpl hier="11" item="9"/>
          <tpl fld="0" item="1"/>
        </tpls>
      </m>
      <n v="-1222.25" in="0">
        <tpls c="5">
          <tpl fld="1" item="10"/>
          <tpl fld="2" item="5"/>
          <tpl hier="10" item="4"/>
          <tpl hier="11" item="9"/>
          <tpl fld="0" item="0"/>
        </tpls>
      </n>
      <m in="0">
        <tpls c="5">
          <tpl fld="1" item="3"/>
          <tpl fld="2" item="14"/>
          <tpl hier="10" item="4"/>
          <tpl hier="11" item="9"/>
          <tpl fld="0" item="0"/>
        </tpls>
      </m>
      <n v="-10036" in="0">
        <tpls c="5">
          <tpl fld="1" item="5"/>
          <tpl fld="2" item="10"/>
          <tpl hier="10" item="4"/>
          <tpl hier="11" item="9"/>
          <tpl fld="0" item="0"/>
        </tpls>
      </n>
      <m in="0">
        <tpls c="5">
          <tpl fld="1" item="4"/>
          <tpl hier="9" item="4294967295"/>
          <tpl hier="10" item="4"/>
          <tpl hier="11" item="9"/>
          <tpl fld="0" item="1"/>
        </tpls>
      </m>
      <m in="0">
        <tpls c="5">
          <tpl fld="1" item="3"/>
          <tpl fld="2" item="15"/>
          <tpl hier="10" item="4"/>
          <tpl hier="11" item="9"/>
          <tpl fld="0" item="1"/>
        </tpls>
      </m>
      <m in="0">
        <tpls c="5">
          <tpl fld="1" item="0"/>
          <tpl fld="2" item="5"/>
          <tpl hier="10" item="4"/>
          <tpl hier="11" item="9"/>
          <tpl fld="0" item="1"/>
        </tpls>
      </m>
      <m in="0">
        <tpls c="5">
          <tpl fld="1" item="1"/>
          <tpl fld="2" item="7"/>
          <tpl hier="10" item="4"/>
          <tpl hier="11" item="9"/>
          <tpl fld="0" item="0"/>
        </tpls>
      </m>
      <n v="-14645.5" in="0">
        <tpls c="5">
          <tpl fld="1" item="7"/>
          <tpl fld="2" item="6"/>
          <tpl hier="10" item="4"/>
          <tpl hier="11" item="9"/>
          <tpl fld="0" item="0"/>
        </tpls>
      </n>
      <m in="0">
        <tpls c="5">
          <tpl fld="1" item="1"/>
          <tpl fld="2" item="14"/>
          <tpl hier="10" item="4"/>
          <tpl hier="11" item="9"/>
          <tpl fld="0" item="1"/>
        </tpls>
      </m>
      <n v="-18028" in="0">
        <tpls c="5">
          <tpl fld="1" item="8"/>
          <tpl fld="2" item="6"/>
          <tpl hier="10" item="4"/>
          <tpl hier="11" item="9"/>
          <tpl fld="0" item="0"/>
        </tpls>
      </n>
      <m in="0">
        <tpls c="5">
          <tpl fld="1" item="10"/>
          <tpl fld="2" item="7"/>
          <tpl hier="10" item="4"/>
          <tpl hier="11" item="9"/>
          <tpl fld="0" item="0"/>
        </tpls>
      </m>
      <n v="-1345" in="0">
        <tpls c="5">
          <tpl fld="1" item="3"/>
          <tpl fld="2" item="5"/>
          <tpl hier="10" item="4"/>
          <tpl hier="11" item="9"/>
          <tpl fld="0" item="0"/>
        </tpls>
      </n>
      <m in="0">
        <tpls c="5">
          <tpl fld="1" item="7"/>
          <tpl fld="2" item="9"/>
          <tpl hier="10" item="4"/>
          <tpl hier="11" item="9"/>
          <tpl fld="0" item="1"/>
        </tpls>
      </m>
      <m in="0">
        <tpls c="5">
          <tpl fld="1" item="5"/>
          <tpl fld="2" item="1"/>
          <tpl hier="10" item="4"/>
          <tpl hier="11" item="9"/>
          <tpl fld="0" item="1"/>
        </tpls>
      </m>
      <n v="-5220" in="0">
        <tpls c="5">
          <tpl fld="1" item="6"/>
          <tpl fld="2" item="12"/>
          <tpl hier="10" item="4"/>
          <tpl hier="11" item="9"/>
          <tpl fld="0" item="0"/>
        </tpls>
      </n>
      <n v="-2068.5" in="0">
        <tpls c="5">
          <tpl fld="1" item="10"/>
          <tpl fld="2" item="2"/>
          <tpl hier="10" item="4"/>
          <tpl hier="11" item="9"/>
          <tpl fld="0" item="0"/>
        </tpls>
      </n>
      <m in="0">
        <tpls c="5">
          <tpl fld="1" item="3"/>
          <tpl fld="2" item="14"/>
          <tpl hier="10" item="4"/>
          <tpl hier="11" item="9"/>
          <tpl fld="0" item="1"/>
        </tpls>
      </m>
      <m in="0">
        <tpls c="5">
          <tpl fld="1" item="5"/>
          <tpl fld="2" item="9"/>
          <tpl hier="10" item="4"/>
          <tpl hier="11" item="9"/>
          <tpl fld="0" item="0"/>
        </tpls>
      </m>
      <n v="-264217.25" in="0">
        <tpls c="5">
          <tpl fld="1" item="9"/>
          <tpl hier="9" item="4294967295"/>
          <tpl hier="10" item="4"/>
          <tpl hier="11" item="9"/>
          <tpl fld="0" item="0"/>
        </tpls>
      </n>
      <n v="-6173.25" in="0">
        <tpls c="5">
          <tpl fld="1" item="4"/>
          <tpl fld="2" item="15"/>
          <tpl hier="10" item="4"/>
          <tpl hier="11" item="9"/>
          <tpl fld="0" item="0"/>
        </tpls>
      </n>
      <n v="-1233.75" in="0">
        <tpls c="5">
          <tpl fld="1" item="0"/>
          <tpl fld="2" item="5"/>
          <tpl hier="10" item="4"/>
          <tpl hier="11" item="9"/>
          <tpl fld="0" item="0"/>
        </tpls>
      </n>
      <n v="-2167.75" in="0">
        <tpls c="5">
          <tpl fld="1" item="9"/>
          <tpl fld="2" item="3"/>
          <tpl hier="10" item="4"/>
          <tpl hier="11" item="9"/>
          <tpl fld="0" item="0"/>
        </tpls>
      </n>
      <n v="-569.75" in="0">
        <tpls c="5">
          <tpl fld="1" item="1"/>
          <tpl fld="2" item="11"/>
          <tpl hier="10" item="4"/>
          <tpl hier="11" item="9"/>
          <tpl fld="0" item="0"/>
        </tpls>
      </n>
      <n v="-195567.25" in="0">
        <tpls c="5">
          <tpl fld="1" item="6"/>
          <tpl fld="2" item="0"/>
          <tpl hier="10" item="4"/>
          <tpl hier="11" item="9"/>
          <tpl fld="0" item="0"/>
        </tpls>
      </n>
      <m in="0">
        <tpls c="5">
          <tpl fld="1" item="5"/>
          <tpl fld="2" item="11"/>
          <tpl hier="10" item="4"/>
          <tpl hier="11" item="9"/>
          <tpl fld="0" item="1"/>
        </tpls>
      </m>
      <m in="0">
        <tpls c="5">
          <tpl fld="1" item="3"/>
          <tpl fld="2" item="5"/>
          <tpl hier="10" item="4"/>
          <tpl hier="11" item="9"/>
          <tpl fld="0" item="1"/>
        </tpls>
      </m>
      <m in="0">
        <tpls c="5">
          <tpl fld="1" item="6"/>
          <tpl fld="2" item="9"/>
          <tpl hier="10" item="4"/>
          <tpl hier="11" item="9"/>
          <tpl fld="0" item="0"/>
        </tpls>
      </m>
      <m in="0">
        <tpls c="5">
          <tpl fld="1" item="5"/>
          <tpl fld="2" item="2"/>
          <tpl hier="10" item="4"/>
          <tpl hier="11" item="9"/>
          <tpl fld="0" item="1"/>
        </tpls>
      </m>
      <m in="0">
        <tpls c="5">
          <tpl fld="1" item="6"/>
          <tpl fld="2" item="12"/>
          <tpl hier="10" item="4"/>
          <tpl hier="11" item="9"/>
          <tpl fld="0" item="1"/>
        </tpls>
      </m>
      <n v="-194476.25" in="0">
        <tpls c="5">
          <tpl fld="1" item="10"/>
          <tpl fld="2" item="0"/>
          <tpl hier="10" item="4"/>
          <tpl hier="11" item="9"/>
          <tpl fld="0" item="0"/>
        </tpls>
      </n>
      <m in="0">
        <tpls c="5">
          <tpl fld="1" item="2"/>
          <tpl fld="2" item="14"/>
          <tpl hier="10" item="4"/>
          <tpl hier="11" item="9"/>
          <tpl fld="0" item="0"/>
        </tpls>
      </m>
      <m in="0">
        <tpls c="5">
          <tpl fld="1" item="5"/>
          <tpl fld="2" item="7"/>
          <tpl hier="10" item="4"/>
          <tpl hier="11" item="9"/>
          <tpl fld="0" item="0"/>
        </tpls>
      </m>
      <n v="-367812.5" in="0">
        <tpls c="5">
          <tpl fld="1" item="11"/>
          <tpl hier="9" item="4294967295"/>
          <tpl hier="10" item="4"/>
          <tpl hier="11" item="9"/>
          <tpl fld="0" item="0"/>
        </tpls>
      </n>
      <n v="-5105.75" in="0">
        <tpls c="5">
          <tpl fld="1" item="3"/>
          <tpl fld="2" item="15"/>
          <tpl hier="10" item="4"/>
          <tpl hier="11" item="9"/>
          <tpl fld="0" item="0"/>
        </tpls>
      </n>
      <m in="0">
        <tpls c="5">
          <tpl fld="1" item="0"/>
          <tpl fld="2" item="6"/>
          <tpl hier="10" item="4"/>
          <tpl hier="11" item="9"/>
          <tpl fld="0" item="1"/>
        </tpls>
      </m>
      <m in="0">
        <tpls c="5">
          <tpl fld="1" item="7"/>
          <tpl fld="2" item="1"/>
          <tpl hier="10" item="4"/>
          <tpl hier="11" item="9"/>
          <tpl fld="0" item="1"/>
        </tpls>
      </m>
      <m in="0">
        <tpls c="5">
          <tpl fld="1" item="2"/>
          <tpl fld="2" item="0"/>
          <tpl hier="10" item="4"/>
          <tpl hier="11" item="9"/>
          <tpl fld="0" item="1"/>
        </tpls>
      </m>
      <m in="0">
        <tpls c="5">
          <tpl fld="1" item="1"/>
          <tpl fld="2" item="9"/>
          <tpl hier="10" item="4"/>
          <tpl hier="11" item="9"/>
          <tpl fld="0" item="1"/>
        </tpls>
      </m>
      <n v="-20547.5" in="0">
        <tpls c="5">
          <tpl fld="1" item="11"/>
          <tpl fld="2" item="6"/>
          <tpl hier="10" item="4"/>
          <tpl hier="11" item="9"/>
          <tpl fld="0" item="0"/>
        </tpls>
      </n>
      <n v="-61099" in="0">
        <tpls c="4">
          <tpl fld="2" item="12"/>
          <tpl hier="10" item="4"/>
          <tpl hier="11" item="9"/>
          <tpl fld="0" item="0"/>
        </tpls>
      </n>
      <m in="0">
        <tpls c="5">
          <tpl fld="1" item="4"/>
          <tpl fld="2" item="6"/>
          <tpl hier="10" item="4"/>
          <tpl hier="11" item="9"/>
          <tpl fld="0" item="1"/>
        </tpls>
      </m>
      <m in="0">
        <tpls c="5">
          <tpl fld="1" item="8"/>
          <tpl fld="2" item="11"/>
          <tpl hier="10" item="4"/>
          <tpl hier="11" item="9"/>
          <tpl fld="0" item="1"/>
        </tpls>
      </m>
      <n v="-22686.75" in="0">
        <tpls c="5">
          <tpl fld="1" item="1"/>
          <tpl fld="2" item="6"/>
          <tpl hier="10" item="4"/>
          <tpl hier="11" item="9"/>
          <tpl fld="0" item="0"/>
        </tpls>
      </n>
      <m in="0">
        <tpls c="5">
          <tpl fld="1" item="7"/>
          <tpl fld="2" item="13"/>
          <tpl hier="10" item="4"/>
          <tpl hier="11" item="9"/>
          <tpl fld="0" item="1"/>
        </tpls>
      </m>
      <m in="0">
        <tpls c="5">
          <tpl fld="1" item="7"/>
          <tpl fld="2" item="10"/>
          <tpl hier="10" item="4"/>
          <tpl hier="11" item="9"/>
          <tpl fld="0" item="1"/>
        </tpls>
      </m>
      <n v="-5129" in="0">
        <tpls c="5">
          <tpl fld="1" item="9"/>
          <tpl fld="2" item="1"/>
          <tpl hier="10" item="4"/>
          <tpl hier="11" item="9"/>
          <tpl fld="0" item="0"/>
        </tpls>
      </n>
      <m in="0">
        <tpls c="5">
          <tpl fld="1" item="0"/>
          <tpl fld="2" item="8"/>
          <tpl hier="10" item="4"/>
          <tpl hier="11" item="9"/>
          <tpl fld="0" item="1"/>
        </tpls>
      </m>
      <n v="-208326.5" in="0">
        <tpls c="5">
          <tpl fld="1" item="9"/>
          <tpl fld="2" item="0"/>
          <tpl hier="10" item="4"/>
          <tpl hier="11" item="9"/>
          <tpl fld="0" item="0"/>
        </tpls>
      </n>
      <m in="0">
        <tpls c="5">
          <tpl fld="1" item="4"/>
          <tpl fld="2" item="9"/>
          <tpl hier="10" item="5"/>
          <tpl hier="11" item="9"/>
          <tpl fld="0" item="0"/>
        </tpls>
      </m>
      <m in="0">
        <tpls c="5">
          <tpl fld="1" item="1"/>
          <tpl fld="2" item="7"/>
          <tpl hier="10" item="5"/>
          <tpl hier="11" item="9"/>
          <tpl fld="0" item="1"/>
        </tpls>
      </m>
      <m in="0">
        <tpls c="5">
          <tpl fld="1" item="3"/>
          <tpl fld="2" item="2"/>
          <tpl hier="10" item="5"/>
          <tpl hier="11" item="9"/>
          <tpl fld="0" item="0"/>
        </tpls>
      </m>
      <m in="0">
        <tpls c="5">
          <tpl fld="1" item="2"/>
          <tpl fld="2" item="6"/>
          <tpl hier="10" item="5"/>
          <tpl hier="11" item="9"/>
          <tpl fld="0" item="1"/>
        </tpls>
      </m>
      <m in="0">
        <tpls c="5">
          <tpl fld="1" item="3"/>
          <tpl fld="2" item="11"/>
          <tpl hier="10" item="5"/>
          <tpl hier="11" item="9"/>
          <tpl fld="0" item="1"/>
        </tpls>
      </m>
      <n v="-11601.25" in="0">
        <tpls c="5">
          <tpl fld="1" item="3"/>
          <tpl fld="2" item="10"/>
          <tpl hier="10" item="5"/>
          <tpl hier="11" item="9"/>
          <tpl fld="0" item="0"/>
        </tpls>
      </n>
      <n v="-3050.25" in="0">
        <tpls c="5">
          <tpl fld="1" item="10"/>
          <tpl fld="2" item="3"/>
          <tpl hier="10" item="5"/>
          <tpl hier="11" item="9"/>
          <tpl fld="0" item="0"/>
        </tpls>
      </n>
      <m in="0">
        <tpls c="5">
          <tpl fld="1" item="11"/>
          <tpl fld="2" item="7"/>
          <tpl hier="10" item="5"/>
          <tpl hier="11" item="9"/>
          <tpl fld="0" item="0"/>
        </tpls>
      </m>
      <m in="0">
        <tpls c="5">
          <tpl fld="1" item="3"/>
          <tpl fld="2" item="6"/>
          <tpl hier="10" item="5"/>
          <tpl hier="11" item="9"/>
          <tpl fld="0" item="1"/>
        </tpls>
      </m>
      <m in="0">
        <tpls c="5">
          <tpl fld="1" item="4"/>
          <tpl fld="2" item="9"/>
          <tpl hier="10" item="5"/>
          <tpl hier="11" item="9"/>
          <tpl fld="0" item="1"/>
        </tpls>
      </m>
      <m in="0">
        <tpls c="5">
          <tpl fld="1" item="10"/>
          <tpl fld="2" item="11"/>
          <tpl hier="10" item="5"/>
          <tpl hier="11" item="9"/>
          <tpl fld="0" item="1"/>
        </tpls>
      </m>
      <n v="-4498" in="0">
        <tpls c="5">
          <tpl fld="1" item="7"/>
          <tpl fld="2" item="13"/>
          <tpl hier="10" item="5"/>
          <tpl hier="11" item="9"/>
          <tpl fld="0" item="0"/>
        </tpls>
      </n>
      <m in="0">
        <tpls c="5">
          <tpl fld="1" item="11"/>
          <tpl fld="2" item="5"/>
          <tpl hier="10" item="5"/>
          <tpl hier="11" item="9"/>
          <tpl fld="0" item="1"/>
        </tpls>
      </m>
      <m in="0">
        <tpls c="5">
          <tpl fld="1" item="5"/>
          <tpl fld="2" item="14"/>
          <tpl hier="10" item="5"/>
          <tpl hier="11" item="9"/>
          <tpl fld="0" item="0"/>
        </tpls>
      </m>
      <m in="0">
        <tpls c="4">
          <tpl fld="2" item="13"/>
          <tpl hier="10" item="5"/>
          <tpl hier="11" item="9"/>
          <tpl fld="0" item="1"/>
        </tpls>
      </m>
      <n v="-288628.5" in="0">
        <tpls c="5">
          <tpl fld="1" item="7"/>
          <tpl hier="9" item="4294967295"/>
          <tpl hier="10" item="5"/>
          <tpl hier="11" item="9"/>
          <tpl fld="0" item="0"/>
        </tpls>
      </n>
      <m in="0">
        <tpls c="5">
          <tpl fld="1" item="11"/>
          <tpl fld="2" item="15"/>
          <tpl hier="10" item="5"/>
          <tpl hier="11" item="9"/>
          <tpl fld="0" item="1"/>
        </tpls>
      </m>
      <m in="0">
        <tpls c="5">
          <tpl fld="1" item="0"/>
          <tpl fld="2" item="8"/>
          <tpl hier="10" item="5"/>
          <tpl hier="11" item="9"/>
          <tpl fld="0" item="0"/>
        </tpls>
      </m>
      <m in="0">
        <tpls c="5">
          <tpl fld="1" item="6"/>
          <tpl fld="2" item="1"/>
          <tpl hier="10" item="5"/>
          <tpl hier="11" item="9"/>
          <tpl fld="0" item="1"/>
        </tpls>
      </m>
      <m in="0">
        <tpls c="5">
          <tpl fld="1" item="3"/>
          <tpl fld="2" item="7"/>
          <tpl hier="10" item="5"/>
          <tpl hier="11" item="9"/>
          <tpl fld="0" item="0"/>
        </tpls>
      </m>
      <m in="0">
        <tpls c="5">
          <tpl fld="1" item="6"/>
          <tpl fld="2" item="9"/>
          <tpl hier="10" item="5"/>
          <tpl hier="11" item="9"/>
          <tpl fld="0" item="1"/>
        </tpls>
      </m>
      <m in="0">
        <tpls c="5">
          <tpl fld="1" item="3"/>
          <tpl fld="2" item="3"/>
          <tpl hier="10" item="5"/>
          <tpl hier="11" item="9"/>
          <tpl fld="0" item="1"/>
        </tpls>
      </m>
      <n v="-624.5" in="0">
        <tpls c="5">
          <tpl fld="1" item="9"/>
          <tpl fld="2" item="11"/>
          <tpl hier="10" item="5"/>
          <tpl hier="11" item="9"/>
          <tpl fld="0" item="0"/>
        </tpls>
      </n>
      <m in="0">
        <tpls c="5">
          <tpl fld="1" item="10"/>
          <tpl fld="2" item="6"/>
          <tpl hier="10" item="5"/>
          <tpl hier="11" item="9"/>
          <tpl fld="0" item="1"/>
        </tpls>
      </m>
      <m in="0">
        <tpls c="5">
          <tpl fld="1" item="3"/>
          <tpl fld="2" item="0"/>
          <tpl hier="10" item="5"/>
          <tpl hier="11" item="9"/>
          <tpl fld="0" item="1"/>
        </tpls>
      </m>
      <n v="-15916.5" in="0">
        <tpls c="5">
          <tpl fld="1" item="2"/>
          <tpl fld="2" item="6"/>
          <tpl hier="10" item="5"/>
          <tpl hier="11" item="9"/>
          <tpl fld="0" item="0"/>
        </tpls>
      </n>
      <m in="0">
        <tpls c="5">
          <tpl fld="1" item="4"/>
          <tpl fld="2" item="5"/>
          <tpl hier="10" item="5"/>
          <tpl hier="11" item="9"/>
          <tpl fld="0" item="1"/>
        </tpls>
      </m>
      <n v="-590.5" in="0">
        <tpls c="5">
          <tpl fld="1" item="8"/>
          <tpl fld="2" item="11"/>
          <tpl hier="10" item="5"/>
          <tpl hier="11" item="9"/>
          <tpl fld="0" item="0"/>
        </tpls>
      </n>
      <n v="-4105.75" in="0">
        <tpls c="5">
          <tpl fld="1" item="3"/>
          <tpl fld="2" item="13"/>
          <tpl hier="10" item="5"/>
          <tpl hier="11" item="9"/>
          <tpl fld="0" item="0"/>
        </tpls>
      </n>
      <m in="0">
        <tpls c="5">
          <tpl fld="1" item="11"/>
          <tpl fld="2" item="2"/>
          <tpl hier="10" item="5"/>
          <tpl hier="11" item="9"/>
          <tpl fld="0" item="1"/>
        </tpls>
      </m>
      <m in="0">
        <tpls c="5">
          <tpl fld="1" item="5"/>
          <tpl fld="2" item="14"/>
          <tpl hier="10" item="5"/>
          <tpl hier="11" item="9"/>
          <tpl fld="0" item="1"/>
        </tpls>
      </m>
      <m in="0">
        <tpls c="4">
          <tpl fld="2" item="12"/>
          <tpl hier="10" item="5"/>
          <tpl hier="11" item="9"/>
          <tpl fld="0" item="1"/>
        </tpls>
      </m>
      <m in="0">
        <tpls c="5">
          <tpl fld="1" item="7"/>
          <tpl hier="9" item="4294967295"/>
          <tpl hier="10" item="5"/>
          <tpl hier="11" item="9"/>
          <tpl fld="0" item="1"/>
        </tpls>
      </m>
      <n v="-73634.75" in="0">
        <tpls c="4">
          <tpl fld="2" item="15"/>
          <tpl hier="10" item="5"/>
          <tpl hier="11" item="9"/>
          <tpl fld="0" item="0"/>
        </tpls>
      </n>
      <m in="0">
        <tpls c="5">
          <tpl fld="1" item="0"/>
          <tpl fld="2" item="9"/>
          <tpl hier="10" item="5"/>
          <tpl hier="11" item="9"/>
          <tpl fld="0" item="1"/>
        </tpls>
      </m>
      <m in="0">
        <tpls c="5">
          <tpl fld="1" item="6"/>
          <tpl fld="2" item="4"/>
          <tpl hier="10" item="5"/>
          <tpl hier="11" item="9"/>
          <tpl fld="0" item="1"/>
        </tpls>
      </m>
      <m in="0">
        <tpls c="5">
          <tpl fld="1" item="2"/>
          <tpl fld="2" item="1"/>
          <tpl hier="10" item="5"/>
          <tpl hier="11" item="9"/>
          <tpl fld="0" item="1"/>
        </tpls>
      </m>
      <m in="0">
        <tpls c="5">
          <tpl fld="1" item="2"/>
          <tpl fld="2" item="2"/>
          <tpl hier="10" item="5"/>
          <tpl hier="11" item="9"/>
          <tpl fld="0" item="1"/>
        </tpls>
      </m>
      <m in="0">
        <tpls c="5">
          <tpl fld="1" item="3"/>
          <tpl fld="2" item="8"/>
          <tpl hier="10" item="5"/>
          <tpl hier="11" item="9"/>
          <tpl fld="0" item="1"/>
        </tpls>
      </m>
      <m in="0">
        <tpls c="5">
          <tpl fld="1" item="3"/>
          <tpl fld="2" item="9"/>
          <tpl hier="10" item="5"/>
          <tpl hier="11" item="9"/>
          <tpl fld="0" item="1"/>
        </tpls>
      </m>
      <n v="-504.75" in="0">
        <tpls c="5">
          <tpl fld="1" item="5"/>
          <tpl fld="2" item="11"/>
          <tpl hier="10" item="5"/>
          <tpl hier="11" item="9"/>
          <tpl fld="0" item="0"/>
        </tpls>
      </n>
      <n v="-19547.75" in="0">
        <tpls c="5">
          <tpl fld="1" item="9"/>
          <tpl fld="2" item="6"/>
          <tpl hier="10" item="5"/>
          <tpl hier="11" item="9"/>
          <tpl fld="0" item="0"/>
        </tpls>
      </n>
      <m in="0">
        <tpls c="5">
          <tpl fld="1" item="4"/>
          <tpl fld="2" item="7"/>
          <tpl hier="10" item="5"/>
          <tpl hier="11" item="9"/>
          <tpl fld="0" item="0"/>
        </tpls>
      </m>
      <m in="0">
        <tpls c="5">
          <tpl fld="1" item="4"/>
          <tpl fld="2" item="0"/>
          <tpl hier="10" item="5"/>
          <tpl hier="11" item="9"/>
          <tpl fld="0" item="1"/>
        </tpls>
      </m>
      <n v="-545.5" in="0">
        <tpls c="5">
          <tpl fld="1" item="7"/>
          <tpl fld="2" item="11"/>
          <tpl hier="10" item="5"/>
          <tpl hier="11" item="9"/>
          <tpl fld="0" item="0"/>
        </tpls>
      </n>
      <m in="0">
        <tpls c="5">
          <tpl fld="1" item="3"/>
          <tpl fld="2" item="13"/>
          <tpl hier="10" item="5"/>
          <tpl hier="11" item="9"/>
          <tpl fld="0" item="1"/>
        </tpls>
      </m>
      <m in="0">
        <tpls c="5">
          <tpl fld="1" item="11"/>
          <tpl fld="2" item="0"/>
          <tpl hier="10" item="5"/>
          <tpl hier="11" item="9"/>
          <tpl fld="0" item="1"/>
        </tpls>
      </m>
      <m in="0">
        <tpls c="5">
          <tpl fld="1" item="11"/>
          <tpl fld="2" item="14"/>
          <tpl hier="10" item="5"/>
          <tpl hier="11" item="9"/>
          <tpl fld="0" item="0"/>
        </tpls>
      </m>
      <m in="0">
        <tpls c="4">
          <tpl fld="2" item="0"/>
          <tpl hier="10" item="5"/>
          <tpl hier="11" item="9"/>
          <tpl fld="0" item="1"/>
        </tpls>
      </m>
      <n v="-274195.5" in="0">
        <tpls c="5">
          <tpl fld="1" item="6"/>
          <tpl hier="9" item="4294967295"/>
          <tpl hier="10" item="5"/>
          <tpl hier="11" item="9"/>
          <tpl fld="0" item="0"/>
        </tpls>
      </n>
      <m in="0">
        <tpls c="4">
          <tpl fld="2" item="15"/>
          <tpl hier="10" item="5"/>
          <tpl hier="11" item="9"/>
          <tpl fld="0" item="1"/>
        </tpls>
      </m>
      <m in="0">
        <tpls c="5">
          <tpl fld="1" item="0"/>
          <tpl fld="2" item="9"/>
          <tpl hier="10" item="5"/>
          <tpl hier="11" item="9"/>
          <tpl fld="0" item="0"/>
        </tpls>
      </m>
      <m in="0">
        <tpls c="4">
          <tpl fld="2" item="4"/>
          <tpl hier="10" item="5"/>
          <tpl hier="11" item="9"/>
          <tpl fld="0" item="1"/>
        </tpls>
      </m>
      <n v="-8125" in="0">
        <tpls c="5">
          <tpl fld="1" item="8"/>
          <tpl fld="2" item="15"/>
          <tpl hier="10" item="5"/>
          <tpl hier="11" item="9"/>
          <tpl fld="0" item="0"/>
        </tpls>
      </n>
      <m in="0">
        <tpls c="5">
          <tpl fld="1" item="3"/>
          <tpl fld="2" item="8"/>
          <tpl hier="10" item="5"/>
          <tpl hier="11" item="9"/>
          <tpl fld="0" item="0"/>
        </tpls>
      </m>
      <n v="-508.25" in="0">
        <tpls c="5">
          <tpl fld="1" item="3"/>
          <tpl fld="2" item="11"/>
          <tpl hier="10" item="5"/>
          <tpl hier="11" item="9"/>
          <tpl fld="0" item="0"/>
        </tpls>
      </n>
      <m in="0">
        <tpls c="5">
          <tpl fld="1" item="11"/>
          <tpl fld="2" item="14"/>
          <tpl hier="10" item="5"/>
          <tpl hier="11" item="9"/>
          <tpl fld="0" item="1"/>
        </tpls>
      </m>
      <m in="0">
        <tpls c="5">
          <tpl fld="1" item="8"/>
          <tpl fld="2" item="15"/>
          <tpl hier="10" item="5"/>
          <tpl hier="11" item="9"/>
          <tpl fld="0" item="1"/>
        </tpls>
      </m>
      <m in="0">
        <tpls c="5">
          <tpl fld="1" item="3"/>
          <tpl fld="2" item="1"/>
          <tpl hier="10" item="5"/>
          <tpl hier="11" item="9"/>
          <tpl fld="0" item="1"/>
        </tpls>
      </m>
      <m in="0">
        <tpls c="5">
          <tpl fld="1" item="9"/>
          <tpl fld="2" item="1"/>
          <tpl hier="10" item="5"/>
          <tpl hier="11" item="9"/>
          <tpl fld="0" item="1"/>
        </tpls>
      </m>
      <m in="0">
        <tpls c="5">
          <tpl fld="1" item="9"/>
          <tpl fld="2" item="12"/>
          <tpl hier="10" item="5"/>
          <tpl hier="11" item="9"/>
          <tpl fld="0" item="1"/>
        </tpls>
      </m>
      <m in="0">
        <tpls c="5">
          <tpl fld="1" item="10"/>
          <tpl fld="2" item="14"/>
          <tpl hier="10" item="5"/>
          <tpl hier="11" item="9"/>
          <tpl fld="0" item="0"/>
        </tpls>
      </m>
      <n v="-4759" in="0">
        <tpls c="5">
          <tpl fld="1" item="0"/>
          <tpl fld="2" item="12"/>
          <tpl hier="10" item="5"/>
          <tpl hier="11" item="9"/>
          <tpl fld="0" item="0"/>
        </tpls>
      </n>
      <m in="0">
        <tpls c="5">
          <tpl fld="1" item="7"/>
          <tpl fld="2" item="5"/>
          <tpl hier="10" item="5"/>
          <tpl hier="11" item="9"/>
          <tpl fld="0" item="1"/>
        </tpls>
      </m>
      <n v="-4120.75" in="0">
        <tpls c="5">
          <tpl fld="1" item="11"/>
          <tpl fld="2" item="1"/>
          <tpl hier="10" item="5"/>
          <tpl hier="11" item="9"/>
          <tpl fld="0" item="0"/>
        </tpls>
      </n>
      <n v="-4220.25" in="0">
        <tpls c="5">
          <tpl fld="1" item="2"/>
          <tpl fld="2" item="12"/>
          <tpl hier="10" item="5"/>
          <tpl hier="11" item="9"/>
          <tpl fld="0" item="0"/>
        </tpls>
      </n>
      <m in="0">
        <tpls c="5">
          <tpl fld="1" item="8"/>
          <tpl fld="2" item="14"/>
          <tpl hier="10" item="5"/>
          <tpl hier="11" item="9"/>
          <tpl fld="0" item="0"/>
        </tpls>
      </m>
      <m in="0">
        <tpls c="5">
          <tpl fld="1" item="7"/>
          <tpl fld="2" item="15"/>
          <tpl hier="10" item="5"/>
          <tpl hier="11" item="9"/>
          <tpl fld="0" item="1"/>
        </tpls>
      </m>
      <m in="0">
        <tpls c="5">
          <tpl fld="1" item="2"/>
          <tpl fld="2" item="8"/>
          <tpl hier="10" item="5"/>
          <tpl hier="11" item="9"/>
          <tpl fld="0" item="0"/>
        </tpls>
      </m>
      <n v="-288059" in="0">
        <tpls c="5">
          <tpl fld="1" item="3"/>
          <tpl fld="2" item="0"/>
          <tpl hier="10" item="5"/>
          <tpl hier="11" item="9"/>
          <tpl fld="0" item="0"/>
        </tpls>
      </n>
      <m in="0">
        <tpls c="5">
          <tpl fld="1" item="8"/>
          <tpl fld="2" item="8"/>
          <tpl hier="10" item="5"/>
          <tpl hier="11" item="9"/>
          <tpl fld="0" item="1"/>
        </tpls>
      </m>
      <m in="0">
        <tpls c="5">
          <tpl fld="1" item="5"/>
          <tpl fld="2" item="12"/>
          <tpl hier="10" item="5"/>
          <tpl hier="11" item="9"/>
          <tpl fld="0" item="1"/>
        </tpls>
      </m>
      <m in="0">
        <tpls c="5">
          <tpl fld="1" item="8"/>
          <tpl fld="2" item="14"/>
          <tpl hier="10" item="5"/>
          <tpl hier="11" item="9"/>
          <tpl fld="0" item="1"/>
        </tpls>
      </m>
      <n v="-5505.25" in="0">
        <tpls c="5">
          <tpl fld="1" item="6"/>
          <tpl fld="2" item="15"/>
          <tpl hier="10" item="5"/>
          <tpl hier="11" item="9"/>
          <tpl fld="0" item="0"/>
        </tpls>
      </n>
      <n v="-22557.75" in="0">
        <tpls c="5">
          <tpl fld="1" item="10"/>
          <tpl fld="2" item="6"/>
          <tpl hier="10" item="5"/>
          <tpl hier="11" item="9"/>
          <tpl fld="0" item="0"/>
        </tpls>
      </n>
      <m in="0">
        <tpls c="5">
          <tpl fld="1" item="11"/>
          <tpl fld="2" item="4"/>
          <tpl hier="10" item="5"/>
          <tpl hier="11" item="9"/>
          <tpl fld="0" item="0"/>
        </tpls>
      </m>
      <m in="0">
        <tpls c="5">
          <tpl fld="1" item="0"/>
          <tpl fld="2" item="0"/>
          <tpl hier="10" item="5"/>
          <tpl hier="11" item="9"/>
          <tpl fld="0" item="1"/>
        </tpls>
      </m>
      <m in="0">
        <tpls c="5">
          <tpl fld="1" item="1"/>
          <tpl fld="2" item="2"/>
          <tpl hier="10" item="5"/>
          <tpl hier="11" item="9"/>
          <tpl fld="0" item="1"/>
        </tpls>
      </m>
      <m in="0">
        <tpls c="5">
          <tpl fld="1" item="11"/>
          <tpl fld="2" item="10"/>
          <tpl hier="10" item="5"/>
          <tpl hier="11" item="9"/>
          <tpl fld="0" item="1"/>
        </tpls>
      </m>
      <m in="0">
        <tpls c="5">
          <tpl fld="1" item="11"/>
          <tpl hier="9" item="4294967295"/>
          <tpl hier="10" item="5"/>
          <tpl hier="11" item="9"/>
          <tpl fld="0" item="1"/>
        </tpls>
      </m>
      <n v="-1985.25" in="0">
        <tpls c="5">
          <tpl fld="1" item="8"/>
          <tpl fld="2" item="3"/>
          <tpl hier="10" item="5"/>
          <tpl hier="11" item="9"/>
          <tpl fld="0" item="0"/>
        </tpls>
      </n>
      <m in="0">
        <tpls c="5">
          <tpl fld="1" item="10"/>
          <tpl fld="2" item="7"/>
          <tpl hier="10" item="5"/>
          <tpl hier="11" item="9"/>
          <tpl fld="0" item="1"/>
        </tpls>
      </m>
      <n v="-18022" in="0">
        <tpls c="5">
          <tpl fld="1" item="10"/>
          <tpl fld="2" item="10"/>
          <tpl hier="10" item="5"/>
          <tpl hier="11" item="9"/>
          <tpl fld="0" item="0"/>
        </tpls>
      </n>
      <n v="-204259" in="0">
        <tpls c="5">
          <tpl fld="1" item="11"/>
          <tpl fld="2" item="0"/>
          <tpl hier="10" item="5"/>
          <tpl hier="11" item="9"/>
          <tpl fld="0" item="0"/>
        </tpls>
      </n>
      <m in="0">
        <tpls c="5">
          <tpl fld="1" item="3"/>
          <tpl fld="2" item="4"/>
          <tpl hier="10" item="5"/>
          <tpl hier="11" item="9"/>
          <tpl fld="0" item="1"/>
        </tpls>
      </m>
      <m in="0">
        <tpls c="5">
          <tpl fld="1" item="10"/>
          <tpl fld="2" item="13"/>
          <tpl hier="10" item="5"/>
          <tpl hier="11" item="9"/>
          <tpl fld="0" item="1"/>
        </tpls>
      </m>
      <m in="0">
        <tpls c="5">
          <tpl fld="1" item="5"/>
          <tpl fld="2" item="3"/>
          <tpl hier="10" item="5"/>
          <tpl hier="11" item="9"/>
          <tpl fld="0" item="1"/>
        </tpls>
      </m>
      <n v="-5357" in="0">
        <tpls c="5">
          <tpl fld="1" item="8"/>
          <tpl fld="2" item="13"/>
          <tpl hier="10" item="5"/>
          <tpl hier="11" item="9"/>
          <tpl fld="0" item="0"/>
        </tpls>
      </n>
      <m in="0">
        <tpls c="5">
          <tpl fld="1" item="0"/>
          <tpl fld="2" item="2"/>
          <tpl hier="10" item="5"/>
          <tpl hier="11" item="9"/>
          <tpl fld="0" item="1"/>
        </tpls>
      </m>
      <m in="0">
        <tpls c="5">
          <tpl fld="1" item="6"/>
          <tpl fld="2" item="2"/>
          <tpl hier="10" item="5"/>
          <tpl hier="11" item="9"/>
          <tpl fld="0" item="0"/>
        </tpls>
      </m>
      <m in="0">
        <tpls c="5">
          <tpl fld="1" item="8"/>
          <tpl fld="2" item="10"/>
          <tpl hier="10" item="5"/>
          <tpl hier="11" item="9"/>
          <tpl fld="0" item="1"/>
        </tpls>
      </m>
      <m in="0">
        <tpls c="5">
          <tpl fld="1" item="0"/>
          <tpl fld="2" item="2"/>
          <tpl hier="10" item="5"/>
          <tpl hier="11" item="9"/>
          <tpl fld="0" item="0"/>
        </tpls>
      </m>
      <n v="-5153.75" in="0">
        <tpls c="5">
          <tpl fld="1" item="6"/>
          <tpl fld="2" item="13"/>
          <tpl hier="10" item="5"/>
          <tpl hier="11" item="9"/>
          <tpl fld="0" item="0"/>
        </tpls>
      </n>
      <m in="0">
        <tpls c="5">
          <tpl fld="1" item="10"/>
          <tpl fld="2" item="9"/>
          <tpl hier="10" item="5"/>
          <tpl hier="11" item="9"/>
          <tpl fld="0" item="0"/>
        </tpls>
      </m>
      <m in="0">
        <tpls c="5">
          <tpl fld="1" item="10"/>
          <tpl fld="2" item="1"/>
          <tpl hier="10" item="5"/>
          <tpl hier="11" item="9"/>
          <tpl fld="0" item="1"/>
        </tpls>
      </m>
      <m in="0">
        <tpls c="5">
          <tpl fld="1" item="8"/>
          <tpl fld="2" item="7"/>
          <tpl hier="10" item="5"/>
          <tpl hier="11" item="9"/>
          <tpl fld="0" item="1"/>
        </tpls>
      </m>
      <n v="-25014.5" in="0">
        <tpls c="5">
          <tpl fld="1" item="5"/>
          <tpl fld="2" item="6"/>
          <tpl hier="10" item="5"/>
          <tpl hier="11" item="9"/>
          <tpl fld="0" item="0"/>
        </tpls>
      </n>
      <m in="0">
        <tpls c="5">
          <tpl fld="1" item="4"/>
          <tpl fld="2" item="8"/>
          <tpl hier="10" item="5"/>
          <tpl hier="11" item="9"/>
          <tpl fld="0" item="0"/>
        </tpls>
      </m>
      <n v="-1263.25" in="0">
        <tpls c="5">
          <tpl fld="1" item="9"/>
          <tpl fld="2" item="5"/>
          <tpl hier="10" item="5"/>
          <tpl hier="11" item="9"/>
          <tpl fld="0" item="0"/>
        </tpls>
      </n>
      <m in="0">
        <tpls c="5">
          <tpl fld="1" item="10"/>
          <tpl hier="9" item="4294967295"/>
          <tpl hier="10" item="5"/>
          <tpl hier="11" item="9"/>
          <tpl fld="0" item="1"/>
        </tpls>
      </m>
      <n v="-4756.25" in="0">
        <tpls c="5">
          <tpl fld="1" item="9"/>
          <tpl fld="2" item="12"/>
          <tpl hier="10" item="5"/>
          <tpl hier="11" item="9"/>
          <tpl fld="0" item="0"/>
        </tpls>
      </n>
      <m in="0">
        <tpls c="5">
          <tpl fld="1" item="5"/>
          <tpl fld="2" item="2"/>
          <tpl hier="10" item="5"/>
          <tpl hier="11" item="9"/>
          <tpl fld="0" item="0"/>
        </tpls>
      </m>
      <m in="0">
        <tpls c="5">
          <tpl fld="1" item="7"/>
          <tpl fld="2" item="4"/>
          <tpl hier="10" item="5"/>
          <tpl hier="11" item="9"/>
          <tpl fld="0" item="0"/>
        </tpls>
      </m>
      <n v="-14701" in="0">
        <tpls c="5">
          <tpl fld="1" item="3"/>
          <tpl fld="2" item="6"/>
          <tpl hier="10" item="5"/>
          <tpl hier="11" item="9"/>
          <tpl fld="0" item="0"/>
        </tpls>
      </n>
      <m in="0">
        <tpls c="5">
          <tpl fld="1" item="4"/>
          <tpl fld="2" item="13"/>
          <tpl hier="10" item="5"/>
          <tpl hier="11" item="9"/>
          <tpl fld="0" item="1"/>
        </tpls>
      </m>
      <m in="0">
        <tpls c="5">
          <tpl fld="1" item="9"/>
          <tpl fld="2" item="15"/>
          <tpl hier="10" item="5"/>
          <tpl hier="11" item="9"/>
          <tpl fld="0" item="1"/>
        </tpls>
      </m>
      <n v="-1804.75" in="0">
        <tpls c="5">
          <tpl fld="1" item="1"/>
          <tpl fld="2" item="3"/>
          <tpl hier="10" item="5"/>
          <tpl hier="11" item="9"/>
          <tpl fld="0" item="0"/>
        </tpls>
      </n>
      <m in="0">
        <tpls c="5">
          <tpl fld="1" item="7"/>
          <tpl fld="2" item="8"/>
          <tpl hier="10" item="5"/>
          <tpl hier="11" item="9"/>
          <tpl fld="0" item="0"/>
        </tpls>
      </m>
      <n v="-14892.75" in="0">
        <tpls c="4">
          <tpl fld="2" item="5"/>
          <tpl hier="10" item="5"/>
          <tpl hier="11" item="9"/>
          <tpl fld="0" item="0"/>
        </tpls>
      </n>
      <n v="-9960.5" in="0">
        <tpls c="5">
          <tpl fld="1" item="1"/>
          <tpl fld="2" item="10"/>
          <tpl hier="10" item="5"/>
          <tpl hier="11" item="9"/>
          <tpl fld="0" item="0"/>
        </tpls>
      </n>
      <m in="0">
        <tpls c="5">
          <tpl fld="1" item="10"/>
          <tpl fld="2" item="0"/>
          <tpl hier="10" item="5"/>
          <tpl hier="11" item="9"/>
          <tpl fld="0" item="1"/>
        </tpls>
      </m>
      <m in="0">
        <tpls c="5">
          <tpl fld="1" item="3"/>
          <tpl fld="2" item="12"/>
          <tpl hier="10" item="5"/>
          <tpl hier="11" item="9"/>
          <tpl fld="0" item="1"/>
        </tpls>
      </m>
      <m in="0">
        <tpls c="4">
          <tpl fld="2" item="9"/>
          <tpl hier="10" item="5"/>
          <tpl hier="11" item="9"/>
          <tpl fld="0" item="0"/>
        </tpls>
      </m>
      <n v="-5219.75" in="0">
        <tpls c="5">
          <tpl fld="1" item="2"/>
          <tpl fld="2" item="1"/>
          <tpl hier="10" item="5"/>
          <tpl hier="11" item="9"/>
          <tpl fld="0" item="0"/>
        </tpls>
      </n>
      <m in="0">
        <tpls c="4">
          <tpl fld="2" item="14"/>
          <tpl hier="10" item="5"/>
          <tpl hier="11" item="9"/>
          <tpl fld="0" item="0"/>
        </tpls>
      </m>
      <m in="0">
        <tpls c="5">
          <tpl fld="1" item="2"/>
          <tpl fld="2" item="10"/>
          <tpl hier="10" item="5"/>
          <tpl hier="11" item="9"/>
          <tpl fld="0" item="1"/>
        </tpls>
      </m>
      <m in="0">
        <tpls c="5">
          <tpl fld="1" item="6"/>
          <tpl fld="2" item="8"/>
          <tpl hier="10" item="5"/>
          <tpl hier="11" item="9"/>
          <tpl fld="0" item="1"/>
        </tpls>
      </m>
      <n v="-59202" in="0">
        <tpls c="4">
          <tpl fld="2" item="1"/>
          <tpl hier="10" item="5"/>
          <tpl hier="11" item="9"/>
          <tpl fld="0" item="0"/>
        </tpls>
      </n>
      <m in="0">
        <tpls c="5">
          <tpl fld="1" item="8"/>
          <tpl fld="2" item="6"/>
          <tpl hier="10" item="5"/>
          <tpl hier="11" item="9"/>
          <tpl fld="0" item="1"/>
        </tpls>
      </m>
      <m in="0">
        <tpls c="4">
          <tpl fld="2" item="8"/>
          <tpl hier="10" item="5"/>
          <tpl hier="11" item="9"/>
          <tpl fld="0" item="0"/>
        </tpls>
      </m>
      <m in="0">
        <tpls c="5">
          <tpl fld="1" item="1"/>
          <tpl hier="9" item="4294967295"/>
          <tpl hier="10" item="5"/>
          <tpl hier="11" item="9"/>
          <tpl fld="0" item="1"/>
        </tpls>
      </m>
      <m in="0">
        <tpls c="5">
          <tpl fld="1" item="8"/>
          <tpl fld="2" item="4"/>
          <tpl hier="10" item="5"/>
          <tpl hier="11" item="9"/>
          <tpl fld="0" item="0"/>
        </tpls>
      </m>
      <m in="0">
        <tpls c="5">
          <tpl fld="1" item="4"/>
          <tpl fld="2" item="8"/>
          <tpl hier="10" item="5"/>
          <tpl hier="11" item="9"/>
          <tpl fld="0" item="1"/>
        </tpls>
      </m>
      <n v="-9820.25" in="0">
        <tpls c="5">
          <tpl fld="1" item="7"/>
          <tpl fld="2" item="10"/>
          <tpl hier="10" item="5"/>
          <tpl hier="11" item="9"/>
          <tpl fld="0" item="0"/>
        </tpls>
      </n>
      <n v="-6965" in="0">
        <tpls c="5">
          <tpl fld="1" item="1"/>
          <tpl fld="2" item="15"/>
          <tpl hier="10" item="5"/>
          <tpl hier="11" item="9"/>
          <tpl fld="0" item="0"/>
        </tpls>
      </n>
      <n v="-1268" in="0">
        <tpls c="5">
          <tpl fld="1" item="2"/>
          <tpl fld="2" item="5"/>
          <tpl hier="10" item="5"/>
          <tpl hier="11" item="9"/>
          <tpl fld="0" item="0"/>
        </tpls>
      </n>
      <n v="-305060.5" in="0">
        <tpls c="5">
          <tpl fld="1" item="10"/>
          <tpl hier="9" item="4294967295"/>
          <tpl hier="10" item="5"/>
          <tpl hier="11" item="9"/>
          <tpl fld="0" item="0"/>
        </tpls>
      </n>
      <m in="0">
        <tpls c="5">
          <tpl fld="1" item="2"/>
          <tpl fld="2" item="5"/>
          <tpl hier="10" item="5"/>
          <tpl hier="11" item="9"/>
          <tpl fld="0" item="1"/>
        </tpls>
      </m>
      <m in="0">
        <tpls c="5">
          <tpl fld="1" item="8"/>
          <tpl fld="2" item="13"/>
          <tpl hier="10" item="5"/>
          <tpl hier="11" item="9"/>
          <tpl fld="0" item="1"/>
        </tpls>
      </m>
      <m in="0">
        <tpls c="5">
          <tpl fld="1" item="6"/>
          <tpl fld="2" item="15"/>
          <tpl hier="10" item="5"/>
          <tpl hier="11" item="9"/>
          <tpl fld="0" item="1"/>
        </tpls>
      </m>
      <m in="0">
        <tpls c="5">
          <tpl fld="1" item="7"/>
          <tpl fld="2" item="3"/>
          <tpl hier="10" item="5"/>
          <tpl hier="11" item="9"/>
          <tpl fld="0" item="1"/>
        </tpls>
      </m>
      <m in="0">
        <tpls c="5">
          <tpl fld="1" item="9"/>
          <tpl fld="2" item="14"/>
          <tpl hier="10" item="5"/>
          <tpl hier="11" item="9"/>
          <tpl fld="0" item="1"/>
        </tpls>
      </m>
      <m in="0">
        <tpls c="5">
          <tpl fld="1" item="7"/>
          <tpl fld="2" item="2"/>
          <tpl hier="10" item="5"/>
          <tpl hier="11" item="9"/>
          <tpl fld="0" item="0"/>
        </tpls>
      </m>
      <m in="0">
        <tpls c="4">
          <tpl fld="2" item="2"/>
          <tpl hier="10" item="5"/>
          <tpl hier="11" item="9"/>
          <tpl fld="0" item="1"/>
        </tpls>
      </m>
      <n v="-6010.75" in="0">
        <tpls c="5">
          <tpl fld="1" item="7"/>
          <tpl fld="2" item="15"/>
          <tpl hier="10" item="5"/>
          <tpl hier="11" item="9"/>
          <tpl fld="0" item="0"/>
        </tpls>
      </n>
      <n v="-247981.25" in="0">
        <tpls c="5">
          <tpl fld="1" item="0"/>
          <tpl fld="2" item="0"/>
          <tpl hier="10" item="5"/>
          <tpl hier="11" item="9"/>
          <tpl fld="0" item="0"/>
        </tpls>
      </n>
      <m in="0">
        <tpls c="5">
          <tpl fld="1" item="4"/>
          <tpl fld="2" item="7"/>
          <tpl hier="10" item="5"/>
          <tpl hier="11" item="9"/>
          <tpl fld="0" item="1"/>
        </tpls>
      </m>
      <m in="0">
        <tpls c="5">
          <tpl fld="1" item="0"/>
          <tpl fld="2" item="1"/>
          <tpl hier="10" item="5"/>
          <tpl hier="11" item="9"/>
          <tpl fld="0" item="1"/>
        </tpls>
      </m>
      <m in="0">
        <tpls c="5">
          <tpl fld="1" item="9"/>
          <tpl fld="2" item="6"/>
          <tpl hier="10" item="5"/>
          <tpl hier="11" item="9"/>
          <tpl fld="0" item="1"/>
        </tpls>
      </m>
      <m in="0">
        <tpls c="5">
          <tpl fld="1" item="10"/>
          <tpl fld="2" item="10"/>
          <tpl hier="10" item="5"/>
          <tpl hier="11" item="9"/>
          <tpl fld="0" item="1"/>
        </tpls>
      </m>
      <n v="-3891.5" in="0">
        <tpls c="5">
          <tpl fld="1" item="0"/>
          <tpl fld="2" item="1"/>
          <tpl hier="10" item="5"/>
          <tpl hier="11" item="9"/>
          <tpl fld="0" item="0"/>
        </tpls>
      </n>
      <n v="-6191" in="0">
        <tpls c="5">
          <tpl fld="1" item="1"/>
          <tpl fld="2" item="1"/>
          <tpl hier="10" item="5"/>
          <tpl hier="11" item="9"/>
          <tpl fld="0" item="0"/>
        </tpls>
      </n>
      <m in="0">
        <tpls c="5">
          <tpl fld="1" item="1"/>
          <tpl fld="2" item="12"/>
          <tpl hier="10" item="5"/>
          <tpl hier="11" item="9"/>
          <tpl fld="0" item="1"/>
        </tpls>
      </m>
      <n v="-237442" in="0">
        <tpls c="5">
          <tpl fld="1" item="7"/>
          <tpl fld="2" item="0"/>
          <tpl hier="10" item="5"/>
          <tpl hier="11" item="9"/>
          <tpl fld="0" item="0"/>
        </tpls>
      </n>
      <m in="0">
        <tpls c="5">
          <tpl fld="1" item="9"/>
          <tpl fld="2" item="4"/>
          <tpl hier="10" item="5"/>
          <tpl hier="11" item="9"/>
          <tpl fld="0" item="1"/>
        </tpls>
      </m>
      <m in="0">
        <tpls c="5">
          <tpl fld="1" item="3"/>
          <tpl fld="2" item="10"/>
          <tpl hier="10" item="5"/>
          <tpl hier="11" item="9"/>
          <tpl fld="0" item="1"/>
        </tpls>
      </m>
      <m in="0">
        <tpls c="5">
          <tpl fld="1" item="2"/>
          <tpl fld="2" item="4"/>
          <tpl hier="10" item="5"/>
          <tpl hier="11" item="9"/>
          <tpl fld="0" item="0"/>
        </tpls>
      </m>
      <n v="-260915.25" in="0">
        <tpls c="5">
          <tpl fld="1" item="1"/>
          <tpl hier="9" item="4294967295"/>
          <tpl hier="10" item="5"/>
          <tpl hier="11" item="9"/>
          <tpl fld="0" item="0"/>
        </tpls>
      </n>
      <m in="0">
        <tpls c="5">
          <tpl fld="1" item="11"/>
          <tpl fld="2" item="8"/>
          <tpl hier="10" item="5"/>
          <tpl hier="11" item="9"/>
          <tpl fld="0" item="1"/>
        </tpls>
      </m>
      <m in="0">
        <tpls c="5">
          <tpl fld="1" item="1"/>
          <tpl fld="2" item="6"/>
          <tpl hier="10" item="5"/>
          <tpl hier="11" item="9"/>
          <tpl fld="0" item="1"/>
        </tpls>
      </m>
      <m in="0">
        <tpls c="5">
          <tpl fld="1" item="0"/>
          <tpl fld="2" item="7"/>
          <tpl hier="10" item="5"/>
          <tpl hier="11" item="9"/>
          <tpl fld="0" item="1"/>
        </tpls>
      </m>
      <n v="-1296.5" in="0">
        <tpls c="5">
          <tpl fld="1" item="1"/>
          <tpl fld="2" item="5"/>
          <tpl hier="10" item="5"/>
          <tpl hier="11" item="9"/>
          <tpl fld="0" item="0"/>
        </tpls>
      </n>
      <m in="0">
        <tpls c="5">
          <tpl fld="1" item="0"/>
          <tpl fld="2" item="7"/>
          <tpl hier="10" item="5"/>
          <tpl hier="11" item="9"/>
          <tpl fld="0" item="0"/>
        </tpls>
      </m>
      <m in="0">
        <tpls c="5">
          <tpl fld="1" item="7"/>
          <tpl fld="2" item="2"/>
          <tpl hier="10" item="5"/>
          <tpl hier="11" item="9"/>
          <tpl fld="0" item="1"/>
        </tpls>
      </m>
      <m in="0">
        <tpls c="5">
          <tpl fld="1" item="8"/>
          <tpl hier="9" item="4294967295"/>
          <tpl hier="10" item="5"/>
          <tpl hier="11" item="9"/>
          <tpl fld="0" item="1"/>
        </tpls>
      </m>
      <m in="0">
        <tpls c="5">
          <tpl fld="1" item="1"/>
          <tpl fld="2" item="9"/>
          <tpl hier="10" item="5"/>
          <tpl hier="11" item="9"/>
          <tpl fld="0" item="0"/>
        </tpls>
      </m>
      <m in="0">
        <tpls c="5">
          <tpl fld="1" item="2"/>
          <tpl fld="2" item="7"/>
          <tpl hier="10" item="5"/>
          <tpl hier="11" item="9"/>
          <tpl fld="0" item="1"/>
        </tpls>
      </m>
      <m in="0">
        <tpls c="5">
          <tpl fld="1" item="8"/>
          <tpl fld="2" item="2"/>
          <tpl hier="10" item="5"/>
          <tpl hier="11" item="9"/>
          <tpl fld="0" item="0"/>
        </tpls>
      </m>
      <m in="0">
        <tpls c="5">
          <tpl fld="1" item="6"/>
          <tpl fld="2" item="5"/>
          <tpl hier="10" item="5"/>
          <tpl hier="11" item="9"/>
          <tpl fld="0" item="1"/>
        </tpls>
      </m>
      <m in="0">
        <tpls c="5">
          <tpl fld="1" item="8"/>
          <tpl fld="2" item="7"/>
          <tpl hier="10" item="5"/>
          <tpl hier="11" item="9"/>
          <tpl fld="0" item="0"/>
        </tpls>
      </m>
      <n v="-4811" in="0">
        <tpls c="5">
          <tpl fld="1" item="4"/>
          <tpl fld="2" item="12"/>
          <tpl hier="10" item="5"/>
          <tpl hier="11" item="9"/>
          <tpl fld="0" item="0"/>
        </tpls>
      </n>
      <m in="0">
        <tpls c="5">
          <tpl fld="1" item="7"/>
          <tpl fld="2" item="7"/>
          <tpl hier="10" item="5"/>
          <tpl hier="11" item="9"/>
          <tpl fld="0" item="0"/>
        </tpls>
      </m>
      <m in="0">
        <tpls c="5">
          <tpl fld="1" item="4"/>
          <tpl fld="2" item="1"/>
          <tpl hier="10" item="5"/>
          <tpl hier="11" item="9"/>
          <tpl fld="0" item="1"/>
        </tpls>
      </m>
      <n v="-554.25" in="0">
        <tpls c="5">
          <tpl fld="1" item="6"/>
          <tpl fld="2" item="11"/>
          <tpl hier="10" item="5"/>
          <tpl hier="11" item="9"/>
          <tpl fld="0" item="0"/>
        </tpls>
      </n>
      <n v="-4302.75" in="0">
        <tpls c="5">
          <tpl fld="1" item="2"/>
          <tpl fld="2" item="13"/>
          <tpl hier="10" item="5"/>
          <tpl hier="11" item="9"/>
          <tpl fld="0" item="0"/>
        </tpls>
      </n>
      <n v="-1204" in="0">
        <tpls c="5">
          <tpl fld="1" item="4"/>
          <tpl fld="2" item="5"/>
          <tpl hier="10" item="5"/>
          <tpl hier="11" item="9"/>
          <tpl fld="0" item="0"/>
        </tpls>
      </n>
      <m in="0">
        <tpls c="5">
          <tpl fld="1" item="10"/>
          <tpl fld="2" item="14"/>
          <tpl hier="10" item="5"/>
          <tpl hier="11" item="9"/>
          <tpl fld="0" item="1"/>
        </tpls>
      </m>
      <m in="0">
        <tpls c="4">
          <tpl fld="2" item="6"/>
          <tpl hier="10" item="5"/>
          <tpl hier="11" item="9"/>
          <tpl fld="0" item="1"/>
        </tpls>
      </m>
      <m in="0">
        <tpls c="5">
          <tpl fld="1" item="6"/>
          <tpl hier="9" item="4294967295"/>
          <tpl hier="10" item="5"/>
          <tpl hier="11" item="9"/>
          <tpl fld="0" item="1"/>
        </tpls>
      </m>
      <n v="-8371.25" in="0">
        <tpls c="5">
          <tpl fld="1" item="11"/>
          <tpl fld="2" item="15"/>
          <tpl hier="10" item="5"/>
          <tpl hier="11" item="9"/>
          <tpl fld="0" item="0"/>
        </tpls>
      </n>
      <m in="0">
        <tpls c="5">
          <tpl fld="1" item="0"/>
          <tpl fld="2" item="10"/>
          <tpl hier="10" item="5"/>
          <tpl hier="11" item="9"/>
          <tpl fld="0" item="1"/>
        </tpls>
      </m>
      <n v="-4913" in="0">
        <tpls c="5">
          <tpl fld="1" item="7"/>
          <tpl fld="2" item="1"/>
          <tpl hier="10" item="5"/>
          <tpl hier="11" item="9"/>
          <tpl fld="0" item="0"/>
        </tpls>
      </n>
      <m in="0">
        <tpls c="5">
          <tpl fld="1" item="4"/>
          <tpl fld="2" item="3"/>
          <tpl hier="10" item="5"/>
          <tpl hier="11" item="9"/>
          <tpl fld="0" item="1"/>
        </tpls>
      </m>
      <m in="0">
        <tpls c="5">
          <tpl fld="1" item="6"/>
          <tpl fld="2" item="7"/>
          <tpl hier="10" item="5"/>
          <tpl hier="11" item="9"/>
          <tpl fld="0" item="0"/>
        </tpls>
      </m>
      <n v="-6449" in="0">
        <tpls c="5">
          <tpl fld="1" item="1"/>
          <tpl fld="2" item="13"/>
          <tpl hier="10" item="5"/>
          <tpl hier="11" item="9"/>
          <tpl fld="0" item="0"/>
        </tpls>
      </n>
      <m in="0">
        <tpls c="5">
          <tpl fld="1" item="4"/>
          <tpl fld="2" item="14"/>
          <tpl hier="10" item="5"/>
          <tpl hier="11" item="9"/>
          <tpl fld="0" item="1"/>
        </tpls>
      </m>
      <m in="0">
        <tpls c="4">
          <tpl hier="9" item="4294967295"/>
          <tpl hier="10" item="5"/>
          <tpl hier="11" item="9"/>
          <tpl fld="0" item="1"/>
        </tpls>
      </m>
      <m in="0">
        <tpls c="5">
          <tpl fld="1" item="0"/>
          <tpl fld="2" item="11"/>
          <tpl hier="10" item="5"/>
          <tpl hier="11" item="9"/>
          <tpl fld="0" item="1"/>
        </tpls>
      </m>
      <m in="0">
        <tpls c="5">
          <tpl fld="1" item="2"/>
          <tpl fld="2" item="7"/>
          <tpl hier="10" item="5"/>
          <tpl hier="11" item="9"/>
          <tpl fld="0" item="0"/>
        </tpls>
      </m>
      <m in="0">
        <tpls c="5">
          <tpl fld="1" item="4"/>
          <tpl fld="2" item="10"/>
          <tpl hier="10" item="5"/>
          <tpl hier="11" item="9"/>
          <tpl fld="0" item="1"/>
        </tpls>
      </m>
      <m in="0">
        <tpls c="5">
          <tpl fld="1" item="11"/>
          <tpl fld="2" item="12"/>
          <tpl hier="10" item="5"/>
          <tpl hier="11" item="9"/>
          <tpl fld="0" item="1"/>
        </tpls>
      </m>
      <m in="0">
        <tpls c="5">
          <tpl fld="1" item="6"/>
          <tpl fld="2" item="7"/>
          <tpl hier="10" item="5"/>
          <tpl hier="11" item="9"/>
          <tpl fld="0" item="1"/>
        </tpls>
      </m>
      <m in="0">
        <tpls c="4">
          <tpl fld="2" item="11"/>
          <tpl hier="10" item="5"/>
          <tpl hier="11" item="9"/>
          <tpl fld="0" item="1"/>
        </tpls>
      </m>
      <n v="-11101" in="0">
        <tpls c="5">
          <tpl fld="1" item="4"/>
          <tpl fld="2" item="10"/>
          <tpl hier="10" item="5"/>
          <tpl hier="11" item="9"/>
          <tpl fld="0" item="0"/>
        </tpls>
      </n>
      <m in="0">
        <tpls c="4">
          <tpl fld="2" item="2"/>
          <tpl hier="10" item="5"/>
          <tpl hier="11" item="9"/>
          <tpl fld="0" item="0"/>
        </tpls>
      </m>
      <m in="0">
        <tpls c="5">
          <tpl fld="1" item="7"/>
          <tpl fld="2" item="14"/>
          <tpl hier="10" item="5"/>
          <tpl hier="11" item="9"/>
          <tpl fld="0" item="0"/>
        </tpls>
      </m>
      <m in="0">
        <tpls c="4">
          <tpl fld="2" item="7"/>
          <tpl hier="10" item="5"/>
          <tpl hier="11" item="9"/>
          <tpl fld="0" item="0"/>
        </tpls>
      </m>
      <n v="-6846.25" in="0">
        <tpls c="5">
          <tpl fld="1" item="5"/>
          <tpl fld="2" item="13"/>
          <tpl hier="10" item="5"/>
          <tpl hier="11" item="9"/>
          <tpl fld="0" item="0"/>
        </tpls>
      </n>
      <m in="0">
        <tpls c="4">
          <tpl fld="2" item="1"/>
          <tpl hier="10" item="5"/>
          <tpl hier="11" item="9"/>
          <tpl fld="0" item="1"/>
        </tpls>
      </m>
      <m in="0">
        <tpls c="5">
          <tpl fld="1" item="0"/>
          <tpl fld="2" item="12"/>
          <tpl hier="10" item="5"/>
          <tpl hier="11" item="9"/>
          <tpl fld="0" item="1"/>
        </tpls>
      </m>
      <m in="0">
        <tpls c="5">
          <tpl fld="1" item="2"/>
          <tpl fld="2" item="8"/>
          <tpl hier="10" item="5"/>
          <tpl hier="11" item="9"/>
          <tpl fld="0" item="1"/>
        </tpls>
      </m>
      <m in="0">
        <tpls c="5">
          <tpl fld="1" item="7"/>
          <tpl fld="2" item="0"/>
          <tpl hier="10" item="5"/>
          <tpl hier="11" item="9"/>
          <tpl fld="0" item="1"/>
        </tpls>
      </m>
      <m in="0">
        <tpls c="4">
          <tpl fld="2" item="7"/>
          <tpl hier="10" item="5"/>
          <tpl hier="11" item="9"/>
          <tpl fld="0" item="1"/>
        </tpls>
      </m>
      <m in="0">
        <tpls c="5">
          <tpl fld="1" item="5"/>
          <tpl fld="2" item="13"/>
          <tpl hier="10" item="5"/>
          <tpl hier="11" item="9"/>
          <tpl fld="0" item="1"/>
        </tpls>
      </m>
      <n v="-214400.75" in="0">
        <tpls c="4">
          <tpl fld="2" item="6"/>
          <tpl hier="10" item="5"/>
          <tpl hier="11" item="9"/>
          <tpl fld="0" item="0"/>
        </tpls>
      </n>
      <n v="-488" in="0">
        <tpls c="5">
          <tpl fld="1" item="11"/>
          <tpl fld="2" item="11"/>
          <tpl hier="10" item="5"/>
          <tpl hier="11" item="9"/>
          <tpl fld="0" item="0"/>
        </tpls>
      </n>
      <m in="0">
        <tpls c="5">
          <tpl fld="1" item="11"/>
          <tpl fld="2" item="3"/>
          <tpl hier="10" item="5"/>
          <tpl hier="11" item="9"/>
          <tpl fld="0" item="1"/>
        </tpls>
      </m>
      <n v="-137528" in="0">
        <tpls c="4">
          <tpl fld="2" item="10"/>
          <tpl hier="10" item="5"/>
          <tpl hier="11" item="9"/>
          <tpl fld="0" item="0"/>
        </tpls>
      </n>
      <m in="0">
        <tpls c="5">
          <tpl fld="1" item="11"/>
          <tpl fld="2" item="9"/>
          <tpl hier="10" item="5"/>
          <tpl hier="11" item="9"/>
          <tpl fld="0" item="0"/>
        </tpls>
      </m>
      <n v="-2773775.25" in="0">
        <tpls c="4">
          <tpl fld="2" item="0"/>
          <tpl hier="10" item="5"/>
          <tpl hier="11" item="9"/>
          <tpl fld="0" item="0"/>
        </tpls>
      </n>
      <m in="0">
        <tpls c="5">
          <tpl fld="1" item="8"/>
          <tpl fld="2" item="1"/>
          <tpl hier="10" item="5"/>
          <tpl hier="11" item="9"/>
          <tpl fld="0" item="1"/>
        </tpls>
      </m>
      <m in="0">
        <tpls c="4">
          <tpl fld="2" item="5"/>
          <tpl hier="10" item="5"/>
          <tpl hier="11" item="9"/>
          <tpl fld="0" item="1"/>
        </tpls>
      </m>
      <m in="0">
        <tpls c="4">
          <tpl fld="2" item="10"/>
          <tpl hier="10" item="5"/>
          <tpl hier="11" item="9"/>
          <tpl fld="0" item="1"/>
        </tpls>
      </m>
      <n v="-1257.75" in="0">
        <tpls c="5">
          <tpl fld="1" item="11"/>
          <tpl fld="2" item="5"/>
          <tpl hier="10" item="5"/>
          <tpl hier="11" item="9"/>
          <tpl fld="0" item="0"/>
        </tpls>
      </n>
      <n v="-27838.25" in="0">
        <tpls c="4">
          <tpl fld="2" item="3"/>
          <tpl hier="10" item="5"/>
          <tpl hier="11" item="9"/>
          <tpl fld="0" item="0"/>
        </tpls>
      </n>
      <m in="0">
        <tpls c="5">
          <tpl fld="1" item="8"/>
          <tpl fld="2" item="4"/>
          <tpl hier="10" item="5"/>
          <tpl hier="11" item="9"/>
          <tpl fld="0" item="1"/>
        </tpls>
      </m>
      <n v="-10567.5" in="0">
        <tpls c="5">
          <tpl fld="1" item="11"/>
          <tpl fld="2" item="10"/>
          <tpl hier="10" item="5"/>
          <tpl hier="11" item="9"/>
          <tpl fld="0" item="0"/>
        </tpls>
      </n>
      <m in="0">
        <tpls c="5">
          <tpl fld="1" item="9"/>
          <tpl hier="9" item="4294967295"/>
          <tpl hier="10" item="5"/>
          <tpl hier="11" item="9"/>
          <tpl fld="0" item="1"/>
        </tpls>
      </m>
      <n v="-1843.5" in="0">
        <tpls c="5">
          <tpl fld="1" item="3"/>
          <tpl fld="2" item="3"/>
          <tpl hier="10" item="5"/>
          <tpl hier="11" item="9"/>
          <tpl fld="0" item="0"/>
        </tpls>
      </n>
      <m in="0">
        <tpls c="5">
          <tpl fld="1" item="9"/>
          <tpl fld="2" item="2"/>
          <tpl hier="10" item="5"/>
          <tpl hier="11" item="9"/>
          <tpl fld="0" item="0"/>
        </tpls>
      </m>
      <m in="0">
        <tpls c="5">
          <tpl fld="1" item="11"/>
          <tpl fld="2" item="2"/>
          <tpl hier="10" item="5"/>
          <tpl hier="11" item="9"/>
          <tpl fld="0" item="0"/>
        </tpls>
      </m>
      <n v="-539.5" in="0">
        <tpls c="5">
          <tpl fld="1" item="10"/>
          <tpl fld="2" item="11"/>
          <tpl hier="10" item="5"/>
          <tpl hier="11" item="9"/>
          <tpl fld="0" item="0"/>
        </tpls>
      </n>
      <m in="0">
        <tpls c="5">
          <tpl fld="1" item="1"/>
          <tpl fld="2" item="3"/>
          <tpl hier="10" item="5"/>
          <tpl hier="11" item="9"/>
          <tpl fld="0" item="1"/>
        </tpls>
      </m>
      <m in="0">
        <tpls c="5">
          <tpl fld="1" item="2"/>
          <tpl fld="2" item="12"/>
          <tpl hier="10" item="5"/>
          <tpl hier="11" item="9"/>
          <tpl fld="0" item="1"/>
        </tpls>
      </m>
      <m in="0">
        <tpls c="4">
          <tpl fld="2" item="4"/>
          <tpl hier="10" item="5"/>
          <tpl hier="11" item="9"/>
          <tpl fld="0" item="0"/>
        </tpls>
      </m>
      <m in="0">
        <tpls c="5">
          <tpl fld="1" item="5"/>
          <tpl fld="2" item="8"/>
          <tpl hier="10" item="5"/>
          <tpl hier="11" item="9"/>
          <tpl fld="0" item="0"/>
        </tpls>
      </m>
      <n v="-3942.25" in="0">
        <tpls c="5">
          <tpl fld="1" item="1"/>
          <tpl fld="2" item="12"/>
          <tpl hier="10" item="5"/>
          <tpl hier="11" item="9"/>
          <tpl fld="0" item="0"/>
        </tpls>
      </n>
      <m in="0">
        <tpls c="5">
          <tpl fld="1" item="2"/>
          <tpl hier="9" item="4294967295"/>
          <tpl hier="10" item="5"/>
          <tpl hier="11" item="9"/>
          <tpl fld="0" item="1"/>
        </tpls>
      </m>
      <n v="-6173.25" in="0">
        <tpls c="5">
          <tpl fld="1" item="0"/>
          <tpl fld="2" item="15"/>
          <tpl hier="10" item="5"/>
          <tpl hier="11" item="9"/>
          <tpl fld="0" item="0"/>
        </tpls>
      </n>
      <m in="0">
        <tpls c="5">
          <tpl fld="1" item="10"/>
          <tpl fld="2" item="8"/>
          <tpl hier="10" item="5"/>
          <tpl hier="11" item="9"/>
          <tpl fld="0" item="1"/>
        </tpls>
      </m>
      <n v="-401" in="0">
        <tpls c="5">
          <tpl fld="1" item="4"/>
          <tpl fld="2" item="11"/>
          <tpl hier="10" item="5"/>
          <tpl hier="11" item="9"/>
          <tpl fld="0" item="0"/>
        </tpls>
      </n>
      <n v="-5621.75" in="0">
        <tpls c="5">
          <tpl fld="1" item="11"/>
          <tpl fld="2" item="12"/>
          <tpl hier="10" item="5"/>
          <tpl hier="11" item="9"/>
          <tpl fld="0" item="0"/>
        </tpls>
      </n>
      <n v="-4839.5" in="0">
        <tpls c="5">
          <tpl fld="1" item="5"/>
          <tpl fld="2" item="12"/>
          <tpl hier="10" item="5"/>
          <tpl hier="11" item="9"/>
          <tpl fld="0" item="0"/>
        </tpls>
      </n>
      <m in="0">
        <tpls c="5">
          <tpl fld="1" item="2"/>
          <tpl fld="2" item="15"/>
          <tpl hier="10" item="5"/>
          <tpl hier="11" item="9"/>
          <tpl fld="0" item="1"/>
        </tpls>
      </m>
      <n v="-15104.5" in="0">
        <tpls c="5">
          <tpl fld="1" item="6"/>
          <tpl fld="2" item="6"/>
          <tpl hier="10" item="5"/>
          <tpl hier="11" item="9"/>
          <tpl fld="0" item="0"/>
        </tpls>
      </n>
      <n v="-5668.75" in="0">
        <tpls c="5">
          <tpl fld="1" item="8"/>
          <tpl fld="2" item="1"/>
          <tpl hier="10" item="5"/>
          <tpl hier="11" item="9"/>
          <tpl fld="0" item="0"/>
        </tpls>
      </n>
      <m in="0">
        <tpls c="5">
          <tpl fld="1" item="9"/>
          <tpl fld="2" item="9"/>
          <tpl hier="10" item="5"/>
          <tpl hier="11" item="9"/>
          <tpl fld="0" item="0"/>
        </tpls>
      </m>
      <n v="-6614.5" in="0">
        <tpls c="5">
          <tpl fld="1" item="9"/>
          <tpl fld="2" item="15"/>
          <tpl hier="10" item="5"/>
          <tpl hier="11" item="9"/>
          <tpl fld="0" item="0"/>
        </tpls>
      </n>
      <m in="0">
        <tpls c="5">
          <tpl fld="1" item="2"/>
          <tpl fld="2" item="11"/>
          <tpl hier="10" item="5"/>
          <tpl hier="11" item="9"/>
          <tpl fld="0" item="1"/>
        </tpls>
      </m>
      <m in="0">
        <tpls c="5">
          <tpl fld="1" item="4"/>
          <tpl fld="2" item="14"/>
          <tpl hier="10" item="5"/>
          <tpl hier="11" item="9"/>
          <tpl fld="0" item="0"/>
        </tpls>
      </m>
      <n v="-253176.5" in="0">
        <tpls c="5">
          <tpl fld="1" item="2"/>
          <tpl fld="2" item="0"/>
          <tpl hier="10" item="5"/>
          <tpl hier="11" item="9"/>
          <tpl fld="0" item="0"/>
        </tpls>
      </n>
      <m in="0">
        <tpls c="5">
          <tpl fld="1" item="11"/>
          <tpl fld="2" item="1"/>
          <tpl hier="10" item="5"/>
          <tpl hier="11" item="9"/>
          <tpl fld="0" item="1"/>
        </tpls>
      </m>
      <n v="-210778" in="0">
        <tpls c="5">
          <tpl fld="1" item="5"/>
          <tpl fld="2" item="0"/>
          <tpl hier="10" item="5"/>
          <tpl hier="11" item="9"/>
          <tpl fld="0" item="0"/>
        </tpls>
      </n>
      <m in="0">
        <tpls c="5">
          <tpl fld="1" item="11"/>
          <tpl fld="2" item="9"/>
          <tpl hier="10" item="5"/>
          <tpl hier="11" item="9"/>
          <tpl fld="0" item="1"/>
        </tpls>
      </m>
      <m in="0">
        <tpls c="5">
          <tpl fld="1" item="6"/>
          <tpl fld="2" item="4"/>
          <tpl hier="10" item="5"/>
          <tpl hier="11" item="9"/>
          <tpl fld="0" item="0"/>
        </tpls>
      </m>
      <m in="0">
        <tpls c="5">
          <tpl fld="1" item="4"/>
          <tpl fld="2" item="4"/>
          <tpl hier="10" item="5"/>
          <tpl hier="11" item="9"/>
          <tpl fld="0" item="1"/>
        </tpls>
      </m>
      <n v="-5471" in="0">
        <tpls c="5">
          <tpl fld="1" item="3"/>
          <tpl fld="2" item="12"/>
          <tpl hier="10" item="5"/>
          <tpl hier="11" item="9"/>
          <tpl fld="0" item="0"/>
        </tpls>
      </n>
      <n v="-553.25" in="0">
        <tpls c="5">
          <tpl fld="1" item="2"/>
          <tpl fld="2" item="11"/>
          <tpl hier="10" item="5"/>
          <tpl hier="11" item="9"/>
          <tpl fld="0" item="0"/>
        </tpls>
      </n>
      <m in="0">
        <tpls c="5">
          <tpl fld="1" item="5"/>
          <tpl fld="2" item="8"/>
          <tpl hier="10" item="5"/>
          <tpl hier="11" item="9"/>
          <tpl fld="0" item="1"/>
        </tpls>
      </m>
      <n v="-1206.25" in="0">
        <tpls c="5">
          <tpl fld="1" item="7"/>
          <tpl fld="2" item="5"/>
          <tpl hier="10" item="5"/>
          <tpl hier="11" item="9"/>
          <tpl fld="0" item="0"/>
        </tpls>
      </n>
      <m in="0">
        <tpls c="5">
          <tpl fld="1" item="7"/>
          <tpl fld="2" item="7"/>
          <tpl hier="10" item="5"/>
          <tpl hier="11" item="9"/>
          <tpl fld="0" item="1"/>
        </tpls>
      </m>
      <n v="-7484.75" in="0">
        <tpls c="5">
          <tpl fld="1" item="2"/>
          <tpl fld="2" item="10"/>
          <tpl hier="10" item="5"/>
          <tpl hier="11" item="9"/>
          <tpl fld="0" item="0"/>
        </tpls>
      </n>
      <m in="0">
        <tpls c="5">
          <tpl fld="1" item="6"/>
          <tpl fld="2" item="11"/>
          <tpl hier="10" item="5"/>
          <tpl hier="11" item="9"/>
          <tpl fld="0" item="1"/>
        </tpls>
      </m>
      <m in="0">
        <tpls c="5">
          <tpl fld="1" item="2"/>
          <tpl fld="2" item="13"/>
          <tpl hier="10" item="5"/>
          <tpl hier="11" item="9"/>
          <tpl fld="0" item="1"/>
        </tpls>
      </m>
      <m in="0">
        <tpls c="5">
          <tpl fld="1" item="4"/>
          <tpl fld="2" item="4"/>
          <tpl hier="10" item="5"/>
          <tpl hier="11" item="9"/>
          <tpl fld="0" item="0"/>
        </tpls>
      </m>
      <m in="0">
        <tpls c="5">
          <tpl fld="1" item="7"/>
          <tpl fld="2" item="14"/>
          <tpl hier="10" item="5"/>
          <tpl hier="11" item="9"/>
          <tpl fld="0" item="1"/>
        </tpls>
      </m>
      <m in="0">
        <tpls c="4">
          <tpl fld="2" item="8"/>
          <tpl hier="10" item="5"/>
          <tpl hier="11" item="9"/>
          <tpl fld="0" item="1"/>
        </tpls>
      </m>
      <n v="-3426187" in="0">
        <tpls c="4">
          <tpl hier="9" item="4294967295"/>
          <tpl hier="10" item="5"/>
          <tpl hier="11" item="9"/>
          <tpl fld="0" item="0"/>
        </tpls>
      </n>
      <n v="-5222" in="0">
        <tpls c="5">
          <tpl fld="1" item="10"/>
          <tpl fld="2" item="15"/>
          <tpl hier="10" item="5"/>
          <tpl hier="11" item="9"/>
          <tpl fld="0" item="0"/>
        </tpls>
      </n>
      <n v="-12713.75" in="0">
        <tpls c="5">
          <tpl fld="1" item="0"/>
          <tpl fld="2" item="10"/>
          <tpl hier="10" item="5"/>
          <tpl hier="11" item="9"/>
          <tpl fld="0" item="0"/>
        </tpls>
      </n>
      <m in="0">
        <tpls c="5">
          <tpl fld="1" item="2"/>
          <tpl fld="2" item="2"/>
          <tpl hier="10" item="5"/>
          <tpl hier="11" item="9"/>
          <tpl fld="0" item="0"/>
        </tpls>
      </m>
      <n v="-7166.25" in="0">
        <tpls c="5">
          <tpl fld="1" item="4"/>
          <tpl fld="2" item="13"/>
          <tpl hier="10" item="5"/>
          <tpl hier="11" item="9"/>
          <tpl fld="0" item="0"/>
        </tpls>
      </n>
      <m in="0">
        <tpls c="5">
          <tpl fld="1" item="1"/>
          <tpl fld="2" item="10"/>
          <tpl hier="10" item="5"/>
          <tpl hier="11" item="9"/>
          <tpl fld="0" item="1"/>
        </tpls>
      </m>
      <n v="-6455.25" in="0">
        <tpls c="4">
          <tpl fld="2" item="11"/>
          <tpl hier="10" item="5"/>
          <tpl hier="11" item="9"/>
          <tpl fld="0" item="0"/>
        </tpls>
      </n>
      <m in="0">
        <tpls c="4">
          <tpl fld="2" item="3"/>
          <tpl hier="10" item="5"/>
          <tpl hier="11" item="9"/>
          <tpl fld="0" item="1"/>
        </tpls>
      </m>
      <m in="0">
        <tpls c="5">
          <tpl fld="1" item="10"/>
          <tpl fld="2" item="15"/>
          <tpl hier="10" item="5"/>
          <tpl hier="11" item="9"/>
          <tpl fld="0" item="1"/>
        </tpls>
      </m>
      <m in="0">
        <tpls c="5">
          <tpl fld="1" item="1"/>
          <tpl fld="2" item="8"/>
          <tpl hier="10" item="5"/>
          <tpl hier="11" item="9"/>
          <tpl fld="0" item="1"/>
        </tpls>
      </m>
      <m in="0">
        <tpls c="5">
          <tpl fld="1" item="6"/>
          <tpl fld="2" item="3"/>
          <tpl hier="10" item="5"/>
          <tpl hier="11" item="9"/>
          <tpl fld="0" item="1"/>
        </tpls>
      </m>
      <m in="0">
        <tpls c="5">
          <tpl fld="1" item="8"/>
          <tpl fld="2" item="5"/>
          <tpl hier="10" item="5"/>
          <tpl hier="11" item="9"/>
          <tpl fld="0" item="1"/>
        </tpls>
      </m>
      <m in="0">
        <tpls c="5">
          <tpl fld="1" item="5"/>
          <tpl fld="2" item="10"/>
          <tpl hier="10" item="5"/>
          <tpl hier="11" item="9"/>
          <tpl fld="0" item="1"/>
        </tpls>
      </m>
      <m in="0">
        <tpls c="5">
          <tpl fld="1" item="1"/>
          <tpl fld="2" item="13"/>
          <tpl hier="10" item="5"/>
          <tpl hier="11" item="9"/>
          <tpl fld="0" item="1"/>
        </tpls>
      </m>
      <m in="0">
        <tpls c="5">
          <tpl fld="1" item="9"/>
          <tpl fld="2" item="14"/>
          <tpl hier="10" item="5"/>
          <tpl hier="11" item="9"/>
          <tpl fld="0" item="0"/>
        </tpls>
      </m>
      <n v="-580.5" in="0">
        <tpls c="5">
          <tpl fld="1" item="0"/>
          <tpl fld="2" item="11"/>
          <tpl hier="10" item="5"/>
          <tpl hier="11" item="9"/>
          <tpl fld="0" item="0"/>
        </tpls>
      </n>
      <m in="0">
        <tpls c="5">
          <tpl fld="1" item="7"/>
          <tpl fld="2" item="11"/>
          <tpl hier="10" item="5"/>
          <tpl hier="11" item="9"/>
          <tpl fld="0" item="1"/>
        </tpls>
      </m>
      <m in="0">
        <tpls c="5">
          <tpl fld="1" item="6"/>
          <tpl fld="2" item="13"/>
          <tpl hier="10" item="5"/>
          <tpl hier="11" item="9"/>
          <tpl fld="0" item="1"/>
        </tpls>
      </m>
      <n v="-9385.5" in="0">
        <tpls c="5">
          <tpl fld="1" item="6"/>
          <tpl fld="2" item="10"/>
          <tpl hier="10" item="5"/>
          <tpl hier="11" item="9"/>
          <tpl fld="0" item="0"/>
        </tpls>
      </n>
      <n v="-235434.5" in="0">
        <tpls c="5">
          <tpl fld="1" item="4"/>
          <tpl fld="2" item="0"/>
          <tpl hier="10" item="5"/>
          <tpl hier="11" item="9"/>
          <tpl fld="0" item="0"/>
        </tpls>
      </n>
      <n v="-61283.25" in="0">
        <tpls c="4">
          <tpl fld="2" item="13"/>
          <tpl hier="10" item="5"/>
          <tpl hier="11" item="9"/>
          <tpl fld="0" item="0"/>
        </tpls>
      </n>
      <m in="0">
        <tpls c="5">
          <tpl fld="1" item="3"/>
          <tpl fld="2" item="2"/>
          <tpl hier="10" item="5"/>
          <tpl hier="11" item="9"/>
          <tpl fld="0" item="1"/>
        </tpls>
      </m>
      <m in="0">
        <tpls c="5">
          <tpl fld="1" item="1"/>
          <tpl fld="2" item="0"/>
          <tpl hier="10" item="5"/>
          <tpl hier="11" item="9"/>
          <tpl fld="0" item="1"/>
        </tpls>
      </m>
      <m in="0">
        <tpls c="5">
          <tpl fld="1" item="6"/>
          <tpl fld="2" item="10"/>
          <tpl hier="10" item="5"/>
          <tpl hier="11" item="9"/>
          <tpl fld="0" item="1"/>
        </tpls>
      </m>
      <n v="-4193.75" in="0">
        <tpls c="5">
          <tpl fld="1" item="4"/>
          <tpl fld="2" item="1"/>
          <tpl hier="10" item="5"/>
          <tpl hier="11" item="9"/>
          <tpl fld="0" item="0"/>
        </tpls>
      </n>
      <m in="0">
        <tpls c="5">
          <tpl fld="1" item="3"/>
          <tpl fld="2" item="7"/>
          <tpl hier="10" item="5"/>
          <tpl hier="11" item="9"/>
          <tpl fld="0" item="1"/>
        </tpls>
      </m>
      <m in="0">
        <tpls c="5">
          <tpl fld="1" item="8"/>
          <tpl fld="2" item="8"/>
          <tpl hier="10" item="5"/>
          <tpl hier="11" item="9"/>
          <tpl fld="0" item="0"/>
        </tpls>
      </m>
      <n v="-3812" in="0">
        <tpls c="5">
          <tpl fld="1" item="9"/>
          <tpl fld="2" item="13"/>
          <tpl hier="10" item="5"/>
          <tpl hier="11" item="9"/>
          <tpl fld="0" item="0"/>
        </tpls>
      </n>
      <n v="-298988.5" in="0">
        <tpls c="5">
          <tpl fld="1" item="2"/>
          <tpl hier="9" item="4294967295"/>
          <tpl hier="10" item="5"/>
          <tpl hier="11" item="9"/>
          <tpl fld="0" item="0"/>
        </tpls>
      </n>
      <m in="0">
        <tpls c="5">
          <tpl fld="1" item="0"/>
          <tpl fld="2" item="13"/>
          <tpl hier="10" item="5"/>
          <tpl hier="11" item="9"/>
          <tpl fld="0" item="1"/>
        </tpls>
      </m>
      <m in="0">
        <tpls c="5">
          <tpl fld="1" item="1"/>
          <tpl fld="2" item="5"/>
          <tpl hier="10" item="5"/>
          <tpl hier="11" item="9"/>
          <tpl fld="0" item="1"/>
        </tpls>
      </m>
      <m in="0">
        <tpls c="5">
          <tpl fld="1" item="4"/>
          <tpl fld="2" item="2"/>
          <tpl hier="10" item="5"/>
          <tpl hier="11" item="9"/>
          <tpl fld="0" item="0"/>
        </tpls>
      </m>
      <m in="0">
        <tpls c="5">
          <tpl fld="1" item="9"/>
          <tpl fld="2" item="13"/>
          <tpl hier="10" item="5"/>
          <tpl hier="11" item="9"/>
          <tpl fld="0" item="1"/>
        </tpls>
      </m>
      <m in="0">
        <tpls c="5">
          <tpl fld="1" item="0"/>
          <tpl hier="9" item="4294967295"/>
          <tpl hier="10" item="5"/>
          <tpl hier="11" item="9"/>
          <tpl fld="0" item="1"/>
        </tpls>
      </m>
      <n v="-16403.75" in="0">
        <tpls c="5">
          <tpl fld="1" item="4"/>
          <tpl fld="2" item="6"/>
          <tpl hier="10" item="5"/>
          <tpl hier="11" item="9"/>
          <tpl fld="0" item="0"/>
        </tpls>
      </n>
      <m in="0">
        <tpls c="5">
          <tpl fld="1" item="4"/>
          <tpl fld="2" item="2"/>
          <tpl hier="10" item="5"/>
          <tpl hier="11" item="9"/>
          <tpl fld="0" item="1"/>
        </tpls>
      </m>
      <m in="0">
        <tpls c="5">
          <tpl fld="1" item="4"/>
          <tpl fld="2" item="12"/>
          <tpl hier="10" item="5"/>
          <tpl hier="11" item="9"/>
          <tpl fld="0" item="1"/>
        </tpls>
      </m>
      <m in="0">
        <tpls c="5">
          <tpl fld="1" item="6"/>
          <tpl fld="2" item="14"/>
          <tpl hier="10" item="5"/>
          <tpl hier="11" item="9"/>
          <tpl fld="0" item="0"/>
        </tpls>
      </m>
      <m in="0">
        <tpls c="5">
          <tpl fld="1" item="7"/>
          <tpl fld="2" item="8"/>
          <tpl hier="10" item="5"/>
          <tpl hier="11" item="9"/>
          <tpl fld="0" item="1"/>
        </tpls>
      </m>
      <m in="0">
        <tpls c="5">
          <tpl fld="1" item="6"/>
          <tpl fld="2" item="14"/>
          <tpl hier="10" item="5"/>
          <tpl hier="11" item="9"/>
          <tpl fld="0" item="1"/>
        </tpls>
      </m>
      <m in="0">
        <tpls c="5">
          <tpl fld="1" item="11"/>
          <tpl fld="2" item="7"/>
          <tpl hier="10" item="5"/>
          <tpl hier="11" item="9"/>
          <tpl fld="0" item="1"/>
        </tpls>
      </m>
      <m in="0">
        <tpls c="5">
          <tpl fld="1" item="6"/>
          <tpl fld="2" item="8"/>
          <tpl hier="10" item="5"/>
          <tpl hier="11" item="9"/>
          <tpl fld="0" item="0"/>
        </tpls>
      </m>
      <n v="-4189.5" in="0">
        <tpls c="5">
          <tpl fld="1" item="10"/>
          <tpl fld="2" item="13"/>
          <tpl hier="10" item="5"/>
          <tpl hier="11" item="9"/>
          <tpl fld="0" item="0"/>
        </tpls>
      </n>
      <m in="0">
        <tpls c="5">
          <tpl fld="1" item="0"/>
          <tpl fld="2" item="15"/>
          <tpl hier="10" item="5"/>
          <tpl hier="11" item="9"/>
          <tpl fld="0" item="1"/>
        </tpls>
      </m>
      <m in="0">
        <tpls c="5">
          <tpl fld="1" item="6"/>
          <tpl fld="2" item="0"/>
          <tpl hier="10" item="5"/>
          <tpl hier="11" item="9"/>
          <tpl fld="0" item="1"/>
        </tpls>
      </m>
      <n v="-2057.25" in="0">
        <tpls c="5">
          <tpl fld="1" item="5"/>
          <tpl fld="2" item="3"/>
          <tpl hier="10" item="5"/>
          <tpl hier="11" item="9"/>
          <tpl fld="0" item="0"/>
        </tpls>
      </n>
      <m in="0">
        <tpls c="4">
          <tpl fld="2" item="14"/>
          <tpl hier="10" item="5"/>
          <tpl hier="11" item="9"/>
          <tpl fld="0" item="1"/>
        </tpls>
      </m>
      <m in="0">
        <tpls c="5">
          <tpl fld="1" item="8"/>
          <tpl fld="2" item="3"/>
          <tpl hier="10" item="5"/>
          <tpl hier="11" item="9"/>
          <tpl fld="0" item="1"/>
        </tpls>
      </m>
      <m in="0">
        <tpls c="5">
          <tpl fld="1" item="9"/>
          <tpl fld="2" item="8"/>
          <tpl hier="10" item="5"/>
          <tpl hier="11" item="9"/>
          <tpl fld="0" item="1"/>
        </tpls>
      </m>
      <n v="-2066.5" in="0">
        <tpls c="5">
          <tpl fld="1" item="6"/>
          <tpl fld="2" item="3"/>
          <tpl hier="10" item="5"/>
          <tpl hier="11" item="9"/>
          <tpl fld="0" item="0"/>
        </tpls>
      </n>
      <m in="0">
        <tpls c="4">
          <tpl fld="2" item="9"/>
          <tpl hier="10" item="5"/>
          <tpl hier="11" item="9"/>
          <tpl fld="0" item="1"/>
        </tpls>
      </m>
      <n v="-338565" in="0">
        <tpls c="5">
          <tpl fld="1" item="3"/>
          <tpl hier="9" item="4294967295"/>
          <tpl hier="10" item="5"/>
          <tpl hier="11" item="9"/>
          <tpl fld="0" item="0"/>
        </tpls>
      </n>
      <m in="0">
        <tpls c="5">
          <tpl fld="1" item="8"/>
          <tpl fld="2" item="2"/>
          <tpl hier="10" item="5"/>
          <tpl hier="11" item="9"/>
          <tpl fld="0" item="1"/>
        </tpls>
      </m>
      <m in="0">
        <tpls c="5">
          <tpl fld="1" item="10"/>
          <tpl fld="2" item="12"/>
          <tpl hier="10" item="5"/>
          <tpl hier="11" item="9"/>
          <tpl fld="0" item="1"/>
        </tpls>
      </m>
      <m in="0">
        <tpls c="5">
          <tpl fld="1" item="0"/>
          <tpl fld="2" item="3"/>
          <tpl hier="10" item="5"/>
          <tpl hier="11" item="9"/>
          <tpl fld="0" item="1"/>
        </tpls>
      </m>
      <m in="0">
        <tpls c="5">
          <tpl fld="1" item="11"/>
          <tpl fld="2" item="11"/>
          <tpl hier="10" item="5"/>
          <tpl hier="11" item="9"/>
          <tpl fld="0" item="1"/>
        </tpls>
      </m>
      <n v="-16859.25" in="0">
        <tpls c="5">
          <tpl fld="1" item="0"/>
          <tpl fld="2" item="6"/>
          <tpl hier="10" item="5"/>
          <tpl hier="11" item="9"/>
          <tpl fld="0" item="0"/>
        </tpls>
      </n>
      <m in="0">
        <tpls c="5">
          <tpl fld="1" item="6"/>
          <tpl fld="2" item="6"/>
          <tpl hier="10" item="5"/>
          <tpl hier="11" item="9"/>
          <tpl fld="0" item="1"/>
        </tpls>
      </m>
      <m in="0">
        <tpls c="5">
          <tpl fld="1" item="11"/>
          <tpl fld="2" item="4"/>
          <tpl hier="10" item="5"/>
          <tpl hier="11" item="9"/>
          <tpl fld="0" item="1"/>
        </tpls>
      </m>
      <m in="0">
        <tpls c="5">
          <tpl fld="1" item="7"/>
          <tpl fld="2" item="4"/>
          <tpl hier="10" item="5"/>
          <tpl hier="11" item="9"/>
          <tpl fld="0" item="1"/>
        </tpls>
      </m>
      <m in="0">
        <tpls c="5">
          <tpl fld="1" item="4"/>
          <tpl fld="2" item="15"/>
          <tpl hier="10" item="5"/>
          <tpl hier="11" item="9"/>
          <tpl fld="0" item="1"/>
        </tpls>
      </m>
      <m in="0">
        <tpls c="5">
          <tpl fld="1" item="11"/>
          <tpl fld="2" item="8"/>
          <tpl hier="10" item="5"/>
          <tpl hier="11" item="9"/>
          <tpl fld="0" item="0"/>
        </tpls>
      </m>
      <m in="0">
        <tpls c="5">
          <tpl fld="1" item="9"/>
          <tpl fld="2" item="11"/>
          <tpl hier="10" item="5"/>
          <tpl hier="11" item="9"/>
          <tpl fld="0" item="1"/>
        </tpls>
      </m>
      <n v="-300108.75" in="0">
        <tpls c="5">
          <tpl fld="1" item="0"/>
          <tpl hier="9" item="4294967295"/>
          <tpl hier="10" item="5"/>
          <tpl hier="11" item="9"/>
          <tpl fld="0" item="0"/>
        </tpls>
      </n>
      <m in="0">
        <tpls c="5">
          <tpl fld="1" item="9"/>
          <tpl fld="2" item="4"/>
          <tpl hier="10" item="5"/>
          <tpl hier="11" item="9"/>
          <tpl fld="0" item="0"/>
        </tpls>
      </m>
      <n v="-3397" in="0">
        <tpls c="5">
          <tpl fld="1" item="0"/>
          <tpl fld="2" item="13"/>
          <tpl hier="10" item="5"/>
          <tpl hier="11" item="9"/>
          <tpl fld="0" item="0"/>
        </tpls>
      </n>
      <n v="-2534.25" in="0">
        <tpls c="5">
          <tpl fld="1" item="7"/>
          <tpl fld="2" item="3"/>
          <tpl hier="10" item="5"/>
          <tpl hier="11" item="9"/>
          <tpl fld="0" item="0"/>
        </tpls>
      </n>
      <n v="-6006" in="0">
        <tpls c="5">
          <tpl fld="1" item="11"/>
          <tpl fld="2" item="13"/>
          <tpl hier="10" item="5"/>
          <tpl hier="11" item="9"/>
          <tpl fld="0" item="0"/>
        </tpls>
      </n>
      <m in="0">
        <tpls c="5">
          <tpl fld="1" item="0"/>
          <tpl fld="2" item="14"/>
          <tpl hier="10" item="5"/>
          <tpl hier="11" item="9"/>
          <tpl fld="0" item="1"/>
        </tpls>
      </m>
      <m in="0">
        <tpls c="5">
          <tpl fld="1" item="9"/>
          <tpl fld="2" item="3"/>
          <tpl hier="10" item="5"/>
          <tpl hier="11" item="9"/>
          <tpl fld="0" item="1"/>
        </tpls>
      </m>
      <m in="0">
        <tpls c="5">
          <tpl fld="1" item="1"/>
          <tpl fld="2" item="11"/>
          <tpl hier="10" item="5"/>
          <tpl hier="11" item="9"/>
          <tpl fld="0" item="1"/>
        </tpls>
      </m>
      <m in="0">
        <tpls c="5">
          <tpl fld="1" item="11"/>
          <tpl fld="2" item="13"/>
          <tpl hier="10" item="5"/>
          <tpl hier="11" item="9"/>
          <tpl fld="0" item="1"/>
        </tpls>
      </m>
      <m in="0">
        <tpls c="5">
          <tpl fld="1" item="0"/>
          <tpl fld="2" item="14"/>
          <tpl hier="10" item="5"/>
          <tpl hier="11" item="9"/>
          <tpl fld="0" item="0"/>
        </tpls>
      </m>
      <m in="0">
        <tpls c="5">
          <tpl fld="1" item="2"/>
          <tpl fld="2" item="3"/>
          <tpl hier="10" item="5"/>
          <tpl hier="11" item="9"/>
          <tpl fld="0" item="1"/>
        </tpls>
      </m>
      <m in="0">
        <tpls c="5">
          <tpl fld="1" item="3"/>
          <tpl hier="9" item="4294967295"/>
          <tpl hier="10" item="5"/>
          <tpl hier="11" item="9"/>
          <tpl fld="0" item="1"/>
        </tpls>
      </m>
      <m in="0">
        <tpls c="5">
          <tpl fld="1" item="5"/>
          <tpl fld="2" item="4"/>
          <tpl hier="10" item="5"/>
          <tpl hier="11" item="9"/>
          <tpl fld="0" item="1"/>
        </tpls>
      </m>
      <m in="0">
        <tpls c="5">
          <tpl fld="1" item="9"/>
          <tpl fld="2" item="2"/>
          <tpl hier="10" item="5"/>
          <tpl hier="11" item="9"/>
          <tpl fld="0" item="1"/>
        </tpls>
      </m>
      <m in="0">
        <tpls c="5">
          <tpl fld="1" item="10"/>
          <tpl fld="2" item="8"/>
          <tpl hier="10" item="5"/>
          <tpl hier="11" item="9"/>
          <tpl fld="0" item="0"/>
        </tpls>
      </m>
      <n v="-13309" in="0">
        <tpls c="5">
          <tpl fld="1" item="8"/>
          <tpl fld="2" item="10"/>
          <tpl hier="10" item="5"/>
          <tpl hier="11" item="9"/>
          <tpl fld="0" item="0"/>
        </tpls>
      </n>
      <n v="-4293" in="0">
        <tpls c="5">
          <tpl fld="1" item="2"/>
          <tpl fld="2" item="15"/>
          <tpl hier="10" item="5"/>
          <tpl hier="11" item="9"/>
          <tpl fld="0" item="0"/>
        </tpls>
      </n>
      <m in="0">
        <tpls c="5">
          <tpl fld="1" item="9"/>
          <tpl fld="2" item="7"/>
          <tpl hier="10" item="5"/>
          <tpl hier="11" item="9"/>
          <tpl fld="0" item="1"/>
        </tpls>
      </m>
      <n v="-2306.75" in="0">
        <tpls c="5">
          <tpl fld="1" item="4"/>
          <tpl fld="2" item="3"/>
          <tpl hier="10" item="5"/>
          <tpl hier="11" item="9"/>
          <tpl fld="0" item="0"/>
        </tpls>
      </n>
      <m in="0">
        <tpls c="5">
          <tpl fld="1" item="10"/>
          <tpl fld="2" item="4"/>
          <tpl hier="10" item="5"/>
          <tpl hier="11" item="9"/>
          <tpl fld="0" item="1"/>
        </tpls>
      </m>
      <m in="0">
        <tpls c="5">
          <tpl fld="1" item="1"/>
          <tpl fld="2" item="8"/>
          <tpl hier="10" item="5"/>
          <tpl hier="11" item="9"/>
          <tpl fld="0" item="0"/>
        </tpls>
      </m>
      <m in="0">
        <tpls c="5">
          <tpl fld="1" item="9"/>
          <tpl fld="2" item="9"/>
          <tpl hier="10" item="5"/>
          <tpl hier="11" item="9"/>
          <tpl fld="0" item="1"/>
        </tpls>
      </m>
      <m in="0">
        <tpls c="5">
          <tpl fld="1" item="2"/>
          <tpl fld="2" item="14"/>
          <tpl hier="10" item="5"/>
          <tpl hier="11" item="9"/>
          <tpl fld="0" item="1"/>
        </tpls>
      </m>
      <n v="-9013.75" in="0">
        <tpls c="5">
          <tpl fld="1" item="9"/>
          <tpl fld="2" item="10"/>
          <tpl hier="10" item="5"/>
          <tpl hier="11" item="9"/>
          <tpl fld="0" item="0"/>
        </tpls>
      </n>
      <n v="-5399.75" in="0">
        <tpls c="5">
          <tpl fld="1" item="5"/>
          <tpl fld="2" item="1"/>
          <tpl hier="10" item="5"/>
          <tpl hier="11" item="9"/>
          <tpl fld="0" item="0"/>
        </tpls>
      </n>
      <n v="-4514.5" in="0">
        <tpls c="5">
          <tpl fld="1" item="10"/>
          <tpl fld="2" item="12"/>
          <tpl hier="10" item="5"/>
          <tpl hier="11" item="9"/>
          <tpl fld="0" item="0"/>
        </tpls>
      </n>
      <m in="0">
        <tpls c="5">
          <tpl fld="1" item="4"/>
          <tpl fld="2" item="11"/>
          <tpl hier="10" item="5"/>
          <tpl hier="11" item="9"/>
          <tpl fld="0" item="1"/>
        </tpls>
      </m>
      <n v="-303523.25" in="0">
        <tpls c="5">
          <tpl fld="1" item="8"/>
          <tpl hier="9" item="4294967295"/>
          <tpl hier="10" item="5"/>
          <tpl hier="11" item="9"/>
          <tpl fld="0" item="0"/>
        </tpls>
      </n>
      <m in="0">
        <tpls c="5">
          <tpl fld="1" item="1"/>
          <tpl fld="2" item="14"/>
          <tpl hier="10" item="5"/>
          <tpl hier="11" item="9"/>
          <tpl fld="0" item="0"/>
        </tpls>
      </m>
      <m in="0">
        <tpls c="5">
          <tpl fld="1" item="1"/>
          <tpl fld="2" item="2"/>
          <tpl hier="10" item="5"/>
          <tpl hier="11" item="9"/>
          <tpl fld="0" item="0"/>
        </tpls>
      </m>
      <n v="-2553.75" in="0">
        <tpls c="5">
          <tpl fld="1" item="2"/>
          <tpl fld="2" item="3"/>
          <tpl hier="10" item="5"/>
          <tpl hier="11" item="9"/>
          <tpl fld="0" item="0"/>
        </tpls>
      </n>
      <n v="-1340.25" in="0">
        <tpls c="5">
          <tpl fld="1" item="6"/>
          <tpl fld="2" item="5"/>
          <tpl hier="10" item="5"/>
          <tpl hier="11" item="9"/>
          <tpl fld="0" item="0"/>
        </tpls>
      </n>
      <m in="0">
        <tpls c="5">
          <tpl fld="1" item="2"/>
          <tpl fld="2" item="9"/>
          <tpl hier="10" item="5"/>
          <tpl hier="11" item="9"/>
          <tpl fld="0" item="1"/>
        </tpls>
      </m>
      <m in="0">
        <tpls c="5">
          <tpl fld="1" item="8"/>
          <tpl fld="2" item="0"/>
          <tpl hier="10" item="5"/>
          <tpl hier="11" item="9"/>
          <tpl fld="0" item="1"/>
        </tpls>
      </m>
      <m in="0">
        <tpls c="5">
          <tpl fld="1" item="9"/>
          <tpl fld="2" item="7"/>
          <tpl hier="10" item="5"/>
          <tpl hier="11" item="9"/>
          <tpl fld="0" item="0"/>
        </tpls>
      </m>
      <m in="0">
        <tpls c="5">
          <tpl fld="1" item="3"/>
          <tpl fld="2" item="9"/>
          <tpl hier="10" item="5"/>
          <tpl hier="11" item="9"/>
          <tpl fld="0" item="0"/>
        </tpls>
      </m>
      <n v="-205805.25" in="0">
        <tpls c="5">
          <tpl fld="1" item="1"/>
          <tpl fld="2" item="0"/>
          <tpl hier="10" item="5"/>
          <tpl hier="11" item="9"/>
          <tpl fld="0" item="0"/>
        </tpls>
      </n>
      <m in="0">
        <tpls c="5">
          <tpl fld="1" item="2"/>
          <tpl fld="2" item="4"/>
          <tpl hier="10" item="5"/>
          <tpl hier="11" item="9"/>
          <tpl fld="0" item="1"/>
        </tpls>
      </m>
      <m in="0">
        <tpls c="5">
          <tpl fld="1" item="10"/>
          <tpl fld="2" item="9"/>
          <tpl hier="10" item="5"/>
          <tpl hier="11" item="9"/>
          <tpl fld="0" item="1"/>
        </tpls>
      </m>
      <m in="0">
        <tpls c="5">
          <tpl fld="1" item="5"/>
          <tpl fld="2" item="9"/>
          <tpl hier="10" item="5"/>
          <tpl hier="11" item="9"/>
          <tpl fld="0" item="1"/>
        </tpls>
      </m>
      <n v="-4928" in="0">
        <tpls c="5">
          <tpl fld="1" item="8"/>
          <tpl fld="2" item="12"/>
          <tpl hier="10" item="5"/>
          <tpl hier="11" item="9"/>
          <tpl fld="0" item="0"/>
        </tpls>
      </n>
      <n v="-1233.25" in="0">
        <tpls c="5">
          <tpl fld="1" item="8"/>
          <tpl fld="2" item="5"/>
          <tpl hier="10" item="5"/>
          <tpl hier="11" item="9"/>
          <tpl fld="0" item="0"/>
        </tpls>
      </n>
      <m in="0">
        <tpls c="5">
          <tpl fld="1" item="9"/>
          <tpl fld="2" item="5"/>
          <tpl hier="10" item="5"/>
          <tpl hier="11" item="9"/>
          <tpl fld="0" item="1"/>
        </tpls>
      </m>
      <m in="0">
        <tpls c="5">
          <tpl fld="1" item="10"/>
          <tpl fld="2" item="5"/>
          <tpl hier="10" item="5"/>
          <tpl hier="11" item="9"/>
          <tpl fld="0" item="1"/>
        </tpls>
      </m>
      <n v="-276057.75" in="0">
        <tpls c="5">
          <tpl fld="1" item="5"/>
          <tpl hier="9" item="4294967295"/>
          <tpl hier="10" item="5"/>
          <tpl hier="11" item="9"/>
          <tpl fld="0" item="0"/>
        </tpls>
      </n>
      <m in="0">
        <tpls c="5">
          <tpl fld="1" item="1"/>
          <tpl fld="2" item="15"/>
          <tpl hier="10" item="5"/>
          <tpl hier="11" item="9"/>
          <tpl fld="0" item="1"/>
        </tpls>
      </m>
      <n v="-2674.25" in="0">
        <tpls c="5">
          <tpl fld="1" item="0"/>
          <tpl fld="2" item="3"/>
          <tpl hier="10" item="5"/>
          <tpl hier="11" item="9"/>
          <tpl fld="0" item="0"/>
        </tpls>
      </n>
      <m in="0">
        <tpls c="5">
          <tpl fld="1" item="3"/>
          <tpl fld="2" item="4"/>
          <tpl hier="10" item="5"/>
          <tpl hier="11" item="9"/>
          <tpl fld="0" item="0"/>
        </tpls>
      </m>
      <m in="0">
        <tpls c="5">
          <tpl fld="1" item="2"/>
          <tpl fld="2" item="9"/>
          <tpl hier="10" item="5"/>
          <tpl hier="11" item="9"/>
          <tpl fld="0" item="0"/>
        </tpls>
      </m>
      <m in="0">
        <tpls c="5">
          <tpl fld="1" item="7"/>
          <tpl fld="2" item="6"/>
          <tpl hier="10" item="5"/>
          <tpl hier="11" item="9"/>
          <tpl fld="0" item="1"/>
        </tpls>
      </m>
      <m in="0">
        <tpls c="5">
          <tpl fld="1" item="6"/>
          <tpl fld="2" item="2"/>
          <tpl hier="10" item="5"/>
          <tpl hier="11" item="9"/>
          <tpl fld="0" item="1"/>
        </tpls>
      </m>
      <m in="0">
        <tpls c="5">
          <tpl fld="1" item="1"/>
          <tpl fld="2" item="4"/>
          <tpl hier="10" item="5"/>
          <tpl hier="11" item="9"/>
          <tpl fld="0" item="0"/>
        </tpls>
      </m>
      <m in="0">
        <tpls c="5">
          <tpl fld="1" item="8"/>
          <tpl fld="2" item="9"/>
          <tpl hier="10" item="5"/>
          <tpl hier="11" item="9"/>
          <tpl fld="0" item="0"/>
        </tpls>
      </m>
      <m in="0">
        <tpls c="5">
          <tpl fld="1" item="5"/>
          <tpl fld="2" item="5"/>
          <tpl hier="10" item="5"/>
          <tpl hier="11" item="9"/>
          <tpl fld="0" item="1"/>
        </tpls>
      </m>
      <m in="0">
        <tpls c="5">
          <tpl fld="1" item="8"/>
          <tpl fld="2" item="12"/>
          <tpl hier="10" item="5"/>
          <tpl hier="11" item="9"/>
          <tpl fld="0" item="1"/>
        </tpls>
      </m>
      <n v="-4644.75" in="0">
        <tpls c="5">
          <tpl fld="1" item="10"/>
          <tpl fld="2" item="1"/>
          <tpl hier="10" item="5"/>
          <tpl hier="11" item="9"/>
          <tpl fld="0" item="0"/>
        </tpls>
      </n>
      <m in="0">
        <tpls c="5">
          <tpl fld="1" item="9"/>
          <tpl fld="2" item="10"/>
          <tpl hier="10" item="5"/>
          <tpl hier="11" item="9"/>
          <tpl fld="0" item="1"/>
        </tpls>
      </m>
      <m in="0">
        <tpls c="5">
          <tpl fld="1" item="10"/>
          <tpl fld="2" item="2"/>
          <tpl hier="10" item="5"/>
          <tpl hier="11" item="9"/>
          <tpl fld="0" item="1"/>
        </tpls>
      </m>
      <m in="0">
        <tpls c="5">
          <tpl fld="1" item="5"/>
          <tpl hier="9" item="4294967295"/>
          <tpl hier="10" item="5"/>
          <tpl hier="11" item="9"/>
          <tpl fld="0" item="1"/>
        </tpls>
      </m>
      <n v="-4711.25" in="0">
        <tpls c="5">
          <tpl fld="1" item="5"/>
          <tpl fld="2" item="15"/>
          <tpl hier="10" item="5"/>
          <tpl hier="11" item="9"/>
          <tpl fld="0" item="0"/>
        </tpls>
      </n>
      <m in="0">
        <tpls c="5">
          <tpl fld="1" item="0"/>
          <tpl fld="2" item="4"/>
          <tpl hier="10" item="5"/>
          <tpl hier="11" item="9"/>
          <tpl fld="0" item="1"/>
        </tpls>
      </m>
      <n v="-4733.25" in="0">
        <tpls c="5">
          <tpl fld="1" item="3"/>
          <tpl fld="2" item="1"/>
          <tpl hier="10" item="5"/>
          <tpl hier="11" item="9"/>
          <tpl fld="0" item="0"/>
        </tpls>
      </n>
      <m in="0">
        <tpls c="5">
          <tpl fld="1" item="5"/>
          <tpl fld="2" item="0"/>
          <tpl hier="10" item="5"/>
          <tpl hier="11" item="9"/>
          <tpl fld="0" item="1"/>
        </tpls>
      </m>
      <n v="-3079.25" in="0">
        <tpls c="5">
          <tpl fld="1" item="11"/>
          <tpl fld="2" item="3"/>
          <tpl hier="10" item="5"/>
          <tpl hier="11" item="9"/>
          <tpl fld="0" item="0"/>
        </tpls>
      </n>
      <m in="0">
        <tpls c="5">
          <tpl fld="1" item="1"/>
          <tpl fld="2" item="4"/>
          <tpl hier="10" item="5"/>
          <tpl hier="11" item="9"/>
          <tpl fld="0" item="1"/>
        </tpls>
      </m>
      <m in="0">
        <tpls c="5">
          <tpl fld="1" item="8"/>
          <tpl fld="2" item="9"/>
          <tpl hier="10" item="5"/>
          <tpl hier="11" item="9"/>
          <tpl fld="0" item="1"/>
        </tpls>
      </m>
      <m in="0">
        <tpls c="5">
          <tpl fld="1" item="5"/>
          <tpl fld="2" item="7"/>
          <tpl hier="10" item="5"/>
          <tpl hier="11" item="9"/>
          <tpl fld="0" item="1"/>
        </tpls>
      </m>
      <n v="-5002.5" in="0">
        <tpls c="5">
          <tpl fld="1" item="7"/>
          <tpl fld="2" item="12"/>
          <tpl hier="10" item="5"/>
          <tpl hier="11" item="9"/>
          <tpl fld="0" item="0"/>
        </tpls>
      </n>
      <m in="0">
        <tpls c="5">
          <tpl fld="1" item="10"/>
          <tpl fld="2" item="4"/>
          <tpl hier="10" item="5"/>
          <tpl hier="11" item="9"/>
          <tpl fld="0" item="0"/>
        </tpls>
      </m>
      <m in="0">
        <tpls c="5">
          <tpl fld="1" item="9"/>
          <tpl fld="2" item="0"/>
          <tpl hier="10" item="5"/>
          <tpl hier="11" item="9"/>
          <tpl fld="0" item="1"/>
        </tpls>
      </m>
      <n v="-1357.75" in="0">
        <tpls c="5">
          <tpl fld="1" item="5"/>
          <tpl fld="2" item="5"/>
          <tpl hier="10" item="5"/>
          <tpl hier="11" item="9"/>
          <tpl fld="0" item="0"/>
        </tpls>
      </n>
      <n v="-288194.5" in="0">
        <tpls c="5">
          <tpl fld="1" item="4"/>
          <tpl hier="9" item="4294967295"/>
          <tpl hier="10" item="5"/>
          <tpl hier="11" item="9"/>
          <tpl fld="0" item="0"/>
        </tpls>
      </n>
      <m in="0">
        <tpls c="5">
          <tpl fld="1" item="5"/>
          <tpl fld="2" item="15"/>
          <tpl hier="10" item="5"/>
          <tpl hier="11" item="9"/>
          <tpl fld="0" item="1"/>
        </tpls>
      </m>
      <m in="0">
        <tpls c="5">
          <tpl fld="1" item="0"/>
          <tpl fld="2" item="4"/>
          <tpl hier="10" item="5"/>
          <tpl hier="11" item="9"/>
          <tpl fld="0" item="0"/>
        </tpls>
      </m>
      <n v="-6208.75" in="0">
        <tpls c="5">
          <tpl fld="1" item="6"/>
          <tpl fld="2" item="1"/>
          <tpl hier="10" item="5"/>
          <tpl hier="11" item="9"/>
          <tpl fld="0" item="0"/>
        </tpls>
      </n>
      <m in="0">
        <tpls c="5">
          <tpl fld="1" item="9"/>
          <tpl fld="2" item="8"/>
          <tpl hier="10" item="5"/>
          <tpl hier="11" item="9"/>
          <tpl fld="0" item="0"/>
        </tpls>
      </m>
      <n v="-245110.75" in="0">
        <tpls c="5">
          <tpl fld="1" item="8"/>
          <tpl fld="2" item="0"/>
          <tpl hier="10" item="5"/>
          <tpl hier="11" item="9"/>
          <tpl fld="0" item="0"/>
        </tpls>
      </n>
      <m in="0">
        <tpls c="5">
          <tpl fld="1" item="1"/>
          <tpl fld="2" item="1"/>
          <tpl hier="10" item="5"/>
          <tpl hier="11" item="9"/>
          <tpl fld="0" item="1"/>
        </tpls>
      </m>
      <m in="0">
        <tpls c="5">
          <tpl fld="1" item="10"/>
          <tpl fld="2" item="3"/>
          <tpl hier="10" item="5"/>
          <tpl hier="11" item="9"/>
          <tpl fld="0" item="1"/>
        </tpls>
      </m>
      <m in="0">
        <tpls c="5">
          <tpl fld="1" item="11"/>
          <tpl fld="2" item="6"/>
          <tpl hier="10" item="5"/>
          <tpl hier="11" item="9"/>
          <tpl fld="0" item="1"/>
        </tpls>
      </m>
      <m in="0">
        <tpls c="5">
          <tpl fld="1" item="5"/>
          <tpl fld="2" item="4"/>
          <tpl hier="10" item="5"/>
          <tpl hier="11" item="9"/>
          <tpl fld="0" item="0"/>
        </tpls>
      </m>
      <m in="0">
        <tpls c="5">
          <tpl fld="1" item="7"/>
          <tpl fld="2" item="9"/>
          <tpl hier="10" item="5"/>
          <tpl hier="11" item="9"/>
          <tpl fld="0" item="0"/>
        </tpls>
      </m>
      <m in="0">
        <tpls c="5">
          <tpl fld="1" item="5"/>
          <tpl fld="2" item="6"/>
          <tpl hier="10" item="5"/>
          <tpl hier="11" item="9"/>
          <tpl fld="0" item="1"/>
        </tpls>
      </m>
      <m in="0">
        <tpls c="5">
          <tpl fld="1" item="7"/>
          <tpl fld="2" item="12"/>
          <tpl hier="10" item="5"/>
          <tpl hier="11" item="9"/>
          <tpl fld="0" item="1"/>
        </tpls>
      </m>
      <n v="-1315.75" in="0">
        <tpls c="5">
          <tpl fld="1" item="10"/>
          <tpl fld="2" item="5"/>
          <tpl hier="10" item="5"/>
          <tpl hier="11" item="9"/>
          <tpl fld="0" item="0"/>
        </tpls>
      </n>
      <m in="0">
        <tpls c="5">
          <tpl fld="1" item="3"/>
          <tpl fld="2" item="14"/>
          <tpl hier="10" item="5"/>
          <tpl hier="11" item="9"/>
          <tpl fld="0" item="0"/>
        </tpls>
      </m>
      <n v="-14548.75" in="0">
        <tpls c="5">
          <tpl fld="1" item="5"/>
          <tpl fld="2" item="10"/>
          <tpl hier="10" item="5"/>
          <tpl hier="11" item="9"/>
          <tpl fld="0" item="0"/>
        </tpls>
      </n>
      <m in="0">
        <tpls c="5">
          <tpl fld="1" item="4"/>
          <tpl hier="9" item="4294967295"/>
          <tpl hier="10" item="5"/>
          <tpl hier="11" item="9"/>
          <tpl fld="0" item="1"/>
        </tpls>
      </m>
      <m in="0">
        <tpls c="5">
          <tpl fld="1" item="3"/>
          <tpl fld="2" item="15"/>
          <tpl hier="10" item="5"/>
          <tpl hier="11" item="9"/>
          <tpl fld="0" item="1"/>
        </tpls>
      </m>
      <m in="0">
        <tpls c="5">
          <tpl fld="1" item="0"/>
          <tpl fld="2" item="5"/>
          <tpl hier="10" item="5"/>
          <tpl hier="11" item="9"/>
          <tpl fld="0" item="1"/>
        </tpls>
      </m>
      <m in="0">
        <tpls c="5">
          <tpl fld="1" item="1"/>
          <tpl fld="2" item="7"/>
          <tpl hier="10" item="5"/>
          <tpl hier="11" item="9"/>
          <tpl fld="0" item="0"/>
        </tpls>
      </m>
      <n v="-16656" in="0">
        <tpls c="5">
          <tpl fld="1" item="7"/>
          <tpl fld="2" item="6"/>
          <tpl hier="10" item="5"/>
          <tpl hier="11" item="9"/>
          <tpl fld="0" item="0"/>
        </tpls>
      </n>
      <m in="0">
        <tpls c="5">
          <tpl fld="1" item="1"/>
          <tpl fld="2" item="14"/>
          <tpl hier="10" item="5"/>
          <tpl hier="11" item="9"/>
          <tpl fld="0" item="1"/>
        </tpls>
      </m>
      <n v="-17215.75" in="0">
        <tpls c="5">
          <tpl fld="1" item="8"/>
          <tpl fld="2" item="6"/>
          <tpl hier="10" item="5"/>
          <tpl hier="11" item="9"/>
          <tpl fld="0" item="0"/>
        </tpls>
      </n>
      <m in="0">
        <tpls c="5">
          <tpl fld="1" item="10"/>
          <tpl fld="2" item="7"/>
          <tpl hier="10" item="5"/>
          <tpl hier="11" item="9"/>
          <tpl fld="0" item="0"/>
        </tpls>
      </m>
      <n v="-1071" in="0">
        <tpls c="5">
          <tpl fld="1" item="3"/>
          <tpl fld="2" item="5"/>
          <tpl hier="10" item="5"/>
          <tpl hier="11" item="9"/>
          <tpl fld="0" item="0"/>
        </tpls>
      </n>
      <m in="0">
        <tpls c="5">
          <tpl fld="1" item="7"/>
          <tpl fld="2" item="9"/>
          <tpl hier="10" item="5"/>
          <tpl hier="11" item="9"/>
          <tpl fld="0" item="1"/>
        </tpls>
      </m>
      <m in="0">
        <tpls c="5">
          <tpl fld="1" item="5"/>
          <tpl fld="2" item="1"/>
          <tpl hier="10" item="5"/>
          <tpl hier="11" item="9"/>
          <tpl fld="0" item="1"/>
        </tpls>
      </m>
      <n v="-4310.75" in="0">
        <tpls c="5">
          <tpl fld="1" item="6"/>
          <tpl fld="2" item="12"/>
          <tpl hier="10" item="5"/>
          <tpl hier="11" item="9"/>
          <tpl fld="0" item="0"/>
        </tpls>
      </n>
      <m in="0">
        <tpls c="5">
          <tpl fld="1" item="10"/>
          <tpl fld="2" item="2"/>
          <tpl hier="10" item="5"/>
          <tpl hier="11" item="9"/>
          <tpl fld="0" item="0"/>
        </tpls>
      </m>
      <m in="0">
        <tpls c="5">
          <tpl fld="1" item="3"/>
          <tpl fld="2" item="14"/>
          <tpl hier="10" item="5"/>
          <tpl hier="11" item="9"/>
          <tpl fld="0" item="1"/>
        </tpls>
      </m>
      <m in="0">
        <tpls c="5">
          <tpl fld="1" item="5"/>
          <tpl fld="2" item="9"/>
          <tpl hier="10" item="5"/>
          <tpl hier="11" item="9"/>
          <tpl fld="0" item="0"/>
        </tpls>
      </m>
      <n v="-231690" in="0">
        <tpls c="5">
          <tpl fld="1" item="9"/>
          <tpl hier="9" item="4294967295"/>
          <tpl hier="10" item="5"/>
          <tpl hier="11" item="9"/>
          <tpl fld="0" item="0"/>
        </tpls>
      </n>
      <n v="-5172.5" in="0">
        <tpls c="5">
          <tpl fld="1" item="4"/>
          <tpl fld="2" item="15"/>
          <tpl hier="10" item="5"/>
          <tpl hier="11" item="9"/>
          <tpl fld="0" item="0"/>
        </tpls>
      </n>
      <n v="-1079" in="0">
        <tpls c="5">
          <tpl fld="1" item="0"/>
          <tpl fld="2" item="5"/>
          <tpl hier="10" item="5"/>
          <tpl hier="11" item="9"/>
          <tpl fld="0" item="0"/>
        </tpls>
      </n>
      <n v="-1882.5" in="0">
        <tpls c="5">
          <tpl fld="1" item="9"/>
          <tpl fld="2" item="3"/>
          <tpl hier="10" item="5"/>
          <tpl hier="11" item="9"/>
          <tpl fld="0" item="0"/>
        </tpls>
      </n>
      <n v="-565.25" in="0">
        <tpls c="5">
          <tpl fld="1" item="1"/>
          <tpl fld="2" item="11"/>
          <tpl hier="10" item="5"/>
          <tpl hier="11" item="9"/>
          <tpl fld="0" item="0"/>
        </tpls>
      </n>
      <n v="-224566" in="0">
        <tpls c="5">
          <tpl fld="1" item="6"/>
          <tpl fld="2" item="0"/>
          <tpl hier="10" item="5"/>
          <tpl hier="11" item="9"/>
          <tpl fld="0" item="0"/>
        </tpls>
      </n>
      <m in="0">
        <tpls c="5">
          <tpl fld="1" item="5"/>
          <tpl fld="2" item="11"/>
          <tpl hier="10" item="5"/>
          <tpl hier="11" item="9"/>
          <tpl fld="0" item="1"/>
        </tpls>
      </m>
      <m in="0">
        <tpls c="5">
          <tpl fld="1" item="3"/>
          <tpl fld="2" item="5"/>
          <tpl hier="10" item="5"/>
          <tpl hier="11" item="9"/>
          <tpl fld="0" item="1"/>
        </tpls>
      </m>
      <m in="0">
        <tpls c="5">
          <tpl fld="1" item="6"/>
          <tpl fld="2" item="9"/>
          <tpl hier="10" item="5"/>
          <tpl hier="11" item="9"/>
          <tpl fld="0" item="0"/>
        </tpls>
      </m>
      <m in="0">
        <tpls c="5">
          <tpl fld="1" item="5"/>
          <tpl fld="2" item="2"/>
          <tpl hier="10" item="5"/>
          <tpl hier="11" item="9"/>
          <tpl fld="0" item="1"/>
        </tpls>
      </m>
      <m in="0">
        <tpls c="5">
          <tpl fld="1" item="6"/>
          <tpl fld="2" item="12"/>
          <tpl hier="10" item="5"/>
          <tpl hier="11" item="9"/>
          <tpl fld="0" item="1"/>
        </tpls>
      </m>
      <n v="-241004.5" in="0">
        <tpls c="5">
          <tpl fld="1" item="10"/>
          <tpl fld="2" item="0"/>
          <tpl hier="10" item="5"/>
          <tpl hier="11" item="9"/>
          <tpl fld="0" item="0"/>
        </tpls>
      </n>
      <m in="0">
        <tpls c="5">
          <tpl fld="1" item="2"/>
          <tpl fld="2" item="14"/>
          <tpl hier="10" item="5"/>
          <tpl hier="11" item="9"/>
          <tpl fld="0" item="0"/>
        </tpls>
      </m>
      <m in="0">
        <tpls c="5">
          <tpl fld="1" item="5"/>
          <tpl fld="2" item="7"/>
          <tpl hier="10" item="5"/>
          <tpl hier="11" item="9"/>
          <tpl fld="0" item="0"/>
        </tpls>
      </m>
      <n v="-260259.5" in="0">
        <tpls c="5">
          <tpl fld="1" item="11"/>
          <tpl hier="9" item="4294967295"/>
          <tpl hier="10" item="5"/>
          <tpl hier="11" item="9"/>
          <tpl fld="0" item="0"/>
        </tpls>
      </n>
      <n v="-6471" in="0">
        <tpls c="5">
          <tpl fld="1" item="3"/>
          <tpl fld="2" item="15"/>
          <tpl hier="10" item="5"/>
          <tpl hier="11" item="9"/>
          <tpl fld="0" item="0"/>
        </tpls>
      </n>
      <m in="0">
        <tpls c="5">
          <tpl fld="1" item="0"/>
          <tpl fld="2" item="6"/>
          <tpl hier="10" item="5"/>
          <tpl hier="11" item="9"/>
          <tpl fld="0" item="1"/>
        </tpls>
      </m>
      <m in="0">
        <tpls c="5">
          <tpl fld="1" item="7"/>
          <tpl fld="2" item="1"/>
          <tpl hier="10" item="5"/>
          <tpl hier="11" item="9"/>
          <tpl fld="0" item="1"/>
        </tpls>
      </m>
      <m in="0">
        <tpls c="5">
          <tpl fld="1" item="2"/>
          <tpl fld="2" item="0"/>
          <tpl hier="10" item="5"/>
          <tpl hier="11" item="9"/>
          <tpl fld="0" item="1"/>
        </tpls>
      </m>
      <m in="0">
        <tpls c="5">
          <tpl fld="1" item="1"/>
          <tpl fld="2" item="9"/>
          <tpl hier="10" item="5"/>
          <tpl hier="11" item="9"/>
          <tpl fld="0" item="1"/>
        </tpls>
      </m>
      <n v="-16488.25" in="0">
        <tpls c="5">
          <tpl fld="1" item="11"/>
          <tpl fld="2" item="6"/>
          <tpl hier="10" item="5"/>
          <tpl hier="11" item="9"/>
          <tpl fld="0" item="0"/>
        </tpls>
      </n>
      <n v="-57176.75" in="0">
        <tpls c="4">
          <tpl fld="2" item="12"/>
          <tpl hier="10" item="5"/>
          <tpl hier="11" item="9"/>
          <tpl fld="0" item="0"/>
        </tpls>
      </n>
      <m in="0">
        <tpls c="5">
          <tpl fld="1" item="4"/>
          <tpl fld="2" item="6"/>
          <tpl hier="10" item="5"/>
          <tpl hier="11" item="9"/>
          <tpl fld="0" item="1"/>
        </tpls>
      </m>
      <m in="0">
        <tpls c="5">
          <tpl fld="1" item="8"/>
          <tpl fld="2" item="11"/>
          <tpl hier="10" item="5"/>
          <tpl hier="11" item="9"/>
          <tpl fld="0" item="1"/>
        </tpls>
      </m>
      <n v="-17935.75" in="0">
        <tpls c="5">
          <tpl fld="1" item="1"/>
          <tpl fld="2" item="6"/>
          <tpl hier="10" item="5"/>
          <tpl hier="11" item="9"/>
          <tpl fld="0" item="0"/>
        </tpls>
      </n>
      <m in="0">
        <tpls c="5">
          <tpl fld="1" item="7"/>
          <tpl fld="2" item="13"/>
          <tpl hier="10" item="5"/>
          <tpl hier="11" item="9"/>
          <tpl fld="0" item="1"/>
        </tpls>
      </m>
      <m in="0">
        <tpls c="5">
          <tpl fld="1" item="7"/>
          <tpl fld="2" item="10"/>
          <tpl hier="10" item="5"/>
          <tpl hier="11" item="9"/>
          <tpl fld="0" item="1"/>
        </tpls>
      </m>
      <n v="-4017" in="0">
        <tpls c="5">
          <tpl fld="1" item="9"/>
          <tpl fld="2" item="1"/>
          <tpl hier="10" item="5"/>
          <tpl hier="11" item="9"/>
          <tpl fld="0" item="0"/>
        </tpls>
      </n>
      <m in="0">
        <tpls c="5">
          <tpl fld="1" item="0"/>
          <tpl fld="2" item="8"/>
          <tpl hier="10" item="5"/>
          <tpl hier="11" item="9"/>
          <tpl fld="0" item="1"/>
        </tpls>
      </m>
      <n v="-180158.5" in="0">
        <tpls c="5">
          <tpl fld="1" item="9"/>
          <tpl fld="2" item="0"/>
          <tpl hier="10" item="5"/>
          <tpl hier="11" item="9"/>
          <tpl fld="0" item="0"/>
        </tpls>
      </n>
      <m in="0">
        <tpls c="5">
          <tpl fld="1" item="4"/>
          <tpl fld="2" item="9"/>
          <tpl hier="10" item="6"/>
          <tpl hier="11" item="9"/>
          <tpl fld="0" item="0"/>
        </tpls>
      </m>
      <m in="0">
        <tpls c="5">
          <tpl fld="1" item="1"/>
          <tpl fld="2" item="7"/>
          <tpl hier="10" item="6"/>
          <tpl hier="11" item="9"/>
          <tpl fld="0" item="1"/>
        </tpls>
      </m>
      <m in="0">
        <tpls c="5">
          <tpl fld="1" item="3"/>
          <tpl fld="2" item="2"/>
          <tpl hier="10" item="6"/>
          <tpl hier="11" item="9"/>
          <tpl fld="0" item="0"/>
        </tpls>
      </m>
      <m in="0">
        <tpls c="5">
          <tpl fld="1" item="2"/>
          <tpl fld="2" item="6"/>
          <tpl hier="10" item="6"/>
          <tpl hier="11" item="9"/>
          <tpl fld="0" item="1"/>
        </tpls>
      </m>
      <m in="0">
        <tpls c="5">
          <tpl fld="1" item="3"/>
          <tpl fld="2" item="11"/>
          <tpl hier="10" item="6"/>
          <tpl hier="11" item="9"/>
          <tpl fld="0" item="1"/>
        </tpls>
      </m>
      <n v="-14517.75" in="0">
        <tpls c="5">
          <tpl fld="1" item="3"/>
          <tpl fld="2" item="10"/>
          <tpl hier="10" item="6"/>
          <tpl hier="11" item="9"/>
          <tpl fld="0" item="0"/>
        </tpls>
      </n>
      <n v="-2274.5" in="0">
        <tpls c="5">
          <tpl fld="1" item="10"/>
          <tpl fld="2" item="3"/>
          <tpl hier="10" item="6"/>
          <tpl hier="11" item="9"/>
          <tpl fld="0" item="0"/>
        </tpls>
      </n>
      <m in="0">
        <tpls c="5">
          <tpl fld="1" item="11"/>
          <tpl fld="2" item="7"/>
          <tpl hier="10" item="6"/>
          <tpl hier="11" item="9"/>
          <tpl fld="0" item="0"/>
        </tpls>
      </m>
      <m in="0">
        <tpls c="5">
          <tpl fld="1" item="3"/>
          <tpl fld="2" item="6"/>
          <tpl hier="10" item="6"/>
          <tpl hier="11" item="9"/>
          <tpl fld="0" item="1"/>
        </tpls>
      </m>
      <m in="0">
        <tpls c="5">
          <tpl fld="1" item="4"/>
          <tpl fld="2" item="9"/>
          <tpl hier="10" item="6"/>
          <tpl hier="11" item="9"/>
          <tpl fld="0" item="1"/>
        </tpls>
      </m>
      <m in="0">
        <tpls c="5">
          <tpl fld="1" item="10"/>
          <tpl fld="2" item="11"/>
          <tpl hier="10" item="6"/>
          <tpl hier="11" item="9"/>
          <tpl fld="0" item="1"/>
        </tpls>
      </m>
      <n v="-3564.75" in="0">
        <tpls c="5">
          <tpl fld="1" item="7"/>
          <tpl fld="2" item="13"/>
          <tpl hier="10" item="6"/>
          <tpl hier="11" item="9"/>
          <tpl fld="0" item="0"/>
        </tpls>
      </n>
      <m in="0">
        <tpls c="5">
          <tpl fld="1" item="11"/>
          <tpl fld="2" item="5"/>
          <tpl hier="10" item="6"/>
          <tpl hier="11" item="9"/>
          <tpl fld="0" item="1"/>
        </tpls>
      </m>
      <m in="0">
        <tpls c="5">
          <tpl fld="1" item="5"/>
          <tpl fld="2" item="14"/>
          <tpl hier="10" item="6"/>
          <tpl hier="11" item="9"/>
          <tpl fld="0" item="0"/>
        </tpls>
      </m>
      <m in="0">
        <tpls c="4">
          <tpl fld="2" item="13"/>
          <tpl hier="10" item="6"/>
          <tpl hier="11" item="9"/>
          <tpl fld="0" item="1"/>
        </tpls>
      </m>
      <n v="-315460.75" in="0">
        <tpls c="5">
          <tpl fld="1" item="7"/>
          <tpl hier="9" item="4294967295"/>
          <tpl hier="10" item="6"/>
          <tpl hier="11" item="9"/>
          <tpl fld="0" item="0"/>
        </tpls>
      </n>
      <m in="0">
        <tpls c="5">
          <tpl fld="1" item="11"/>
          <tpl fld="2" item="15"/>
          <tpl hier="10" item="6"/>
          <tpl hier="11" item="9"/>
          <tpl fld="0" item="1"/>
        </tpls>
      </m>
      <m in="0">
        <tpls c="5">
          <tpl fld="1" item="0"/>
          <tpl fld="2" item="8"/>
          <tpl hier="10" item="6"/>
          <tpl hier="11" item="9"/>
          <tpl fld="0" item="0"/>
        </tpls>
      </m>
      <m in="0">
        <tpls c="5">
          <tpl fld="1" item="6"/>
          <tpl fld="2" item="1"/>
          <tpl hier="10" item="6"/>
          <tpl hier="11" item="9"/>
          <tpl fld="0" item="1"/>
        </tpls>
      </m>
      <m in="0">
        <tpls c="5">
          <tpl fld="1" item="3"/>
          <tpl fld="2" item="7"/>
          <tpl hier="10" item="6"/>
          <tpl hier="11" item="9"/>
          <tpl fld="0" item="0"/>
        </tpls>
      </m>
      <m in="0">
        <tpls c="5">
          <tpl fld="1" item="6"/>
          <tpl fld="2" item="9"/>
          <tpl hier="10" item="6"/>
          <tpl hier="11" item="9"/>
          <tpl fld="0" item="1"/>
        </tpls>
      </m>
      <m in="0">
        <tpls c="5">
          <tpl fld="1" item="3"/>
          <tpl fld="2" item="3"/>
          <tpl hier="10" item="6"/>
          <tpl hier="11" item="9"/>
          <tpl fld="0" item="1"/>
        </tpls>
      </m>
      <n v="-376.25" in="0">
        <tpls c="5">
          <tpl fld="1" item="9"/>
          <tpl fld="2" item="11"/>
          <tpl hier="10" item="6"/>
          <tpl hier="11" item="9"/>
          <tpl fld="0" item="0"/>
        </tpls>
      </n>
      <m in="0">
        <tpls c="5">
          <tpl fld="1" item="10"/>
          <tpl fld="2" item="6"/>
          <tpl hier="10" item="6"/>
          <tpl hier="11" item="9"/>
          <tpl fld="0" item="1"/>
        </tpls>
      </m>
      <m in="0">
        <tpls c="5">
          <tpl fld="1" item="3"/>
          <tpl fld="2" item="0"/>
          <tpl hier="10" item="6"/>
          <tpl hier="11" item="9"/>
          <tpl fld="0" item="1"/>
        </tpls>
      </m>
      <n v="-16689" in="0">
        <tpls c="5">
          <tpl fld="1" item="2"/>
          <tpl fld="2" item="6"/>
          <tpl hier="10" item="6"/>
          <tpl hier="11" item="9"/>
          <tpl fld="0" item="0"/>
        </tpls>
      </n>
      <m in="0">
        <tpls c="5">
          <tpl fld="1" item="4"/>
          <tpl fld="2" item="5"/>
          <tpl hier="10" item="6"/>
          <tpl hier="11" item="9"/>
          <tpl fld="0" item="1"/>
        </tpls>
      </m>
      <n v="-585.25" in="0">
        <tpls c="5">
          <tpl fld="1" item="8"/>
          <tpl fld="2" item="11"/>
          <tpl hier="10" item="6"/>
          <tpl hier="11" item="9"/>
          <tpl fld="0" item="0"/>
        </tpls>
      </n>
      <n v="-5329.5" in="0">
        <tpls c="5">
          <tpl fld="1" item="3"/>
          <tpl fld="2" item="13"/>
          <tpl hier="10" item="6"/>
          <tpl hier="11" item="9"/>
          <tpl fld="0" item="0"/>
        </tpls>
      </n>
      <m in="0">
        <tpls c="5">
          <tpl fld="1" item="11"/>
          <tpl fld="2" item="2"/>
          <tpl hier="10" item="6"/>
          <tpl hier="11" item="9"/>
          <tpl fld="0" item="1"/>
        </tpls>
      </m>
      <m in="0">
        <tpls c="5">
          <tpl fld="1" item="5"/>
          <tpl fld="2" item="14"/>
          <tpl hier="10" item="6"/>
          <tpl hier="11" item="9"/>
          <tpl fld="0" item="1"/>
        </tpls>
      </m>
      <m in="0">
        <tpls c="4">
          <tpl fld="2" item="12"/>
          <tpl hier="10" item="6"/>
          <tpl hier="11" item="9"/>
          <tpl fld="0" item="1"/>
        </tpls>
      </m>
      <m in="0">
        <tpls c="5">
          <tpl fld="1" item="7"/>
          <tpl hier="9" item="4294967295"/>
          <tpl hier="10" item="6"/>
          <tpl hier="11" item="9"/>
          <tpl fld="0" item="1"/>
        </tpls>
      </m>
      <n v="-76542.5" in="0">
        <tpls c="4">
          <tpl fld="2" item="15"/>
          <tpl hier="10" item="6"/>
          <tpl hier="11" item="9"/>
          <tpl fld="0" item="0"/>
        </tpls>
      </n>
      <m in="0">
        <tpls c="5">
          <tpl fld="1" item="0"/>
          <tpl fld="2" item="9"/>
          <tpl hier="10" item="6"/>
          <tpl hier="11" item="9"/>
          <tpl fld="0" item="1"/>
        </tpls>
      </m>
      <m in="0">
        <tpls c="5">
          <tpl fld="1" item="6"/>
          <tpl fld="2" item="4"/>
          <tpl hier="10" item="6"/>
          <tpl hier="11" item="9"/>
          <tpl fld="0" item="1"/>
        </tpls>
      </m>
      <m in="0">
        <tpls c="5">
          <tpl fld="1" item="2"/>
          <tpl fld="2" item="1"/>
          <tpl hier="10" item="6"/>
          <tpl hier="11" item="9"/>
          <tpl fld="0" item="1"/>
        </tpls>
      </m>
      <m in="0">
        <tpls c="5">
          <tpl fld="1" item="2"/>
          <tpl fld="2" item="2"/>
          <tpl hier="10" item="6"/>
          <tpl hier="11" item="9"/>
          <tpl fld="0" item="1"/>
        </tpls>
      </m>
      <m in="0">
        <tpls c="5">
          <tpl fld="1" item="3"/>
          <tpl fld="2" item="8"/>
          <tpl hier="10" item="6"/>
          <tpl hier="11" item="9"/>
          <tpl fld="0" item="1"/>
        </tpls>
      </m>
      <m in="0">
        <tpls c="5">
          <tpl fld="1" item="3"/>
          <tpl fld="2" item="9"/>
          <tpl hier="10" item="6"/>
          <tpl hier="11" item="9"/>
          <tpl fld="0" item="1"/>
        </tpls>
      </m>
      <n v="-527.25" in="0">
        <tpls c="5">
          <tpl fld="1" item="5"/>
          <tpl fld="2" item="11"/>
          <tpl hier="10" item="6"/>
          <tpl hier="11" item="9"/>
          <tpl fld="0" item="0"/>
        </tpls>
      </n>
      <n v="-21119.5" in="0">
        <tpls c="5">
          <tpl fld="1" item="9"/>
          <tpl fld="2" item="6"/>
          <tpl hier="10" item="6"/>
          <tpl hier="11" item="9"/>
          <tpl fld="0" item="0"/>
        </tpls>
      </n>
      <m in="0">
        <tpls c="5">
          <tpl fld="1" item="4"/>
          <tpl fld="2" item="7"/>
          <tpl hier="10" item="6"/>
          <tpl hier="11" item="9"/>
          <tpl fld="0" item="0"/>
        </tpls>
      </m>
      <m in="0">
        <tpls c="5">
          <tpl fld="1" item="4"/>
          <tpl fld="2" item="0"/>
          <tpl hier="10" item="6"/>
          <tpl hier="11" item="9"/>
          <tpl fld="0" item="1"/>
        </tpls>
      </m>
      <n v="-575" in="0">
        <tpls c="5">
          <tpl fld="1" item="7"/>
          <tpl fld="2" item="11"/>
          <tpl hier="10" item="6"/>
          <tpl hier="11" item="9"/>
          <tpl fld="0" item="0"/>
        </tpls>
      </n>
      <m in="0">
        <tpls c="5">
          <tpl fld="1" item="3"/>
          <tpl fld="2" item="13"/>
          <tpl hier="10" item="6"/>
          <tpl hier="11" item="9"/>
          <tpl fld="0" item="1"/>
        </tpls>
      </m>
      <m in="0">
        <tpls c="5">
          <tpl fld="1" item="11"/>
          <tpl fld="2" item="0"/>
          <tpl hier="10" item="6"/>
          <tpl hier="11" item="9"/>
          <tpl fld="0" item="1"/>
        </tpls>
      </m>
      <m in="0">
        <tpls c="5">
          <tpl fld="1" item="11"/>
          <tpl fld="2" item="14"/>
          <tpl hier="10" item="6"/>
          <tpl hier="11" item="9"/>
          <tpl fld="0" item="0"/>
        </tpls>
      </m>
      <m in="0">
        <tpls c="4">
          <tpl fld="2" item="0"/>
          <tpl hier="10" item="6"/>
          <tpl hier="11" item="9"/>
          <tpl fld="0" item="1"/>
        </tpls>
      </m>
      <n v="-264851" in="0">
        <tpls c="5">
          <tpl fld="1" item="6"/>
          <tpl hier="9" item="4294967295"/>
          <tpl hier="10" item="6"/>
          <tpl hier="11" item="9"/>
          <tpl fld="0" item="0"/>
        </tpls>
      </n>
      <m in="0">
        <tpls c="4">
          <tpl fld="2" item="15"/>
          <tpl hier="10" item="6"/>
          <tpl hier="11" item="9"/>
          <tpl fld="0" item="1"/>
        </tpls>
      </m>
      <m in="0">
        <tpls c="5">
          <tpl fld="1" item="0"/>
          <tpl fld="2" item="9"/>
          <tpl hier="10" item="6"/>
          <tpl hier="11" item="9"/>
          <tpl fld="0" item="0"/>
        </tpls>
      </m>
      <m in="0">
        <tpls c="4">
          <tpl fld="2" item="4"/>
          <tpl hier="10" item="6"/>
          <tpl hier="11" item="9"/>
          <tpl fld="0" item="1"/>
        </tpls>
      </m>
      <n v="-8256" in="0">
        <tpls c="5">
          <tpl fld="1" item="8"/>
          <tpl fld="2" item="15"/>
          <tpl hier="10" item="6"/>
          <tpl hier="11" item="9"/>
          <tpl fld="0" item="0"/>
        </tpls>
      </n>
      <m in="0">
        <tpls c="5">
          <tpl fld="1" item="3"/>
          <tpl fld="2" item="8"/>
          <tpl hier="10" item="6"/>
          <tpl hier="11" item="9"/>
          <tpl fld="0" item="0"/>
        </tpls>
      </m>
      <n v="-622.5" in="0">
        <tpls c="5">
          <tpl fld="1" item="3"/>
          <tpl fld="2" item="11"/>
          <tpl hier="10" item="6"/>
          <tpl hier="11" item="9"/>
          <tpl fld="0" item="0"/>
        </tpls>
      </n>
      <m in="0">
        <tpls c="5">
          <tpl fld="1" item="11"/>
          <tpl fld="2" item="14"/>
          <tpl hier="10" item="6"/>
          <tpl hier="11" item="9"/>
          <tpl fld="0" item="1"/>
        </tpls>
      </m>
      <m in="0">
        <tpls c="5">
          <tpl fld="1" item="8"/>
          <tpl fld="2" item="15"/>
          <tpl hier="10" item="6"/>
          <tpl hier="11" item="9"/>
          <tpl fld="0" item="1"/>
        </tpls>
      </m>
      <m in="0">
        <tpls c="5">
          <tpl fld="1" item="3"/>
          <tpl fld="2" item="1"/>
          <tpl hier="10" item="6"/>
          <tpl hier="11" item="9"/>
          <tpl fld="0" item="1"/>
        </tpls>
      </m>
      <m in="0">
        <tpls c="5">
          <tpl fld="1" item="9"/>
          <tpl fld="2" item="1"/>
          <tpl hier="10" item="6"/>
          <tpl hier="11" item="9"/>
          <tpl fld="0" item="1"/>
        </tpls>
      </m>
      <m in="0">
        <tpls c="5">
          <tpl fld="1" item="9"/>
          <tpl fld="2" item="12"/>
          <tpl hier="10" item="6"/>
          <tpl hier="11" item="9"/>
          <tpl fld="0" item="1"/>
        </tpls>
      </m>
      <m in="0">
        <tpls c="5">
          <tpl fld="1" item="10"/>
          <tpl fld="2" item="14"/>
          <tpl hier="10" item="6"/>
          <tpl hier="11" item="9"/>
          <tpl fld="0" item="0"/>
        </tpls>
      </m>
      <n v="-4082.5" in="0">
        <tpls c="5">
          <tpl fld="1" item="0"/>
          <tpl fld="2" item="12"/>
          <tpl hier="10" item="6"/>
          <tpl hier="11" item="9"/>
          <tpl fld="0" item="0"/>
        </tpls>
      </n>
      <m in="0">
        <tpls c="5">
          <tpl fld="1" item="7"/>
          <tpl fld="2" item="5"/>
          <tpl hier="10" item="6"/>
          <tpl hier="11" item="9"/>
          <tpl fld="0" item="1"/>
        </tpls>
      </m>
      <n v="-4753" in="0">
        <tpls c="5">
          <tpl fld="1" item="11"/>
          <tpl fld="2" item="1"/>
          <tpl hier="10" item="6"/>
          <tpl hier="11" item="9"/>
          <tpl fld="0" item="0"/>
        </tpls>
      </n>
      <n v="-4675.5" in="0">
        <tpls c="5">
          <tpl fld="1" item="2"/>
          <tpl fld="2" item="12"/>
          <tpl hier="10" item="6"/>
          <tpl hier="11" item="9"/>
          <tpl fld="0" item="0"/>
        </tpls>
      </n>
      <m in="0">
        <tpls c="5">
          <tpl fld="1" item="8"/>
          <tpl fld="2" item="14"/>
          <tpl hier="10" item="6"/>
          <tpl hier="11" item="9"/>
          <tpl fld="0" item="0"/>
        </tpls>
      </m>
      <m in="0">
        <tpls c="5">
          <tpl fld="1" item="7"/>
          <tpl fld="2" item="15"/>
          <tpl hier="10" item="6"/>
          <tpl hier="11" item="9"/>
          <tpl fld="0" item="1"/>
        </tpls>
      </m>
      <m in="0">
        <tpls c="5">
          <tpl fld="1" item="2"/>
          <tpl fld="2" item="8"/>
          <tpl hier="10" item="6"/>
          <tpl hier="11" item="9"/>
          <tpl fld="0" item="0"/>
        </tpls>
      </m>
      <n v="-194029.5" in="0">
        <tpls c="5">
          <tpl fld="1" item="3"/>
          <tpl fld="2" item="0"/>
          <tpl hier="10" item="6"/>
          <tpl hier="11" item="9"/>
          <tpl fld="0" item="0"/>
        </tpls>
      </n>
      <m in="0">
        <tpls c="5">
          <tpl fld="1" item="8"/>
          <tpl fld="2" item="8"/>
          <tpl hier="10" item="6"/>
          <tpl hier="11" item="9"/>
          <tpl fld="0" item="1"/>
        </tpls>
      </m>
      <m in="0">
        <tpls c="5">
          <tpl fld="1" item="5"/>
          <tpl fld="2" item="12"/>
          <tpl hier="10" item="6"/>
          <tpl hier="11" item="9"/>
          <tpl fld="0" item="1"/>
        </tpls>
      </m>
      <m in="0">
        <tpls c="5">
          <tpl fld="1" item="8"/>
          <tpl fld="2" item="14"/>
          <tpl hier="10" item="6"/>
          <tpl hier="11" item="9"/>
          <tpl fld="0" item="1"/>
        </tpls>
      </m>
      <n v="-5430.75" in="0">
        <tpls c="5">
          <tpl fld="1" item="6"/>
          <tpl fld="2" item="15"/>
          <tpl hier="10" item="6"/>
          <tpl hier="11" item="9"/>
          <tpl fld="0" item="0"/>
        </tpls>
      </n>
      <n v="-17703" in="0">
        <tpls c="5">
          <tpl fld="1" item="10"/>
          <tpl fld="2" item="6"/>
          <tpl hier="10" item="6"/>
          <tpl hier="11" item="9"/>
          <tpl fld="0" item="0"/>
        </tpls>
      </n>
      <m in="0">
        <tpls c="5">
          <tpl fld="1" item="11"/>
          <tpl fld="2" item="4"/>
          <tpl hier="10" item="6"/>
          <tpl hier="11" item="9"/>
          <tpl fld="0" item="0"/>
        </tpls>
      </m>
      <m in="0">
        <tpls c="5">
          <tpl fld="1" item="0"/>
          <tpl fld="2" item="0"/>
          <tpl hier="10" item="6"/>
          <tpl hier="11" item="9"/>
          <tpl fld="0" item="1"/>
        </tpls>
      </m>
      <m in="0">
        <tpls c="5">
          <tpl fld="1" item="1"/>
          <tpl fld="2" item="2"/>
          <tpl hier="10" item="6"/>
          <tpl hier="11" item="9"/>
          <tpl fld="0" item="1"/>
        </tpls>
      </m>
      <m in="0">
        <tpls c="5">
          <tpl fld="1" item="11"/>
          <tpl fld="2" item="10"/>
          <tpl hier="10" item="6"/>
          <tpl hier="11" item="9"/>
          <tpl fld="0" item="1"/>
        </tpls>
      </m>
      <m in="0">
        <tpls c="5">
          <tpl fld="1" item="11"/>
          <tpl hier="9" item="4294967295"/>
          <tpl hier="10" item="6"/>
          <tpl hier="11" item="9"/>
          <tpl fld="0" item="1"/>
        </tpls>
      </m>
      <n v="-2782.75" in="0">
        <tpls c="5">
          <tpl fld="1" item="8"/>
          <tpl fld="2" item="3"/>
          <tpl hier="10" item="6"/>
          <tpl hier="11" item="9"/>
          <tpl fld="0" item="0"/>
        </tpls>
      </n>
      <m in="0">
        <tpls c="5">
          <tpl fld="1" item="10"/>
          <tpl fld="2" item="7"/>
          <tpl hier="10" item="6"/>
          <tpl hier="11" item="9"/>
          <tpl fld="0" item="1"/>
        </tpls>
      </m>
      <n v="-13238" in="0">
        <tpls c="5">
          <tpl fld="1" item="10"/>
          <tpl fld="2" item="10"/>
          <tpl hier="10" item="6"/>
          <tpl hier="11" item="9"/>
          <tpl fld="0" item="0"/>
        </tpls>
      </n>
      <n v="-227950.5" in="0">
        <tpls c="5">
          <tpl fld="1" item="11"/>
          <tpl fld="2" item="0"/>
          <tpl hier="10" item="6"/>
          <tpl hier="11" item="9"/>
          <tpl fld="0" item="0"/>
        </tpls>
      </n>
      <m in="0">
        <tpls c="5">
          <tpl fld="1" item="3"/>
          <tpl fld="2" item="4"/>
          <tpl hier="10" item="6"/>
          <tpl hier="11" item="9"/>
          <tpl fld="0" item="1"/>
        </tpls>
      </m>
      <m in="0">
        <tpls c="5">
          <tpl fld="1" item="10"/>
          <tpl fld="2" item="13"/>
          <tpl hier="10" item="6"/>
          <tpl hier="11" item="9"/>
          <tpl fld="0" item="1"/>
        </tpls>
      </m>
      <m in="0">
        <tpls c="5">
          <tpl fld="1" item="5"/>
          <tpl fld="2" item="3"/>
          <tpl hier="10" item="6"/>
          <tpl hier="11" item="9"/>
          <tpl fld="0" item="1"/>
        </tpls>
      </m>
      <n v="-7230.25" in="0">
        <tpls c="5">
          <tpl fld="1" item="8"/>
          <tpl fld="2" item="13"/>
          <tpl hier="10" item="6"/>
          <tpl hier="11" item="9"/>
          <tpl fld="0" item="0"/>
        </tpls>
      </n>
      <m in="0">
        <tpls c="5">
          <tpl fld="1" item="0"/>
          <tpl fld="2" item="2"/>
          <tpl hier="10" item="6"/>
          <tpl hier="11" item="9"/>
          <tpl fld="0" item="1"/>
        </tpls>
      </m>
      <m in="0">
        <tpls c="5">
          <tpl fld="1" item="6"/>
          <tpl fld="2" item="2"/>
          <tpl hier="10" item="6"/>
          <tpl hier="11" item="9"/>
          <tpl fld="0" item="0"/>
        </tpls>
      </m>
      <m in="0">
        <tpls c="5">
          <tpl fld="1" item="8"/>
          <tpl fld="2" item="10"/>
          <tpl hier="10" item="6"/>
          <tpl hier="11" item="9"/>
          <tpl fld="0" item="1"/>
        </tpls>
      </m>
      <m in="0">
        <tpls c="5">
          <tpl fld="1" item="0"/>
          <tpl fld="2" item="2"/>
          <tpl hier="10" item="6"/>
          <tpl hier="11" item="9"/>
          <tpl fld="0" item="0"/>
        </tpls>
      </m>
      <n v="-3941.75" in="0">
        <tpls c="5">
          <tpl fld="1" item="6"/>
          <tpl fld="2" item="13"/>
          <tpl hier="10" item="6"/>
          <tpl hier="11" item="9"/>
          <tpl fld="0" item="0"/>
        </tpls>
      </n>
      <m in="0">
        <tpls c="5">
          <tpl fld="1" item="10"/>
          <tpl fld="2" item="9"/>
          <tpl hier="10" item="6"/>
          <tpl hier="11" item="9"/>
          <tpl fld="0" item="0"/>
        </tpls>
      </m>
      <m in="0">
        <tpls c="5">
          <tpl fld="1" item="10"/>
          <tpl fld="2" item="1"/>
          <tpl hier="10" item="6"/>
          <tpl hier="11" item="9"/>
          <tpl fld="0" item="1"/>
        </tpls>
      </m>
      <m in="0">
        <tpls c="5">
          <tpl fld="1" item="8"/>
          <tpl fld="2" item="7"/>
          <tpl hier="10" item="6"/>
          <tpl hier="11" item="9"/>
          <tpl fld="0" item="1"/>
        </tpls>
      </m>
      <n v="-15298.25" in="0">
        <tpls c="5">
          <tpl fld="1" item="5"/>
          <tpl fld="2" item="6"/>
          <tpl hier="10" item="6"/>
          <tpl hier="11" item="9"/>
          <tpl fld="0" item="0"/>
        </tpls>
      </n>
      <m in="0">
        <tpls c="5">
          <tpl fld="1" item="4"/>
          <tpl fld="2" item="8"/>
          <tpl hier="10" item="6"/>
          <tpl hier="11" item="9"/>
          <tpl fld="0" item="0"/>
        </tpls>
      </m>
      <n v="-1336" in="0">
        <tpls c="5">
          <tpl fld="1" item="9"/>
          <tpl fld="2" item="5"/>
          <tpl hier="10" item="6"/>
          <tpl hier="11" item="9"/>
          <tpl fld="0" item="0"/>
        </tpls>
      </n>
      <m in="0">
        <tpls c="5">
          <tpl fld="1" item="10"/>
          <tpl hier="9" item="4294967295"/>
          <tpl hier="10" item="6"/>
          <tpl hier="11" item="9"/>
          <tpl fld="0" item="1"/>
        </tpls>
      </m>
      <n v="-4474.25" in="0">
        <tpls c="5">
          <tpl fld="1" item="9"/>
          <tpl fld="2" item="12"/>
          <tpl hier="10" item="6"/>
          <tpl hier="11" item="9"/>
          <tpl fld="0" item="0"/>
        </tpls>
      </n>
      <m in="0">
        <tpls c="5">
          <tpl fld="1" item="5"/>
          <tpl fld="2" item="2"/>
          <tpl hier="10" item="6"/>
          <tpl hier="11" item="9"/>
          <tpl fld="0" item="0"/>
        </tpls>
      </m>
      <m in="0">
        <tpls c="5">
          <tpl fld="1" item="7"/>
          <tpl fld="2" item="4"/>
          <tpl hier="10" item="6"/>
          <tpl hier="11" item="9"/>
          <tpl fld="0" item="0"/>
        </tpls>
      </m>
      <n v="-24567.75" in="0">
        <tpls c="5">
          <tpl fld="1" item="3"/>
          <tpl fld="2" item="6"/>
          <tpl hier="10" item="6"/>
          <tpl hier="11" item="9"/>
          <tpl fld="0" item="0"/>
        </tpls>
      </n>
      <m in="0">
        <tpls c="5">
          <tpl fld="1" item="4"/>
          <tpl fld="2" item="13"/>
          <tpl hier="10" item="6"/>
          <tpl hier="11" item="9"/>
          <tpl fld="0" item="1"/>
        </tpls>
      </m>
      <m in="0">
        <tpls c="5">
          <tpl fld="1" item="9"/>
          <tpl fld="2" item="15"/>
          <tpl hier="10" item="6"/>
          <tpl hier="11" item="9"/>
          <tpl fld="0" item="1"/>
        </tpls>
      </m>
      <n v="-1823.25" in="0">
        <tpls c="5">
          <tpl fld="1" item="1"/>
          <tpl fld="2" item="3"/>
          <tpl hier="10" item="6"/>
          <tpl hier="11" item="9"/>
          <tpl fld="0" item="0"/>
        </tpls>
      </n>
      <m in="0">
        <tpls c="5">
          <tpl fld="1" item="7"/>
          <tpl fld="2" item="8"/>
          <tpl hier="10" item="6"/>
          <tpl hier="11" item="9"/>
          <tpl fld="0" item="0"/>
        </tpls>
      </m>
      <n v="-14161.25" in="0">
        <tpls c="4">
          <tpl fld="2" item="5"/>
          <tpl hier="10" item="6"/>
          <tpl hier="11" item="9"/>
          <tpl fld="0" item="0"/>
        </tpls>
      </n>
      <n v="-9571.5" in="0">
        <tpls c="5">
          <tpl fld="1" item="1"/>
          <tpl fld="2" item="10"/>
          <tpl hier="10" item="6"/>
          <tpl hier="11" item="9"/>
          <tpl fld="0" item="0"/>
        </tpls>
      </n>
      <m in="0">
        <tpls c="5">
          <tpl fld="1" item="10"/>
          <tpl fld="2" item="0"/>
          <tpl hier="10" item="6"/>
          <tpl hier="11" item="9"/>
          <tpl fld="0" item="1"/>
        </tpls>
      </m>
      <m in="0">
        <tpls c="5">
          <tpl fld="1" item="3"/>
          <tpl fld="2" item="12"/>
          <tpl hier="10" item="6"/>
          <tpl hier="11" item="9"/>
          <tpl fld="0" item="1"/>
        </tpls>
      </m>
      <m in="0">
        <tpls c="4">
          <tpl fld="2" item="9"/>
          <tpl hier="10" item="6"/>
          <tpl hier="11" item="9"/>
          <tpl fld="0" item="0"/>
        </tpls>
      </m>
      <n v="-4710.5" in="0">
        <tpls c="5">
          <tpl fld="1" item="2"/>
          <tpl fld="2" item="1"/>
          <tpl hier="10" item="6"/>
          <tpl hier="11" item="9"/>
          <tpl fld="0" item="0"/>
        </tpls>
      </n>
      <m in="0">
        <tpls c="4">
          <tpl fld="2" item="14"/>
          <tpl hier="10" item="6"/>
          <tpl hier="11" item="9"/>
          <tpl fld="0" item="0"/>
        </tpls>
      </m>
      <m in="0">
        <tpls c="5">
          <tpl fld="1" item="2"/>
          <tpl fld="2" item="10"/>
          <tpl hier="10" item="6"/>
          <tpl hier="11" item="9"/>
          <tpl fld="0" item="1"/>
        </tpls>
      </m>
      <m in="0">
        <tpls c="5">
          <tpl fld="1" item="6"/>
          <tpl fld="2" item="8"/>
          <tpl hier="10" item="6"/>
          <tpl hier="11" item="9"/>
          <tpl fld="0" item="1"/>
        </tpls>
      </m>
      <n v="-53161.5" in="0">
        <tpls c="4">
          <tpl fld="2" item="1"/>
          <tpl hier="10" item="6"/>
          <tpl hier="11" item="9"/>
          <tpl fld="0" item="0"/>
        </tpls>
      </n>
      <m in="0">
        <tpls c="5">
          <tpl fld="1" item="8"/>
          <tpl fld="2" item="6"/>
          <tpl hier="10" item="6"/>
          <tpl hier="11" item="9"/>
          <tpl fld="0" item="1"/>
        </tpls>
      </m>
      <m in="0">
        <tpls c="4">
          <tpl fld="2" item="8"/>
          <tpl hier="10" item="6"/>
          <tpl hier="11" item="9"/>
          <tpl fld="0" item="0"/>
        </tpls>
      </m>
      <m in="0">
        <tpls c="5">
          <tpl fld="1" item="1"/>
          <tpl hier="9" item="4294967295"/>
          <tpl hier="10" item="6"/>
          <tpl hier="11" item="9"/>
          <tpl fld="0" item="1"/>
        </tpls>
      </m>
      <m in="0">
        <tpls c="5">
          <tpl fld="1" item="8"/>
          <tpl fld="2" item="4"/>
          <tpl hier="10" item="6"/>
          <tpl hier="11" item="9"/>
          <tpl fld="0" item="0"/>
        </tpls>
      </m>
      <m in="0">
        <tpls c="5">
          <tpl fld="1" item="4"/>
          <tpl fld="2" item="8"/>
          <tpl hier="10" item="6"/>
          <tpl hier="11" item="9"/>
          <tpl fld="0" item="1"/>
        </tpls>
      </m>
      <n v="-6540" in="0">
        <tpls c="5">
          <tpl fld="1" item="7"/>
          <tpl fld="2" item="10"/>
          <tpl hier="10" item="6"/>
          <tpl hier="11" item="9"/>
          <tpl fld="0" item="0"/>
        </tpls>
      </n>
      <n v="-6088.5" in="0">
        <tpls c="5">
          <tpl fld="1" item="1"/>
          <tpl fld="2" item="15"/>
          <tpl hier="10" item="6"/>
          <tpl hier="11" item="9"/>
          <tpl fld="0" item="0"/>
        </tpls>
      </n>
      <n v="-1234.5" in="0">
        <tpls c="5">
          <tpl fld="1" item="2"/>
          <tpl fld="2" item="5"/>
          <tpl hier="10" item="6"/>
          <tpl hier="11" item="9"/>
          <tpl fld="0" item="0"/>
        </tpls>
      </n>
      <n v="-266806" in="0">
        <tpls c="5">
          <tpl fld="1" item="10"/>
          <tpl hier="9" item="4294967295"/>
          <tpl hier="10" item="6"/>
          <tpl hier="11" item="9"/>
          <tpl fld="0" item="0"/>
        </tpls>
      </n>
      <m in="0">
        <tpls c="5">
          <tpl fld="1" item="2"/>
          <tpl fld="2" item="5"/>
          <tpl hier="10" item="6"/>
          <tpl hier="11" item="9"/>
          <tpl fld="0" item="1"/>
        </tpls>
      </m>
      <m in="0">
        <tpls c="5">
          <tpl fld="1" item="8"/>
          <tpl fld="2" item="13"/>
          <tpl hier="10" item="6"/>
          <tpl hier="11" item="9"/>
          <tpl fld="0" item="1"/>
        </tpls>
      </m>
      <m in="0">
        <tpls c="5">
          <tpl fld="1" item="6"/>
          <tpl fld="2" item="15"/>
          <tpl hier="10" item="6"/>
          <tpl hier="11" item="9"/>
          <tpl fld="0" item="1"/>
        </tpls>
      </m>
      <m in="0">
        <tpls c="5">
          <tpl fld="1" item="7"/>
          <tpl fld="2" item="3"/>
          <tpl hier="10" item="6"/>
          <tpl hier="11" item="9"/>
          <tpl fld="0" item="1"/>
        </tpls>
      </m>
      <m in="0">
        <tpls c="5">
          <tpl fld="1" item="9"/>
          <tpl fld="2" item="14"/>
          <tpl hier="10" item="6"/>
          <tpl hier="11" item="9"/>
          <tpl fld="0" item="1"/>
        </tpls>
      </m>
      <m in="0">
        <tpls c="5">
          <tpl fld="1" item="7"/>
          <tpl fld="2" item="2"/>
          <tpl hier="10" item="6"/>
          <tpl hier="11" item="9"/>
          <tpl fld="0" item="0"/>
        </tpls>
      </m>
      <m in="0">
        <tpls c="4">
          <tpl fld="2" item="2"/>
          <tpl hier="10" item="6"/>
          <tpl hier="11" item="9"/>
          <tpl fld="0" item="1"/>
        </tpls>
      </m>
      <n v="-6879" in="0">
        <tpls c="5">
          <tpl fld="1" item="7"/>
          <tpl fld="2" item="15"/>
          <tpl hier="10" item="6"/>
          <tpl hier="11" item="9"/>
          <tpl fld="0" item="0"/>
        </tpls>
      </n>
      <n v="-218538.5" in="0">
        <tpls c="5">
          <tpl fld="1" item="0"/>
          <tpl fld="2" item="0"/>
          <tpl hier="10" item="6"/>
          <tpl hier="11" item="9"/>
          <tpl fld="0" item="0"/>
        </tpls>
      </n>
      <m in="0">
        <tpls c="5">
          <tpl fld="1" item="4"/>
          <tpl fld="2" item="7"/>
          <tpl hier="10" item="6"/>
          <tpl hier="11" item="9"/>
          <tpl fld="0" item="1"/>
        </tpls>
      </m>
      <m in="0">
        <tpls c="5">
          <tpl fld="1" item="0"/>
          <tpl fld="2" item="1"/>
          <tpl hier="10" item="6"/>
          <tpl hier="11" item="9"/>
          <tpl fld="0" item="1"/>
        </tpls>
      </m>
      <m in="0">
        <tpls c="5">
          <tpl fld="1" item="9"/>
          <tpl fld="2" item="6"/>
          <tpl hier="10" item="6"/>
          <tpl hier="11" item="9"/>
          <tpl fld="0" item="1"/>
        </tpls>
      </m>
      <m in="0">
        <tpls c="5">
          <tpl fld="1" item="10"/>
          <tpl fld="2" item="10"/>
          <tpl hier="10" item="6"/>
          <tpl hier="11" item="9"/>
          <tpl fld="0" item="1"/>
        </tpls>
      </m>
      <n v="-4926" in="0">
        <tpls c="5">
          <tpl fld="1" item="0"/>
          <tpl fld="2" item="1"/>
          <tpl hier="10" item="6"/>
          <tpl hier="11" item="9"/>
          <tpl fld="0" item="0"/>
        </tpls>
      </n>
      <n v="-3378.25" in="0">
        <tpls c="5">
          <tpl fld="1" item="1"/>
          <tpl fld="2" item="1"/>
          <tpl hier="10" item="6"/>
          <tpl hier="11" item="9"/>
          <tpl fld="0" item="0"/>
        </tpls>
      </n>
      <m in="0">
        <tpls c="5">
          <tpl fld="1" item="1"/>
          <tpl fld="2" item="12"/>
          <tpl hier="10" item="6"/>
          <tpl hier="11" item="9"/>
          <tpl fld="0" item="1"/>
        </tpls>
      </m>
      <n v="-264335" in="0">
        <tpls c="5">
          <tpl fld="1" item="7"/>
          <tpl fld="2" item="0"/>
          <tpl hier="10" item="6"/>
          <tpl hier="11" item="9"/>
          <tpl fld="0" item="0"/>
        </tpls>
      </n>
      <m in="0">
        <tpls c="5">
          <tpl fld="1" item="9"/>
          <tpl fld="2" item="4"/>
          <tpl hier="10" item="6"/>
          <tpl hier="11" item="9"/>
          <tpl fld="0" item="1"/>
        </tpls>
      </m>
      <m in="0">
        <tpls c="5">
          <tpl fld="1" item="3"/>
          <tpl fld="2" item="10"/>
          <tpl hier="10" item="6"/>
          <tpl hier="11" item="9"/>
          <tpl fld="0" item="1"/>
        </tpls>
      </m>
      <m in="0">
        <tpls c="5">
          <tpl fld="1" item="2"/>
          <tpl fld="2" item="4"/>
          <tpl hier="10" item="6"/>
          <tpl hier="11" item="9"/>
          <tpl fld="0" item="0"/>
        </tpls>
      </m>
      <n v="-244490.5" in="0">
        <tpls c="5">
          <tpl fld="1" item="1"/>
          <tpl hier="9" item="4294967295"/>
          <tpl hier="10" item="6"/>
          <tpl hier="11" item="9"/>
          <tpl fld="0" item="0"/>
        </tpls>
      </n>
      <m in="0">
        <tpls c="5">
          <tpl fld="1" item="11"/>
          <tpl fld="2" item="8"/>
          <tpl hier="10" item="6"/>
          <tpl hier="11" item="9"/>
          <tpl fld="0" item="1"/>
        </tpls>
      </m>
      <m in="0">
        <tpls c="5">
          <tpl fld="1" item="1"/>
          <tpl fld="2" item="6"/>
          <tpl hier="10" item="6"/>
          <tpl hier="11" item="9"/>
          <tpl fld="0" item="1"/>
        </tpls>
      </m>
      <m in="0">
        <tpls c="5">
          <tpl fld="1" item="0"/>
          <tpl fld="2" item="7"/>
          <tpl hier="10" item="6"/>
          <tpl hier="11" item="9"/>
          <tpl fld="0" item="1"/>
        </tpls>
      </m>
      <n v="-1383.25" in="0">
        <tpls c="5">
          <tpl fld="1" item="1"/>
          <tpl fld="2" item="5"/>
          <tpl hier="10" item="6"/>
          <tpl hier="11" item="9"/>
          <tpl fld="0" item="0"/>
        </tpls>
      </n>
      <m in="0">
        <tpls c="5">
          <tpl fld="1" item="0"/>
          <tpl fld="2" item="7"/>
          <tpl hier="10" item="6"/>
          <tpl hier="11" item="9"/>
          <tpl fld="0" item="0"/>
        </tpls>
      </m>
      <m in="0">
        <tpls c="5">
          <tpl fld="1" item="7"/>
          <tpl fld="2" item="2"/>
          <tpl hier="10" item="6"/>
          <tpl hier="11" item="9"/>
          <tpl fld="0" item="1"/>
        </tpls>
      </m>
      <m in="0">
        <tpls c="5">
          <tpl fld="1" item="8"/>
          <tpl hier="9" item="4294967295"/>
          <tpl hier="10" item="6"/>
          <tpl hier="11" item="9"/>
          <tpl fld="0" item="1"/>
        </tpls>
      </m>
      <m in="0">
        <tpls c="5">
          <tpl fld="1" item="1"/>
          <tpl fld="2" item="9"/>
          <tpl hier="10" item="6"/>
          <tpl hier="11" item="9"/>
          <tpl fld="0" item="0"/>
        </tpls>
      </m>
      <m in="0">
        <tpls c="5">
          <tpl fld="1" item="2"/>
          <tpl fld="2" item="7"/>
          <tpl hier="10" item="6"/>
          <tpl hier="11" item="9"/>
          <tpl fld="0" item="1"/>
        </tpls>
      </m>
      <m in="0">
        <tpls c="5">
          <tpl fld="1" item="8"/>
          <tpl fld="2" item="2"/>
          <tpl hier="10" item="6"/>
          <tpl hier="11" item="9"/>
          <tpl fld="0" item="0"/>
        </tpls>
      </m>
      <m in="0">
        <tpls c="5">
          <tpl fld="1" item="6"/>
          <tpl fld="2" item="5"/>
          <tpl hier="10" item="6"/>
          <tpl hier="11" item="9"/>
          <tpl fld="0" item="1"/>
        </tpls>
      </m>
      <m in="0">
        <tpls c="5">
          <tpl fld="1" item="8"/>
          <tpl fld="2" item="7"/>
          <tpl hier="10" item="6"/>
          <tpl hier="11" item="9"/>
          <tpl fld="0" item="0"/>
        </tpls>
      </m>
      <n v="-4891" in="0">
        <tpls c="5">
          <tpl fld="1" item="4"/>
          <tpl fld="2" item="12"/>
          <tpl hier="10" item="6"/>
          <tpl hier="11" item="9"/>
          <tpl fld="0" item="0"/>
        </tpls>
      </n>
      <m in="0">
        <tpls c="5">
          <tpl fld="1" item="7"/>
          <tpl fld="2" item="7"/>
          <tpl hier="10" item="6"/>
          <tpl hier="11" item="9"/>
          <tpl fld="0" item="0"/>
        </tpls>
      </m>
      <m in="0">
        <tpls c="5">
          <tpl fld="1" item="4"/>
          <tpl fld="2" item="1"/>
          <tpl hier="10" item="6"/>
          <tpl hier="11" item="9"/>
          <tpl fld="0" item="1"/>
        </tpls>
      </m>
      <n v="-564.25" in="0">
        <tpls c="5">
          <tpl fld="1" item="6"/>
          <tpl fld="2" item="11"/>
          <tpl hier="10" item="6"/>
          <tpl hier="11" item="9"/>
          <tpl fld="0" item="0"/>
        </tpls>
      </n>
      <n v="-6606.75" in="0">
        <tpls c="5">
          <tpl fld="1" item="2"/>
          <tpl fld="2" item="13"/>
          <tpl hier="10" item="6"/>
          <tpl hier="11" item="9"/>
          <tpl fld="0" item="0"/>
        </tpls>
      </n>
      <n v="-1222.5" in="0">
        <tpls c="5">
          <tpl fld="1" item="4"/>
          <tpl fld="2" item="5"/>
          <tpl hier="10" item="6"/>
          <tpl hier="11" item="9"/>
          <tpl fld="0" item="0"/>
        </tpls>
      </n>
      <m in="0">
        <tpls c="5">
          <tpl fld="1" item="10"/>
          <tpl fld="2" item="14"/>
          <tpl hier="10" item="6"/>
          <tpl hier="11" item="9"/>
          <tpl fld="0" item="1"/>
        </tpls>
      </m>
      <m in="0">
        <tpls c="4">
          <tpl fld="2" item="6"/>
          <tpl hier="10" item="6"/>
          <tpl hier="11" item="9"/>
          <tpl fld="0" item="1"/>
        </tpls>
      </m>
      <m in="0">
        <tpls c="5">
          <tpl fld="1" item="6"/>
          <tpl hier="9" item="4294967295"/>
          <tpl hier="10" item="6"/>
          <tpl hier="11" item="9"/>
          <tpl fld="0" item="1"/>
        </tpls>
      </m>
      <n v="-6577.25" in="0">
        <tpls c="5">
          <tpl fld="1" item="11"/>
          <tpl fld="2" item="15"/>
          <tpl hier="10" item="6"/>
          <tpl hier="11" item="9"/>
          <tpl fld="0" item="0"/>
        </tpls>
      </n>
      <m in="0">
        <tpls c="5">
          <tpl fld="1" item="0"/>
          <tpl fld="2" item="10"/>
          <tpl hier="10" item="6"/>
          <tpl hier="11" item="9"/>
          <tpl fld="0" item="1"/>
        </tpls>
      </m>
      <n v="-4562.5" in="0">
        <tpls c="5">
          <tpl fld="1" item="7"/>
          <tpl fld="2" item="1"/>
          <tpl hier="10" item="6"/>
          <tpl hier="11" item="9"/>
          <tpl fld="0" item="0"/>
        </tpls>
      </n>
      <m in="0">
        <tpls c="5">
          <tpl fld="1" item="4"/>
          <tpl fld="2" item="3"/>
          <tpl hier="10" item="6"/>
          <tpl hier="11" item="9"/>
          <tpl fld="0" item="1"/>
        </tpls>
      </m>
      <m in="0">
        <tpls c="5">
          <tpl fld="1" item="6"/>
          <tpl fld="2" item="7"/>
          <tpl hier="10" item="6"/>
          <tpl hier="11" item="9"/>
          <tpl fld="0" item="0"/>
        </tpls>
      </m>
      <n v="-4346.25" in="0">
        <tpls c="5">
          <tpl fld="1" item="1"/>
          <tpl fld="2" item="13"/>
          <tpl hier="10" item="6"/>
          <tpl hier="11" item="9"/>
          <tpl fld="0" item="0"/>
        </tpls>
      </n>
      <m in="0">
        <tpls c="5">
          <tpl fld="1" item="4"/>
          <tpl fld="2" item="14"/>
          <tpl hier="10" item="6"/>
          <tpl hier="11" item="9"/>
          <tpl fld="0" item="1"/>
        </tpls>
      </m>
      <m in="0">
        <tpls c="4">
          <tpl hier="9" item="4294967295"/>
          <tpl hier="10" item="6"/>
          <tpl hier="11" item="9"/>
          <tpl fld="0" item="1"/>
        </tpls>
      </m>
      <m in="0">
        <tpls c="5">
          <tpl fld="1" item="0"/>
          <tpl fld="2" item="11"/>
          <tpl hier="10" item="6"/>
          <tpl hier="11" item="9"/>
          <tpl fld="0" item="1"/>
        </tpls>
      </m>
      <m in="0">
        <tpls c="5">
          <tpl fld="1" item="2"/>
          <tpl fld="2" item="7"/>
          <tpl hier="10" item="6"/>
          <tpl hier="11" item="9"/>
          <tpl fld="0" item="0"/>
        </tpls>
      </m>
      <m in="0">
        <tpls c="5">
          <tpl fld="1" item="4"/>
          <tpl fld="2" item="10"/>
          <tpl hier="10" item="6"/>
          <tpl hier="11" item="9"/>
          <tpl fld="0" item="1"/>
        </tpls>
      </m>
      <m in="0">
        <tpls c="5">
          <tpl fld="1" item="11"/>
          <tpl fld="2" item="12"/>
          <tpl hier="10" item="6"/>
          <tpl hier="11" item="9"/>
          <tpl fld="0" item="1"/>
        </tpls>
      </m>
      <m in="0">
        <tpls c="5">
          <tpl fld="1" item="6"/>
          <tpl fld="2" item="7"/>
          <tpl hier="10" item="6"/>
          <tpl hier="11" item="9"/>
          <tpl fld="0" item="1"/>
        </tpls>
      </m>
      <m in="0">
        <tpls c="4">
          <tpl fld="2" item="11"/>
          <tpl hier="10" item="6"/>
          <tpl hier="11" item="9"/>
          <tpl fld="0" item="1"/>
        </tpls>
      </m>
      <n v="-11441.25" in="0">
        <tpls c="5">
          <tpl fld="1" item="4"/>
          <tpl fld="2" item="10"/>
          <tpl hier="10" item="6"/>
          <tpl hier="11" item="9"/>
          <tpl fld="0" item="0"/>
        </tpls>
      </n>
      <m in="0">
        <tpls c="4">
          <tpl fld="2" item="2"/>
          <tpl hier="10" item="6"/>
          <tpl hier="11" item="9"/>
          <tpl fld="0" item="0"/>
        </tpls>
      </m>
      <m in="0">
        <tpls c="5">
          <tpl fld="1" item="7"/>
          <tpl fld="2" item="14"/>
          <tpl hier="10" item="6"/>
          <tpl hier="11" item="9"/>
          <tpl fld="0" item="0"/>
        </tpls>
      </m>
      <m in="0">
        <tpls c="4">
          <tpl fld="2" item="7"/>
          <tpl hier="10" item="6"/>
          <tpl hier="11" item="9"/>
          <tpl fld="0" item="0"/>
        </tpls>
      </m>
      <n v="-6206.5" in="0">
        <tpls c="5">
          <tpl fld="1" item="5"/>
          <tpl fld="2" item="13"/>
          <tpl hier="10" item="6"/>
          <tpl hier="11" item="9"/>
          <tpl fld="0" item="0"/>
        </tpls>
      </n>
      <m in="0">
        <tpls c="4">
          <tpl fld="2" item="1"/>
          <tpl hier="10" item="6"/>
          <tpl hier="11" item="9"/>
          <tpl fld="0" item="1"/>
        </tpls>
      </m>
      <m in="0">
        <tpls c="5">
          <tpl fld="1" item="0"/>
          <tpl fld="2" item="12"/>
          <tpl hier="10" item="6"/>
          <tpl hier="11" item="9"/>
          <tpl fld="0" item="1"/>
        </tpls>
      </m>
      <m in="0">
        <tpls c="5">
          <tpl fld="1" item="2"/>
          <tpl fld="2" item="8"/>
          <tpl hier="10" item="6"/>
          <tpl hier="11" item="9"/>
          <tpl fld="0" item="1"/>
        </tpls>
      </m>
      <m in="0">
        <tpls c="5">
          <tpl fld="1" item="7"/>
          <tpl fld="2" item="0"/>
          <tpl hier="10" item="6"/>
          <tpl hier="11" item="9"/>
          <tpl fld="0" item="1"/>
        </tpls>
      </m>
      <m in="0">
        <tpls c="4">
          <tpl fld="2" item="7"/>
          <tpl hier="10" item="6"/>
          <tpl hier="11" item="9"/>
          <tpl fld="0" item="1"/>
        </tpls>
      </m>
      <m in="0">
        <tpls c="5">
          <tpl fld="1" item="5"/>
          <tpl fld="2" item="13"/>
          <tpl hier="10" item="6"/>
          <tpl hier="11" item="9"/>
          <tpl fld="0" item="1"/>
        </tpls>
      </m>
      <n v="-221221.25" in="0">
        <tpls c="4">
          <tpl fld="2" item="6"/>
          <tpl hier="10" item="6"/>
          <tpl hier="11" item="9"/>
          <tpl fld="0" item="0"/>
        </tpls>
      </n>
      <n v="-470" in="0">
        <tpls c="5">
          <tpl fld="1" item="11"/>
          <tpl fld="2" item="11"/>
          <tpl hier="10" item="6"/>
          <tpl hier="11" item="9"/>
          <tpl fld="0" item="0"/>
        </tpls>
      </n>
      <m in="0">
        <tpls c="5">
          <tpl fld="1" item="11"/>
          <tpl fld="2" item="3"/>
          <tpl hier="10" item="6"/>
          <tpl hier="11" item="9"/>
          <tpl fld="0" item="1"/>
        </tpls>
      </m>
      <n v="-149205.75" in="0">
        <tpls c="4">
          <tpl fld="2" item="10"/>
          <tpl hier="10" item="6"/>
          <tpl hier="11" item="9"/>
          <tpl fld="0" item="0"/>
        </tpls>
      </n>
      <m in="0">
        <tpls c="5">
          <tpl fld="1" item="11"/>
          <tpl fld="2" item="9"/>
          <tpl hier="10" item="6"/>
          <tpl hier="11" item="9"/>
          <tpl fld="0" item="0"/>
        </tpls>
      </m>
      <n v="-2707498" in="0">
        <tpls c="4">
          <tpl fld="2" item="0"/>
          <tpl hier="10" item="6"/>
          <tpl hier="11" item="9"/>
          <tpl fld="0" item="0"/>
        </tpls>
      </n>
      <m in="0">
        <tpls c="5">
          <tpl fld="1" item="8"/>
          <tpl fld="2" item="1"/>
          <tpl hier="10" item="6"/>
          <tpl hier="11" item="9"/>
          <tpl fld="0" item="1"/>
        </tpls>
      </m>
      <m in="0">
        <tpls c="4">
          <tpl fld="2" item="5"/>
          <tpl hier="10" item="6"/>
          <tpl hier="11" item="9"/>
          <tpl fld="0" item="1"/>
        </tpls>
      </m>
      <m in="0">
        <tpls c="4">
          <tpl fld="2" item="10"/>
          <tpl hier="10" item="6"/>
          <tpl hier="11" item="9"/>
          <tpl fld="0" item="1"/>
        </tpls>
      </m>
      <n v="-1103" in="0">
        <tpls c="5">
          <tpl fld="1" item="11"/>
          <tpl fld="2" item="5"/>
          <tpl hier="10" item="6"/>
          <tpl hier="11" item="9"/>
          <tpl fld="0" item="0"/>
        </tpls>
      </n>
      <n v="-26538" in="0">
        <tpls c="4">
          <tpl fld="2" item="3"/>
          <tpl hier="10" item="6"/>
          <tpl hier="11" item="9"/>
          <tpl fld="0" item="0"/>
        </tpls>
      </n>
      <m in="0">
        <tpls c="5">
          <tpl fld="1" item="8"/>
          <tpl fld="2" item="4"/>
          <tpl hier="10" item="6"/>
          <tpl hier="11" item="9"/>
          <tpl fld="0" item="1"/>
        </tpls>
      </m>
      <n v="-9820.25" in="0">
        <tpls c="5">
          <tpl fld="1" item="11"/>
          <tpl fld="2" item="10"/>
          <tpl hier="10" item="6"/>
          <tpl hier="11" item="9"/>
          <tpl fld="0" item="0"/>
        </tpls>
      </n>
      <m in="0">
        <tpls c="5">
          <tpl fld="1" item="9"/>
          <tpl hier="9" item="4294967295"/>
          <tpl hier="10" item="6"/>
          <tpl hier="11" item="9"/>
          <tpl fld="0" item="1"/>
        </tpls>
      </m>
      <n v="-2588.75" in="0">
        <tpls c="5">
          <tpl fld="1" item="3"/>
          <tpl fld="2" item="3"/>
          <tpl hier="10" item="6"/>
          <tpl hier="11" item="9"/>
          <tpl fld="0" item="0"/>
        </tpls>
      </n>
      <m in="0">
        <tpls c="5">
          <tpl fld="1" item="9"/>
          <tpl fld="2" item="2"/>
          <tpl hier="10" item="6"/>
          <tpl hier="11" item="9"/>
          <tpl fld="0" item="0"/>
        </tpls>
      </m>
      <m in="0">
        <tpls c="5">
          <tpl fld="1" item="11"/>
          <tpl fld="2" item="2"/>
          <tpl hier="10" item="6"/>
          <tpl hier="11" item="9"/>
          <tpl fld="0" item="0"/>
        </tpls>
      </m>
      <n v="-531" in="0">
        <tpls c="5">
          <tpl fld="1" item="10"/>
          <tpl fld="2" item="11"/>
          <tpl hier="10" item="6"/>
          <tpl hier="11" item="9"/>
          <tpl fld="0" item="0"/>
        </tpls>
      </n>
      <m in="0">
        <tpls c="5">
          <tpl fld="1" item="1"/>
          <tpl fld="2" item="3"/>
          <tpl hier="10" item="6"/>
          <tpl hier="11" item="9"/>
          <tpl fld="0" item="1"/>
        </tpls>
      </m>
      <m in="0">
        <tpls c="5">
          <tpl fld="1" item="2"/>
          <tpl fld="2" item="12"/>
          <tpl hier="10" item="6"/>
          <tpl hier="11" item="9"/>
          <tpl fld="0" item="1"/>
        </tpls>
      </m>
      <m in="0">
        <tpls c="4">
          <tpl fld="2" item="4"/>
          <tpl hier="10" item="6"/>
          <tpl hier="11" item="9"/>
          <tpl fld="0" item="0"/>
        </tpls>
      </m>
      <m in="0">
        <tpls c="5">
          <tpl fld="1" item="5"/>
          <tpl fld="2" item="8"/>
          <tpl hier="10" item="6"/>
          <tpl hier="11" item="9"/>
          <tpl fld="0" item="0"/>
        </tpls>
      </m>
      <n v="-3990.75" in="0">
        <tpls c="5">
          <tpl fld="1" item="1"/>
          <tpl fld="2" item="12"/>
          <tpl hier="10" item="6"/>
          <tpl hier="11" item="9"/>
          <tpl fld="0" item="0"/>
        </tpls>
      </n>
      <m in="0">
        <tpls c="5">
          <tpl fld="1" item="2"/>
          <tpl hier="9" item="4294967295"/>
          <tpl hier="10" item="6"/>
          <tpl hier="11" item="9"/>
          <tpl fld="0" item="1"/>
        </tpls>
      </m>
      <n v="-4741.5" in="0">
        <tpls c="5">
          <tpl fld="1" item="0"/>
          <tpl fld="2" item="15"/>
          <tpl hier="10" item="6"/>
          <tpl hier="11" item="9"/>
          <tpl fld="0" item="0"/>
        </tpls>
      </n>
      <m in="0">
        <tpls c="5">
          <tpl fld="1" item="10"/>
          <tpl fld="2" item="8"/>
          <tpl hier="10" item="6"/>
          <tpl hier="11" item="9"/>
          <tpl fld="0" item="1"/>
        </tpls>
      </m>
      <n v="-564.75" in="0">
        <tpls c="5">
          <tpl fld="1" item="4"/>
          <tpl fld="2" item="11"/>
          <tpl hier="10" item="6"/>
          <tpl hier="11" item="9"/>
          <tpl fld="0" item="0"/>
        </tpls>
      </n>
      <n v="-6029.25" in="0">
        <tpls c="5">
          <tpl fld="1" item="11"/>
          <tpl fld="2" item="12"/>
          <tpl hier="10" item="6"/>
          <tpl hier="11" item="9"/>
          <tpl fld="0" item="0"/>
        </tpls>
      </n>
      <n v="-4449.5" in="0">
        <tpls c="5">
          <tpl fld="1" item="5"/>
          <tpl fld="2" item="12"/>
          <tpl hier="10" item="6"/>
          <tpl hier="11" item="9"/>
          <tpl fld="0" item="0"/>
        </tpls>
      </n>
      <m in="0">
        <tpls c="5">
          <tpl fld="1" item="2"/>
          <tpl fld="2" item="15"/>
          <tpl hier="10" item="6"/>
          <tpl hier="11" item="9"/>
          <tpl fld="0" item="1"/>
        </tpls>
      </m>
      <n v="-19038" in="0">
        <tpls c="5">
          <tpl fld="1" item="6"/>
          <tpl fld="2" item="6"/>
          <tpl hier="10" item="6"/>
          <tpl hier="11" item="9"/>
          <tpl fld="0" item="0"/>
        </tpls>
      </n>
      <n v="-4116.25" in="0">
        <tpls c="5">
          <tpl fld="1" item="8"/>
          <tpl fld="2" item="1"/>
          <tpl hier="10" item="6"/>
          <tpl hier="11" item="9"/>
          <tpl fld="0" item="0"/>
        </tpls>
      </n>
      <m in="0">
        <tpls c="5">
          <tpl fld="1" item="9"/>
          <tpl fld="2" item="9"/>
          <tpl hier="10" item="6"/>
          <tpl hier="11" item="9"/>
          <tpl fld="0" item="0"/>
        </tpls>
      </m>
      <n v="-7505.5" in="0">
        <tpls c="5">
          <tpl fld="1" item="9"/>
          <tpl fld="2" item="15"/>
          <tpl hier="10" item="6"/>
          <tpl hier="11" item="9"/>
          <tpl fld="0" item="0"/>
        </tpls>
      </n>
      <m in="0">
        <tpls c="5">
          <tpl fld="1" item="2"/>
          <tpl fld="2" item="11"/>
          <tpl hier="10" item="6"/>
          <tpl hier="11" item="9"/>
          <tpl fld="0" item="1"/>
        </tpls>
      </m>
      <m in="0">
        <tpls c="5">
          <tpl fld="1" item="4"/>
          <tpl fld="2" item="14"/>
          <tpl hier="10" item="6"/>
          <tpl hier="11" item="9"/>
          <tpl fld="0" item="0"/>
        </tpls>
      </m>
      <n v="-241004.5" in="0">
        <tpls c="5">
          <tpl fld="1" item="2"/>
          <tpl fld="2" item="0"/>
          <tpl hier="10" item="6"/>
          <tpl hier="11" item="9"/>
          <tpl fld="0" item="0"/>
        </tpls>
      </n>
      <m in="0">
        <tpls c="5">
          <tpl fld="1" item="11"/>
          <tpl fld="2" item="1"/>
          <tpl hier="10" item="6"/>
          <tpl hier="11" item="9"/>
          <tpl fld="0" item="1"/>
        </tpls>
      </m>
      <n v="-234878" in="0">
        <tpls c="5">
          <tpl fld="1" item="5"/>
          <tpl fld="2" item="0"/>
          <tpl hier="10" item="6"/>
          <tpl hier="11" item="9"/>
          <tpl fld="0" item="0"/>
        </tpls>
      </n>
      <m in="0">
        <tpls c="5">
          <tpl fld="1" item="11"/>
          <tpl fld="2" item="9"/>
          <tpl hier="10" item="6"/>
          <tpl hier="11" item="9"/>
          <tpl fld="0" item="1"/>
        </tpls>
      </m>
      <m in="0">
        <tpls c="5">
          <tpl fld="1" item="6"/>
          <tpl fld="2" item="4"/>
          <tpl hier="10" item="6"/>
          <tpl hier="11" item="9"/>
          <tpl fld="0" item="0"/>
        </tpls>
      </m>
      <m in="0">
        <tpls c="5">
          <tpl fld="1" item="4"/>
          <tpl fld="2" item="4"/>
          <tpl hier="10" item="6"/>
          <tpl hier="11" item="9"/>
          <tpl fld="0" item="1"/>
        </tpls>
      </m>
      <n v="-4811" in="0">
        <tpls c="5">
          <tpl fld="1" item="3"/>
          <tpl fld="2" item="12"/>
          <tpl hier="10" item="6"/>
          <tpl hier="11" item="9"/>
          <tpl fld="0" item="0"/>
        </tpls>
      </n>
      <n v="-420.25" in="0">
        <tpls c="5">
          <tpl fld="1" item="2"/>
          <tpl fld="2" item="11"/>
          <tpl hier="10" item="6"/>
          <tpl hier="11" item="9"/>
          <tpl fld="0" item="0"/>
        </tpls>
      </n>
      <m in="0">
        <tpls c="5">
          <tpl fld="1" item="5"/>
          <tpl fld="2" item="8"/>
          <tpl hier="10" item="6"/>
          <tpl hier="11" item="9"/>
          <tpl fld="0" item="1"/>
        </tpls>
      </m>
      <n v="-1082.25" in="0">
        <tpls c="5">
          <tpl fld="1" item="7"/>
          <tpl fld="2" item="5"/>
          <tpl hier="10" item="6"/>
          <tpl hier="11" item="9"/>
          <tpl fld="0" item="0"/>
        </tpls>
      </n>
      <m in="0">
        <tpls c="5">
          <tpl fld="1" item="7"/>
          <tpl fld="2" item="7"/>
          <tpl hier="10" item="6"/>
          <tpl hier="11" item="9"/>
          <tpl fld="0" item="1"/>
        </tpls>
      </m>
      <n v="-14810.75" in="0">
        <tpls c="5">
          <tpl fld="1" item="2"/>
          <tpl fld="2" item="10"/>
          <tpl hier="10" item="6"/>
          <tpl hier="11" item="9"/>
          <tpl fld="0" item="0"/>
        </tpls>
      </n>
      <m in="0">
        <tpls c="5">
          <tpl fld="1" item="6"/>
          <tpl fld="2" item="11"/>
          <tpl hier="10" item="6"/>
          <tpl hier="11" item="9"/>
          <tpl fld="0" item="1"/>
        </tpls>
      </m>
      <m in="0">
        <tpls c="5">
          <tpl fld="1" item="2"/>
          <tpl fld="2" item="13"/>
          <tpl hier="10" item="6"/>
          <tpl hier="11" item="9"/>
          <tpl fld="0" item="1"/>
        </tpls>
      </m>
      <m in="0">
        <tpls c="5">
          <tpl fld="1" item="4"/>
          <tpl fld="2" item="4"/>
          <tpl hier="10" item="6"/>
          <tpl hier="11" item="9"/>
          <tpl fld="0" item="0"/>
        </tpls>
      </m>
      <m in="0">
        <tpls c="5">
          <tpl fld="1" item="7"/>
          <tpl fld="2" item="14"/>
          <tpl hier="10" item="6"/>
          <tpl hier="11" item="9"/>
          <tpl fld="0" item="1"/>
        </tpls>
      </m>
      <m in="0">
        <tpls c="4">
          <tpl fld="2" item="8"/>
          <tpl hier="10" item="6"/>
          <tpl hier="11" item="9"/>
          <tpl fld="0" item="1"/>
        </tpls>
      </m>
      <n v="-3373888.25" in="0">
        <tpls c="4">
          <tpl hier="9" item="4294967295"/>
          <tpl hier="10" item="6"/>
          <tpl hier="11" item="9"/>
          <tpl fld="0" item="0"/>
        </tpls>
      </n>
      <n v="-4343.5" in="0">
        <tpls c="5">
          <tpl fld="1" item="10"/>
          <tpl fld="2" item="15"/>
          <tpl hier="10" item="6"/>
          <tpl hier="11" item="9"/>
          <tpl fld="0" item="0"/>
        </tpls>
      </n>
      <n v="-19193" in="0">
        <tpls c="5">
          <tpl fld="1" item="0"/>
          <tpl fld="2" item="10"/>
          <tpl hier="10" item="6"/>
          <tpl hier="11" item="9"/>
          <tpl fld="0" item="0"/>
        </tpls>
      </n>
      <m in="0">
        <tpls c="5">
          <tpl fld="1" item="2"/>
          <tpl fld="2" item="2"/>
          <tpl hier="10" item="6"/>
          <tpl hier="11" item="9"/>
          <tpl fld="0" item="0"/>
        </tpls>
      </m>
      <n v="-7357.5" in="0">
        <tpls c="5">
          <tpl fld="1" item="4"/>
          <tpl fld="2" item="13"/>
          <tpl hier="10" item="6"/>
          <tpl hier="11" item="9"/>
          <tpl fld="0" item="0"/>
        </tpls>
      </n>
      <m in="0">
        <tpls c="5">
          <tpl fld="1" item="1"/>
          <tpl fld="2" item="10"/>
          <tpl hier="10" item="6"/>
          <tpl hier="11" item="9"/>
          <tpl fld="0" item="1"/>
        </tpls>
      </m>
      <n v="-6294.75" in="0">
        <tpls c="4">
          <tpl fld="2" item="11"/>
          <tpl hier="10" item="6"/>
          <tpl hier="11" item="9"/>
          <tpl fld="0" item="0"/>
        </tpls>
      </n>
      <m in="0">
        <tpls c="4">
          <tpl fld="2" item="3"/>
          <tpl hier="10" item="6"/>
          <tpl hier="11" item="9"/>
          <tpl fld="0" item="1"/>
        </tpls>
      </m>
      <m in="0">
        <tpls c="5">
          <tpl fld="1" item="10"/>
          <tpl fld="2" item="15"/>
          <tpl hier="10" item="6"/>
          <tpl hier="11" item="9"/>
          <tpl fld="0" item="1"/>
        </tpls>
      </m>
      <m in="0">
        <tpls c="5">
          <tpl fld="1" item="1"/>
          <tpl fld="2" item="8"/>
          <tpl hier="10" item="6"/>
          <tpl hier="11" item="9"/>
          <tpl fld="0" item="1"/>
        </tpls>
      </m>
      <m in="0">
        <tpls c="5">
          <tpl fld="1" item="6"/>
          <tpl fld="2" item="3"/>
          <tpl hier="10" item="6"/>
          <tpl hier="11" item="9"/>
          <tpl fld="0" item="1"/>
        </tpls>
      </m>
      <m in="0">
        <tpls c="5">
          <tpl fld="1" item="8"/>
          <tpl fld="2" item="5"/>
          <tpl hier="10" item="6"/>
          <tpl hier="11" item="9"/>
          <tpl fld="0" item="1"/>
        </tpls>
      </m>
      <m in="0">
        <tpls c="5">
          <tpl fld="1" item="5"/>
          <tpl fld="2" item="10"/>
          <tpl hier="10" item="6"/>
          <tpl hier="11" item="9"/>
          <tpl fld="0" item="1"/>
        </tpls>
      </m>
      <m in="0">
        <tpls c="5">
          <tpl fld="1" item="1"/>
          <tpl fld="2" item="13"/>
          <tpl hier="10" item="6"/>
          <tpl hier="11" item="9"/>
          <tpl fld="0" item="1"/>
        </tpls>
      </m>
      <m in="0">
        <tpls c="5">
          <tpl fld="1" item="9"/>
          <tpl fld="2" item="14"/>
          <tpl hier="10" item="6"/>
          <tpl hier="11" item="9"/>
          <tpl fld="0" item="0"/>
        </tpls>
      </m>
      <n v="-514.25" in="0">
        <tpls c="5">
          <tpl fld="1" item="0"/>
          <tpl fld="2" item="11"/>
          <tpl hier="10" item="6"/>
          <tpl hier="11" item="9"/>
          <tpl fld="0" item="0"/>
        </tpls>
      </n>
      <m in="0">
        <tpls c="5">
          <tpl fld="1" item="7"/>
          <tpl fld="2" item="11"/>
          <tpl hier="10" item="6"/>
          <tpl hier="11" item="9"/>
          <tpl fld="0" item="1"/>
        </tpls>
      </m>
      <m in="0">
        <tpls c="5">
          <tpl fld="1" item="6"/>
          <tpl fld="2" item="13"/>
          <tpl hier="10" item="6"/>
          <tpl hier="11" item="9"/>
          <tpl fld="0" item="1"/>
        </tpls>
      </m>
      <n v="-13470.25" in="0">
        <tpls c="5">
          <tpl fld="1" item="6"/>
          <tpl fld="2" item="10"/>
          <tpl hier="10" item="6"/>
          <tpl hier="11" item="9"/>
          <tpl fld="0" item="0"/>
        </tpls>
      </n>
      <n v="-227469" in="0">
        <tpls c="5">
          <tpl fld="1" item="4"/>
          <tpl fld="2" item="0"/>
          <tpl hier="10" item="6"/>
          <tpl hier="11" item="9"/>
          <tpl fld="0" item="0"/>
        </tpls>
      </n>
      <n v="-63042" in="0">
        <tpls c="4">
          <tpl fld="2" item="13"/>
          <tpl hier="10" item="6"/>
          <tpl hier="11" item="9"/>
          <tpl fld="0" item="0"/>
        </tpls>
      </n>
      <m in="0">
        <tpls c="5">
          <tpl fld="1" item="3"/>
          <tpl fld="2" item="2"/>
          <tpl hier="10" item="6"/>
          <tpl hier="11" item="9"/>
          <tpl fld="0" item="1"/>
        </tpls>
      </m>
      <m in="0">
        <tpls c="5">
          <tpl fld="1" item="1"/>
          <tpl fld="2" item="0"/>
          <tpl hier="10" item="6"/>
          <tpl hier="11" item="9"/>
          <tpl fld="0" item="1"/>
        </tpls>
      </m>
      <m in="0">
        <tpls c="5">
          <tpl fld="1" item="6"/>
          <tpl fld="2" item="10"/>
          <tpl hier="10" item="6"/>
          <tpl hier="11" item="9"/>
          <tpl fld="0" item="1"/>
        </tpls>
      </m>
      <n v="-4083.5" in="0">
        <tpls c="5">
          <tpl fld="1" item="4"/>
          <tpl fld="2" item="1"/>
          <tpl hier="10" item="6"/>
          <tpl hier="11" item="9"/>
          <tpl fld="0" item="0"/>
        </tpls>
      </n>
      <m in="0">
        <tpls c="5">
          <tpl fld="1" item="3"/>
          <tpl fld="2" item="7"/>
          <tpl hier="10" item="6"/>
          <tpl hier="11" item="9"/>
          <tpl fld="0" item="1"/>
        </tpls>
      </m>
      <m in="0">
        <tpls c="5">
          <tpl fld="1" item="8"/>
          <tpl fld="2" item="8"/>
          <tpl hier="10" item="6"/>
          <tpl hier="11" item="9"/>
          <tpl fld="0" item="0"/>
        </tpls>
      </m>
      <n v="-3573.5" in="0">
        <tpls c="5">
          <tpl fld="1" item="9"/>
          <tpl fld="2" item="13"/>
          <tpl hier="10" item="6"/>
          <tpl hier="11" item="9"/>
          <tpl fld="0" item="0"/>
        </tpls>
      </n>
      <n v="-298713.25" in="0">
        <tpls c="5">
          <tpl fld="1" item="2"/>
          <tpl hier="9" item="4294967295"/>
          <tpl hier="10" item="6"/>
          <tpl hier="11" item="9"/>
          <tpl fld="0" item="0"/>
        </tpls>
      </n>
      <m in="0">
        <tpls c="5">
          <tpl fld="1" item="0"/>
          <tpl fld="2" item="13"/>
          <tpl hier="10" item="6"/>
          <tpl hier="11" item="9"/>
          <tpl fld="0" item="1"/>
        </tpls>
      </m>
      <m in="0">
        <tpls c="5">
          <tpl fld="1" item="1"/>
          <tpl fld="2" item="5"/>
          <tpl hier="10" item="6"/>
          <tpl hier="11" item="9"/>
          <tpl fld="0" item="1"/>
        </tpls>
      </m>
      <m in="0">
        <tpls c="5">
          <tpl fld="1" item="4"/>
          <tpl fld="2" item="2"/>
          <tpl hier="10" item="6"/>
          <tpl hier="11" item="9"/>
          <tpl fld="0" item="0"/>
        </tpls>
      </m>
      <m in="0">
        <tpls c="5">
          <tpl fld="1" item="9"/>
          <tpl fld="2" item="13"/>
          <tpl hier="10" item="6"/>
          <tpl hier="11" item="9"/>
          <tpl fld="0" item="1"/>
        </tpls>
      </m>
      <m in="0">
        <tpls c="5">
          <tpl fld="1" item="0"/>
          <tpl hier="9" item="4294967295"/>
          <tpl hier="10" item="6"/>
          <tpl hier="11" item="9"/>
          <tpl fld="0" item="1"/>
        </tpls>
      </m>
      <n v="-13632" in="0">
        <tpls c="5">
          <tpl fld="1" item="4"/>
          <tpl fld="2" item="6"/>
          <tpl hier="10" item="6"/>
          <tpl hier="11" item="9"/>
          <tpl fld="0" item="0"/>
        </tpls>
      </n>
      <m in="0">
        <tpls c="5">
          <tpl fld="1" item="4"/>
          <tpl fld="2" item="2"/>
          <tpl hier="10" item="6"/>
          <tpl hier="11" item="9"/>
          <tpl fld="0" item="1"/>
        </tpls>
      </m>
      <m in="0">
        <tpls c="5">
          <tpl fld="1" item="4"/>
          <tpl fld="2" item="12"/>
          <tpl hier="10" item="6"/>
          <tpl hier="11" item="9"/>
          <tpl fld="0" item="1"/>
        </tpls>
      </m>
      <m in="0">
        <tpls c="5">
          <tpl fld="1" item="6"/>
          <tpl fld="2" item="14"/>
          <tpl hier="10" item="6"/>
          <tpl hier="11" item="9"/>
          <tpl fld="0" item="0"/>
        </tpls>
      </m>
      <m in="0">
        <tpls c="5">
          <tpl fld="1" item="7"/>
          <tpl fld="2" item="8"/>
          <tpl hier="10" item="6"/>
          <tpl hier="11" item="9"/>
          <tpl fld="0" item="1"/>
        </tpls>
      </m>
      <m in="0">
        <tpls c="5">
          <tpl fld="1" item="6"/>
          <tpl fld="2" item="14"/>
          <tpl hier="10" item="6"/>
          <tpl hier="11" item="9"/>
          <tpl fld="0" item="1"/>
        </tpls>
      </m>
      <m in="0">
        <tpls c="5">
          <tpl fld="1" item="11"/>
          <tpl fld="2" item="7"/>
          <tpl hier="10" item="6"/>
          <tpl hier="11" item="9"/>
          <tpl fld="0" item="1"/>
        </tpls>
      </m>
      <m in="0">
        <tpls c="5">
          <tpl fld="1" item="6"/>
          <tpl fld="2" item="8"/>
          <tpl hier="10" item="6"/>
          <tpl hier="11" item="9"/>
          <tpl fld="0" item="0"/>
        </tpls>
      </m>
      <n v="-5180.25" in="0">
        <tpls c="5">
          <tpl fld="1" item="10"/>
          <tpl fld="2" item="13"/>
          <tpl hier="10" item="6"/>
          <tpl hier="11" item="9"/>
          <tpl fld="0" item="0"/>
        </tpls>
      </n>
      <m in="0">
        <tpls c="5">
          <tpl fld="1" item="0"/>
          <tpl fld="2" item="15"/>
          <tpl hier="10" item="6"/>
          <tpl hier="11" item="9"/>
          <tpl fld="0" item="1"/>
        </tpls>
      </m>
      <m in="0">
        <tpls c="5">
          <tpl fld="1" item="6"/>
          <tpl fld="2" item="0"/>
          <tpl hier="10" item="6"/>
          <tpl hier="11" item="9"/>
          <tpl fld="0" item="1"/>
        </tpls>
      </m>
      <n v="-2381.25" in="0">
        <tpls c="5">
          <tpl fld="1" item="5"/>
          <tpl fld="2" item="3"/>
          <tpl hier="10" item="6"/>
          <tpl hier="11" item="9"/>
          <tpl fld="0" item="0"/>
        </tpls>
      </n>
      <m in="0">
        <tpls c="4">
          <tpl fld="2" item="14"/>
          <tpl hier="10" item="6"/>
          <tpl hier="11" item="9"/>
          <tpl fld="0" item="1"/>
        </tpls>
      </m>
      <m in="0">
        <tpls c="5">
          <tpl fld="1" item="8"/>
          <tpl fld="2" item="3"/>
          <tpl hier="10" item="6"/>
          <tpl hier="11" item="9"/>
          <tpl fld="0" item="1"/>
        </tpls>
      </m>
      <m in="0">
        <tpls c="5">
          <tpl fld="1" item="9"/>
          <tpl fld="2" item="8"/>
          <tpl hier="10" item="6"/>
          <tpl hier="11" item="9"/>
          <tpl fld="0" item="1"/>
        </tpls>
      </m>
      <n v="-1824.25" in="0">
        <tpls c="5">
          <tpl fld="1" item="6"/>
          <tpl fld="2" item="3"/>
          <tpl hier="10" item="6"/>
          <tpl hier="11" item="9"/>
          <tpl fld="0" item="0"/>
        </tpls>
      </n>
      <m in="0">
        <tpls c="4">
          <tpl fld="2" item="9"/>
          <tpl hier="10" item="6"/>
          <tpl hier="11" item="9"/>
          <tpl fld="0" item="1"/>
        </tpls>
      </m>
      <n v="-258917.75" in="0">
        <tpls c="5">
          <tpl fld="1" item="3"/>
          <tpl hier="9" item="4294967295"/>
          <tpl hier="10" item="6"/>
          <tpl hier="11" item="9"/>
          <tpl fld="0" item="0"/>
        </tpls>
      </n>
      <m in="0">
        <tpls c="5">
          <tpl fld="1" item="8"/>
          <tpl fld="2" item="2"/>
          <tpl hier="10" item="6"/>
          <tpl hier="11" item="9"/>
          <tpl fld="0" item="1"/>
        </tpls>
      </m>
      <m in="0">
        <tpls c="5">
          <tpl fld="1" item="10"/>
          <tpl fld="2" item="12"/>
          <tpl hier="10" item="6"/>
          <tpl hier="11" item="9"/>
          <tpl fld="0" item="1"/>
        </tpls>
      </m>
      <m in="0">
        <tpls c="5">
          <tpl fld="1" item="0"/>
          <tpl fld="2" item="3"/>
          <tpl hier="10" item="6"/>
          <tpl hier="11" item="9"/>
          <tpl fld="0" item="1"/>
        </tpls>
      </m>
      <m in="0">
        <tpls c="5">
          <tpl fld="1" item="11"/>
          <tpl fld="2" item="11"/>
          <tpl hier="10" item="6"/>
          <tpl hier="11" item="9"/>
          <tpl fld="0" item="1"/>
        </tpls>
      </m>
      <n v="-20240" in="0">
        <tpls c="5">
          <tpl fld="1" item="0"/>
          <tpl fld="2" item="6"/>
          <tpl hier="10" item="6"/>
          <tpl hier="11" item="9"/>
          <tpl fld="0" item="0"/>
        </tpls>
      </n>
      <m in="0">
        <tpls c="5">
          <tpl fld="1" item="6"/>
          <tpl fld="2" item="6"/>
          <tpl hier="10" item="6"/>
          <tpl hier="11" item="9"/>
          <tpl fld="0" item="1"/>
        </tpls>
      </m>
      <m in="0">
        <tpls c="5">
          <tpl fld="1" item="11"/>
          <tpl fld="2" item="4"/>
          <tpl hier="10" item="6"/>
          <tpl hier="11" item="9"/>
          <tpl fld="0" item="1"/>
        </tpls>
      </m>
      <m in="0">
        <tpls c="5">
          <tpl fld="1" item="7"/>
          <tpl fld="2" item="4"/>
          <tpl hier="10" item="6"/>
          <tpl hier="11" item="9"/>
          <tpl fld="0" item="1"/>
        </tpls>
      </m>
      <m in="0">
        <tpls c="5">
          <tpl fld="1" item="4"/>
          <tpl fld="2" item="15"/>
          <tpl hier="10" item="6"/>
          <tpl hier="11" item="9"/>
          <tpl fld="0" item="1"/>
        </tpls>
      </m>
      <m in="0">
        <tpls c="5">
          <tpl fld="1" item="11"/>
          <tpl fld="2" item="8"/>
          <tpl hier="10" item="6"/>
          <tpl hier="11" item="9"/>
          <tpl fld="0" item="0"/>
        </tpls>
      </m>
      <m in="0">
        <tpls c="5">
          <tpl fld="1" item="9"/>
          <tpl fld="2" item="11"/>
          <tpl hier="10" item="6"/>
          <tpl hier="11" item="9"/>
          <tpl fld="0" item="1"/>
        </tpls>
      </m>
      <n v="-281721.25" in="0">
        <tpls c="5">
          <tpl fld="1" item="0"/>
          <tpl hier="9" item="4294967295"/>
          <tpl hier="10" item="6"/>
          <tpl hier="11" item="9"/>
          <tpl fld="0" item="0"/>
        </tpls>
      </n>
      <m in="0">
        <tpls c="5">
          <tpl fld="1" item="9"/>
          <tpl fld="2" item="4"/>
          <tpl hier="10" item="6"/>
          <tpl hier="11" item="9"/>
          <tpl fld="0" item="0"/>
        </tpls>
      </m>
      <n v="-6006" in="0">
        <tpls c="5">
          <tpl fld="1" item="0"/>
          <tpl fld="2" item="13"/>
          <tpl hier="10" item="6"/>
          <tpl hier="11" item="9"/>
          <tpl fld="0" item="0"/>
        </tpls>
      </n>
      <n v="-2515" in="0">
        <tpls c="5">
          <tpl fld="1" item="7"/>
          <tpl fld="2" item="3"/>
          <tpl hier="10" item="6"/>
          <tpl hier="11" item="9"/>
          <tpl fld="0" item="0"/>
        </tpls>
      </n>
      <n v="-3699" in="0">
        <tpls c="5">
          <tpl fld="1" item="11"/>
          <tpl fld="2" item="13"/>
          <tpl hier="10" item="6"/>
          <tpl hier="11" item="9"/>
          <tpl fld="0" item="0"/>
        </tpls>
      </n>
      <m in="0">
        <tpls c="5">
          <tpl fld="1" item="0"/>
          <tpl fld="2" item="14"/>
          <tpl hier="10" item="6"/>
          <tpl hier="11" item="9"/>
          <tpl fld="0" item="1"/>
        </tpls>
      </m>
      <m in="0">
        <tpls c="5">
          <tpl fld="1" item="9"/>
          <tpl fld="2" item="3"/>
          <tpl hier="10" item="6"/>
          <tpl hier="11" item="9"/>
          <tpl fld="0" item="1"/>
        </tpls>
      </m>
      <m in="0">
        <tpls c="5">
          <tpl fld="1" item="1"/>
          <tpl fld="2" item="11"/>
          <tpl hier="10" item="6"/>
          <tpl hier="11" item="9"/>
          <tpl fld="0" item="1"/>
        </tpls>
      </m>
      <m in="0">
        <tpls c="5">
          <tpl fld="1" item="11"/>
          <tpl fld="2" item="13"/>
          <tpl hier="10" item="6"/>
          <tpl hier="11" item="9"/>
          <tpl fld="0" item="1"/>
        </tpls>
      </m>
      <m in="0">
        <tpls c="5">
          <tpl fld="1" item="0"/>
          <tpl fld="2" item="14"/>
          <tpl hier="10" item="6"/>
          <tpl hier="11" item="9"/>
          <tpl fld="0" item="0"/>
        </tpls>
      </m>
      <m in="0">
        <tpls c="5">
          <tpl fld="1" item="2"/>
          <tpl fld="2" item="3"/>
          <tpl hier="10" item="6"/>
          <tpl hier="11" item="9"/>
          <tpl fld="0" item="1"/>
        </tpls>
      </m>
      <m in="0">
        <tpls c="5">
          <tpl fld="1" item="3"/>
          <tpl hier="9" item="4294967295"/>
          <tpl hier="10" item="6"/>
          <tpl hier="11" item="9"/>
          <tpl fld="0" item="1"/>
        </tpls>
      </m>
      <m in="0">
        <tpls c="5">
          <tpl fld="1" item="5"/>
          <tpl fld="2" item="4"/>
          <tpl hier="10" item="6"/>
          <tpl hier="11" item="9"/>
          <tpl fld="0" item="1"/>
        </tpls>
      </m>
      <m in="0">
        <tpls c="5">
          <tpl fld="1" item="9"/>
          <tpl fld="2" item="2"/>
          <tpl hier="10" item="6"/>
          <tpl hier="11" item="9"/>
          <tpl fld="0" item="1"/>
        </tpls>
      </m>
      <m in="0">
        <tpls c="5">
          <tpl fld="1" item="10"/>
          <tpl fld="2" item="8"/>
          <tpl hier="10" item="6"/>
          <tpl hier="11" item="9"/>
          <tpl fld="0" item="0"/>
        </tpls>
      </m>
      <n v="-14417.5" in="0">
        <tpls c="5">
          <tpl fld="1" item="8"/>
          <tpl fld="2" item="10"/>
          <tpl hier="10" item="6"/>
          <tpl hier="11" item="9"/>
          <tpl fld="0" item="0"/>
        </tpls>
      </n>
      <n v="-6382.25" in="0">
        <tpls c="5">
          <tpl fld="1" item="2"/>
          <tpl fld="2" item="15"/>
          <tpl hier="10" item="6"/>
          <tpl hier="11" item="9"/>
          <tpl fld="0" item="0"/>
        </tpls>
      </n>
      <m in="0">
        <tpls c="5">
          <tpl fld="1" item="9"/>
          <tpl fld="2" item="7"/>
          <tpl hier="10" item="6"/>
          <tpl hier="11" item="9"/>
          <tpl fld="0" item="1"/>
        </tpls>
      </m>
      <n v="-1863.75" in="0">
        <tpls c="5">
          <tpl fld="1" item="4"/>
          <tpl fld="2" item="3"/>
          <tpl hier="10" item="6"/>
          <tpl hier="11" item="9"/>
          <tpl fld="0" item="0"/>
        </tpls>
      </n>
      <m in="0">
        <tpls c="5">
          <tpl fld="1" item="10"/>
          <tpl fld="2" item="4"/>
          <tpl hier="10" item="6"/>
          <tpl hier="11" item="9"/>
          <tpl fld="0" item="1"/>
        </tpls>
      </m>
      <m in="0">
        <tpls c="5">
          <tpl fld="1" item="1"/>
          <tpl fld="2" item="8"/>
          <tpl hier="10" item="6"/>
          <tpl hier="11" item="9"/>
          <tpl fld="0" item="0"/>
        </tpls>
      </m>
      <m in="0">
        <tpls c="5">
          <tpl fld="1" item="9"/>
          <tpl fld="2" item="9"/>
          <tpl hier="10" item="6"/>
          <tpl hier="11" item="9"/>
          <tpl fld="0" item="1"/>
        </tpls>
      </m>
      <m in="0">
        <tpls c="5">
          <tpl fld="1" item="2"/>
          <tpl fld="2" item="14"/>
          <tpl hier="10" item="6"/>
          <tpl hier="11" item="9"/>
          <tpl fld="0" item="1"/>
        </tpls>
      </m>
      <n v="-12844.75" in="0">
        <tpls c="5">
          <tpl fld="1" item="9"/>
          <tpl fld="2" item="10"/>
          <tpl hier="10" item="6"/>
          <tpl hier="11" item="9"/>
          <tpl fld="0" item="0"/>
        </tpls>
      </n>
      <n v="-4763.75" in="0">
        <tpls c="5">
          <tpl fld="1" item="5"/>
          <tpl fld="2" item="1"/>
          <tpl hier="10" item="6"/>
          <tpl hier="11" item="9"/>
          <tpl fld="0" item="0"/>
        </tpls>
      </n>
      <n v="-4569.5" in="0">
        <tpls c="5">
          <tpl fld="1" item="10"/>
          <tpl fld="2" item="12"/>
          <tpl hier="10" item="6"/>
          <tpl hier="11" item="9"/>
          <tpl fld="0" item="0"/>
        </tpls>
      </n>
      <m in="0">
        <tpls c="5">
          <tpl fld="1" item="4"/>
          <tpl fld="2" item="11"/>
          <tpl hier="10" item="6"/>
          <tpl hier="11" item="9"/>
          <tpl fld="0" item="1"/>
        </tpls>
      </m>
      <n v="-324009.5" in="0">
        <tpls c="5">
          <tpl fld="1" item="8"/>
          <tpl hier="9" item="4294967295"/>
          <tpl hier="10" item="6"/>
          <tpl hier="11" item="9"/>
          <tpl fld="0" item="0"/>
        </tpls>
      </n>
      <m in="0">
        <tpls c="5">
          <tpl fld="1" item="1"/>
          <tpl fld="2" item="14"/>
          <tpl hier="10" item="6"/>
          <tpl hier="11" item="9"/>
          <tpl fld="0" item="0"/>
        </tpls>
      </m>
      <m in="0">
        <tpls c="5">
          <tpl fld="1" item="1"/>
          <tpl fld="2" item="2"/>
          <tpl hier="10" item="6"/>
          <tpl hier="11" item="9"/>
          <tpl fld="0" item="0"/>
        </tpls>
      </m>
      <n v="-2179.25" in="0">
        <tpls c="5">
          <tpl fld="1" item="2"/>
          <tpl fld="2" item="3"/>
          <tpl hier="10" item="6"/>
          <tpl hier="11" item="9"/>
          <tpl fld="0" item="0"/>
        </tpls>
      </n>
      <n v="-1133.25" in="0">
        <tpls c="5">
          <tpl fld="1" item="6"/>
          <tpl fld="2" item="5"/>
          <tpl hier="10" item="6"/>
          <tpl hier="11" item="9"/>
          <tpl fld="0" item="0"/>
        </tpls>
      </n>
      <m in="0">
        <tpls c="5">
          <tpl fld="1" item="2"/>
          <tpl fld="2" item="9"/>
          <tpl hier="10" item="6"/>
          <tpl hier="11" item="9"/>
          <tpl fld="0" item="1"/>
        </tpls>
      </m>
      <m in="0">
        <tpls c="5">
          <tpl fld="1" item="8"/>
          <tpl fld="2" item="0"/>
          <tpl hier="10" item="6"/>
          <tpl hier="11" item="9"/>
          <tpl fld="0" item="1"/>
        </tpls>
      </m>
      <m in="0">
        <tpls c="5">
          <tpl fld="1" item="9"/>
          <tpl fld="2" item="7"/>
          <tpl hier="10" item="6"/>
          <tpl hier="11" item="9"/>
          <tpl fld="0" item="0"/>
        </tpls>
      </m>
      <m in="0">
        <tpls c="5">
          <tpl fld="1" item="3"/>
          <tpl fld="2" item="9"/>
          <tpl hier="10" item="6"/>
          <tpl hier="11" item="9"/>
          <tpl fld="0" item="0"/>
        </tpls>
      </m>
      <n v="-196536.5" in="0">
        <tpls c="5">
          <tpl fld="1" item="1"/>
          <tpl fld="2" item="0"/>
          <tpl hier="10" item="6"/>
          <tpl hier="11" item="9"/>
          <tpl fld="0" item="0"/>
        </tpls>
      </n>
      <m in="0">
        <tpls c="5">
          <tpl fld="1" item="2"/>
          <tpl fld="2" item="4"/>
          <tpl hier="10" item="6"/>
          <tpl hier="11" item="9"/>
          <tpl fld="0" item="1"/>
        </tpls>
      </m>
      <m in="0">
        <tpls c="5">
          <tpl fld="1" item="10"/>
          <tpl fld="2" item="9"/>
          <tpl hier="10" item="6"/>
          <tpl hier="11" item="9"/>
          <tpl fld="0" item="1"/>
        </tpls>
      </m>
      <m in="0">
        <tpls c="5">
          <tpl fld="1" item="5"/>
          <tpl fld="2" item="9"/>
          <tpl hier="10" item="6"/>
          <tpl hier="11" item="9"/>
          <tpl fld="0" item="1"/>
        </tpls>
      </m>
      <n v="-5421" in="0">
        <tpls c="5">
          <tpl fld="1" item="8"/>
          <tpl fld="2" item="12"/>
          <tpl hier="10" item="6"/>
          <tpl hier="11" item="9"/>
          <tpl fld="0" item="0"/>
        </tpls>
      </n>
      <n v="-961.25" in="0">
        <tpls c="5">
          <tpl fld="1" item="8"/>
          <tpl fld="2" item="5"/>
          <tpl hier="10" item="6"/>
          <tpl hier="11" item="9"/>
          <tpl fld="0" item="0"/>
        </tpls>
      </n>
      <m in="0">
        <tpls c="5">
          <tpl fld="1" item="9"/>
          <tpl fld="2" item="5"/>
          <tpl hier="10" item="6"/>
          <tpl hier="11" item="9"/>
          <tpl fld="0" item="1"/>
        </tpls>
      </m>
      <m in="0">
        <tpls c="5">
          <tpl fld="1" item="10"/>
          <tpl fld="2" item="5"/>
          <tpl hier="10" item="6"/>
          <tpl hier="11" item="9"/>
          <tpl fld="0" item="1"/>
        </tpls>
      </m>
      <n v="-285388.75" in="0">
        <tpls c="5">
          <tpl fld="1" item="5"/>
          <tpl hier="9" item="4294967295"/>
          <tpl hier="10" item="6"/>
          <tpl hier="11" item="9"/>
          <tpl fld="0" item="0"/>
        </tpls>
      </n>
      <m in="0">
        <tpls c="5">
          <tpl fld="1" item="1"/>
          <tpl fld="2" item="15"/>
          <tpl hier="10" item="6"/>
          <tpl hier="11" item="9"/>
          <tpl fld="0" item="1"/>
        </tpls>
      </m>
      <n v="-2154" in="0">
        <tpls c="5">
          <tpl fld="1" item="0"/>
          <tpl fld="2" item="3"/>
          <tpl hier="10" item="6"/>
          <tpl hier="11" item="9"/>
          <tpl fld="0" item="0"/>
        </tpls>
      </n>
      <m in="0">
        <tpls c="5">
          <tpl fld="1" item="3"/>
          <tpl fld="2" item="4"/>
          <tpl hier="10" item="6"/>
          <tpl hier="11" item="9"/>
          <tpl fld="0" item="0"/>
        </tpls>
      </m>
      <m in="0">
        <tpls c="5">
          <tpl fld="1" item="2"/>
          <tpl fld="2" item="9"/>
          <tpl hier="10" item="6"/>
          <tpl hier="11" item="9"/>
          <tpl fld="0" item="0"/>
        </tpls>
      </m>
      <m in="0">
        <tpls c="5">
          <tpl fld="1" item="7"/>
          <tpl fld="2" item="6"/>
          <tpl hier="10" item="6"/>
          <tpl hier="11" item="9"/>
          <tpl fld="0" item="1"/>
        </tpls>
      </m>
      <m in="0">
        <tpls c="5">
          <tpl fld="1" item="6"/>
          <tpl fld="2" item="2"/>
          <tpl hier="10" item="6"/>
          <tpl hier="11" item="9"/>
          <tpl fld="0" item="1"/>
        </tpls>
      </m>
      <m in="0">
        <tpls c="5">
          <tpl fld="1" item="1"/>
          <tpl fld="2" item="4"/>
          <tpl hier="10" item="6"/>
          <tpl hier="11" item="9"/>
          <tpl fld="0" item="0"/>
        </tpls>
      </m>
      <m in="0">
        <tpls c="5">
          <tpl fld="1" item="8"/>
          <tpl fld="2" item="9"/>
          <tpl hier="10" item="6"/>
          <tpl hier="11" item="9"/>
          <tpl fld="0" item="0"/>
        </tpls>
      </m>
      <m in="0">
        <tpls c="5">
          <tpl fld="1" item="5"/>
          <tpl fld="2" item="5"/>
          <tpl hier="10" item="6"/>
          <tpl hier="11" item="9"/>
          <tpl fld="0" item="1"/>
        </tpls>
      </m>
      <m in="0">
        <tpls c="5">
          <tpl fld="1" item="8"/>
          <tpl fld="2" item="12"/>
          <tpl hier="10" item="6"/>
          <tpl hier="11" item="9"/>
          <tpl fld="0" item="1"/>
        </tpls>
      </m>
      <n v="-5306.5" in="0">
        <tpls c="5">
          <tpl fld="1" item="10"/>
          <tpl fld="2" item="1"/>
          <tpl hier="10" item="6"/>
          <tpl hier="11" item="9"/>
          <tpl fld="0" item="0"/>
        </tpls>
      </n>
      <m in="0">
        <tpls c="5">
          <tpl fld="1" item="9"/>
          <tpl fld="2" item="10"/>
          <tpl hier="10" item="6"/>
          <tpl hier="11" item="9"/>
          <tpl fld="0" item="1"/>
        </tpls>
      </m>
      <m in="0">
        <tpls c="5">
          <tpl fld="1" item="10"/>
          <tpl fld="2" item="2"/>
          <tpl hier="10" item="6"/>
          <tpl hier="11" item="9"/>
          <tpl fld="0" item="1"/>
        </tpls>
      </m>
      <m in="0">
        <tpls c="5">
          <tpl fld="1" item="5"/>
          <tpl hier="9" item="4294967295"/>
          <tpl hier="10" item="6"/>
          <tpl hier="11" item="9"/>
          <tpl fld="0" item="1"/>
        </tpls>
      </m>
      <n v="-6440.25" in="0">
        <tpls c="5">
          <tpl fld="1" item="5"/>
          <tpl fld="2" item="15"/>
          <tpl hier="10" item="6"/>
          <tpl hier="11" item="9"/>
          <tpl fld="0" item="0"/>
        </tpls>
      </n>
      <m in="0">
        <tpls c="5">
          <tpl fld="1" item="0"/>
          <tpl fld="2" item="4"/>
          <tpl hier="10" item="6"/>
          <tpl hier="11" item="9"/>
          <tpl fld="0" item="1"/>
        </tpls>
      </m>
      <n v="-3946.5" in="0">
        <tpls c="5">
          <tpl fld="1" item="3"/>
          <tpl fld="2" item="1"/>
          <tpl hier="10" item="6"/>
          <tpl hier="11" item="9"/>
          <tpl fld="0" item="0"/>
        </tpls>
      </n>
      <m in="0">
        <tpls c="5">
          <tpl fld="1" item="5"/>
          <tpl fld="2" item="0"/>
          <tpl hier="10" item="6"/>
          <tpl hier="11" item="9"/>
          <tpl fld="0" item="1"/>
        </tpls>
      </m>
      <n v="-1843.5" in="0">
        <tpls c="5">
          <tpl fld="1" item="11"/>
          <tpl fld="2" item="3"/>
          <tpl hier="10" item="6"/>
          <tpl hier="11" item="9"/>
          <tpl fld="0" item="0"/>
        </tpls>
      </n>
      <m in="0">
        <tpls c="5">
          <tpl fld="1" item="1"/>
          <tpl fld="2" item="4"/>
          <tpl hier="10" item="6"/>
          <tpl hier="11" item="9"/>
          <tpl fld="0" item="1"/>
        </tpls>
      </m>
      <m in="0">
        <tpls c="5">
          <tpl fld="1" item="8"/>
          <tpl fld="2" item="9"/>
          <tpl hier="10" item="6"/>
          <tpl hier="11" item="9"/>
          <tpl fld="0" item="1"/>
        </tpls>
      </m>
      <m in="0">
        <tpls c="5">
          <tpl fld="1" item="5"/>
          <tpl fld="2" item="7"/>
          <tpl hier="10" item="6"/>
          <tpl hier="11" item="9"/>
          <tpl fld="0" item="1"/>
        </tpls>
      </m>
      <n v="-4271.25" in="0">
        <tpls c="5">
          <tpl fld="1" item="7"/>
          <tpl fld="2" item="12"/>
          <tpl hier="10" item="6"/>
          <tpl hier="11" item="9"/>
          <tpl fld="0" item="0"/>
        </tpls>
      </n>
      <m in="0">
        <tpls c="5">
          <tpl fld="1" item="10"/>
          <tpl fld="2" item="4"/>
          <tpl hier="10" item="6"/>
          <tpl hier="11" item="9"/>
          <tpl fld="0" item="0"/>
        </tpls>
      </m>
      <m in="0">
        <tpls c="5">
          <tpl fld="1" item="9"/>
          <tpl fld="2" item="0"/>
          <tpl hier="10" item="6"/>
          <tpl hier="11" item="9"/>
          <tpl fld="0" item="1"/>
        </tpls>
      </m>
      <n v="-1103.25" in="0">
        <tpls c="5">
          <tpl fld="1" item="5"/>
          <tpl fld="2" item="5"/>
          <tpl hier="10" item="6"/>
          <tpl hier="11" item="9"/>
          <tpl fld="0" item="0"/>
        </tpls>
      </n>
      <n v="-279102.5" in="0">
        <tpls c="5">
          <tpl fld="1" item="4"/>
          <tpl hier="9" item="4294967295"/>
          <tpl hier="10" item="6"/>
          <tpl hier="11" item="9"/>
          <tpl fld="0" item="0"/>
        </tpls>
      </n>
      <m in="0">
        <tpls c="5">
          <tpl fld="1" item="5"/>
          <tpl fld="2" item="15"/>
          <tpl hier="10" item="6"/>
          <tpl hier="11" item="9"/>
          <tpl fld="0" item="1"/>
        </tpls>
      </m>
      <m in="0">
        <tpls c="5">
          <tpl fld="1" item="0"/>
          <tpl fld="2" item="4"/>
          <tpl hier="10" item="6"/>
          <tpl hier="11" item="9"/>
          <tpl fld="0" item="0"/>
        </tpls>
      </m>
      <n v="-3649.5" in="0">
        <tpls c="5">
          <tpl fld="1" item="6"/>
          <tpl fld="2" item="1"/>
          <tpl hier="10" item="6"/>
          <tpl hier="11" item="9"/>
          <tpl fld="0" item="0"/>
        </tpls>
      </n>
      <m in="0">
        <tpls c="5">
          <tpl fld="1" item="9"/>
          <tpl fld="2" item="8"/>
          <tpl hier="10" item="6"/>
          <tpl hier="11" item="9"/>
          <tpl fld="0" item="0"/>
        </tpls>
      </m>
      <n v="-260505.5" in="0">
        <tpls c="5">
          <tpl fld="1" item="8"/>
          <tpl fld="2" item="0"/>
          <tpl hier="10" item="6"/>
          <tpl hier="11" item="9"/>
          <tpl fld="0" item="0"/>
        </tpls>
      </n>
      <m in="0">
        <tpls c="5">
          <tpl fld="1" item="1"/>
          <tpl fld="2" item="1"/>
          <tpl hier="10" item="6"/>
          <tpl hier="11" item="9"/>
          <tpl fld="0" item="1"/>
        </tpls>
      </m>
      <m in="0">
        <tpls c="5">
          <tpl fld="1" item="10"/>
          <tpl fld="2" item="3"/>
          <tpl hier="10" item="6"/>
          <tpl hier="11" item="9"/>
          <tpl fld="0" item="1"/>
        </tpls>
      </m>
      <m in="0">
        <tpls c="5">
          <tpl fld="1" item="11"/>
          <tpl fld="2" item="6"/>
          <tpl hier="10" item="6"/>
          <tpl hier="11" item="9"/>
          <tpl fld="0" item="1"/>
        </tpls>
      </m>
      <m in="0">
        <tpls c="5">
          <tpl fld="1" item="5"/>
          <tpl fld="2" item="4"/>
          <tpl hier="10" item="6"/>
          <tpl hier="11" item="9"/>
          <tpl fld="0" item="0"/>
        </tpls>
      </m>
      <m in="0">
        <tpls c="5">
          <tpl fld="1" item="7"/>
          <tpl fld="2" item="9"/>
          <tpl hier="10" item="6"/>
          <tpl hier="11" item="9"/>
          <tpl fld="0" item="0"/>
        </tpls>
      </m>
      <m in="0">
        <tpls c="5">
          <tpl fld="1" item="5"/>
          <tpl fld="2" item="6"/>
          <tpl hier="10" item="6"/>
          <tpl hier="11" item="9"/>
          <tpl fld="0" item="1"/>
        </tpls>
      </m>
      <m in="0">
        <tpls c="5">
          <tpl fld="1" item="7"/>
          <tpl fld="2" item="12"/>
          <tpl hier="10" item="6"/>
          <tpl hier="11" item="9"/>
          <tpl fld="0" item="1"/>
        </tpls>
      </m>
      <n v="-1092.75" in="0">
        <tpls c="5">
          <tpl fld="1" item="10"/>
          <tpl fld="2" item="5"/>
          <tpl hier="10" item="6"/>
          <tpl hier="11" item="9"/>
          <tpl fld="0" item="0"/>
        </tpls>
      </n>
      <m in="0">
        <tpls c="5">
          <tpl fld="1" item="3"/>
          <tpl fld="2" item="14"/>
          <tpl hier="10" item="6"/>
          <tpl hier="11" item="9"/>
          <tpl fld="0" item="0"/>
        </tpls>
      </m>
      <n v="-9340.75" in="0">
        <tpls c="5">
          <tpl fld="1" item="5"/>
          <tpl fld="2" item="10"/>
          <tpl hier="10" item="6"/>
          <tpl hier="11" item="9"/>
          <tpl fld="0" item="0"/>
        </tpls>
      </n>
      <m in="0">
        <tpls c="5">
          <tpl fld="1" item="4"/>
          <tpl hier="9" item="4294967295"/>
          <tpl hier="10" item="6"/>
          <tpl hier="11" item="9"/>
          <tpl fld="0" item="1"/>
        </tpls>
      </m>
      <m in="0">
        <tpls c="5">
          <tpl fld="1" item="3"/>
          <tpl fld="2" item="15"/>
          <tpl hier="10" item="6"/>
          <tpl hier="11" item="9"/>
          <tpl fld="0" item="1"/>
        </tpls>
      </m>
      <m in="0">
        <tpls c="5">
          <tpl fld="1" item="0"/>
          <tpl fld="2" item="5"/>
          <tpl hier="10" item="6"/>
          <tpl hier="11" item="9"/>
          <tpl fld="0" item="1"/>
        </tpls>
      </m>
      <m in="0">
        <tpls c="5">
          <tpl fld="1" item="1"/>
          <tpl fld="2" item="7"/>
          <tpl hier="10" item="6"/>
          <tpl hier="11" item="9"/>
          <tpl fld="0" item="0"/>
        </tpls>
      </m>
      <n v="-21136" in="0">
        <tpls c="5">
          <tpl fld="1" item="7"/>
          <tpl fld="2" item="6"/>
          <tpl hier="10" item="6"/>
          <tpl hier="11" item="9"/>
          <tpl fld="0" item="0"/>
        </tpls>
      </n>
      <m in="0">
        <tpls c="5">
          <tpl fld="1" item="1"/>
          <tpl fld="2" item="14"/>
          <tpl hier="10" item="6"/>
          <tpl hier="11" item="9"/>
          <tpl fld="0" item="1"/>
        </tpls>
      </m>
      <n v="-19733.75" in="0">
        <tpls c="5">
          <tpl fld="1" item="8"/>
          <tpl fld="2" item="6"/>
          <tpl hier="10" item="6"/>
          <tpl hier="11" item="9"/>
          <tpl fld="0" item="0"/>
        </tpls>
      </n>
      <m in="0">
        <tpls c="5">
          <tpl fld="1" item="10"/>
          <tpl fld="2" item="7"/>
          <tpl hier="10" item="6"/>
          <tpl hier="11" item="9"/>
          <tpl fld="0" item="0"/>
        </tpls>
      </m>
      <n v="-1183.75" in="0">
        <tpls c="5">
          <tpl fld="1" item="3"/>
          <tpl fld="2" item="5"/>
          <tpl hier="10" item="6"/>
          <tpl hier="11" item="9"/>
          <tpl fld="0" item="0"/>
        </tpls>
      </n>
      <m in="0">
        <tpls c="5">
          <tpl fld="1" item="7"/>
          <tpl fld="2" item="9"/>
          <tpl hier="10" item="6"/>
          <tpl hier="11" item="9"/>
          <tpl fld="0" item="1"/>
        </tpls>
      </m>
      <m in="0">
        <tpls c="5">
          <tpl fld="1" item="5"/>
          <tpl fld="2" item="1"/>
          <tpl hier="10" item="6"/>
          <tpl hier="11" item="9"/>
          <tpl fld="0" item="1"/>
        </tpls>
      </m>
      <n v="-4557.75" in="0">
        <tpls c="5">
          <tpl fld="1" item="6"/>
          <tpl fld="2" item="12"/>
          <tpl hier="10" item="6"/>
          <tpl hier="11" item="9"/>
          <tpl fld="0" item="0"/>
        </tpls>
      </n>
      <m in="0">
        <tpls c="5">
          <tpl fld="1" item="10"/>
          <tpl fld="2" item="2"/>
          <tpl hier="10" item="6"/>
          <tpl hier="11" item="9"/>
          <tpl fld="0" item="0"/>
        </tpls>
      </m>
      <m in="0">
        <tpls c="5">
          <tpl fld="1" item="3"/>
          <tpl fld="2" item="14"/>
          <tpl hier="10" item="6"/>
          <tpl hier="11" item="9"/>
          <tpl fld="0" item="1"/>
        </tpls>
      </m>
      <m in="0">
        <tpls c="5">
          <tpl fld="1" item="5"/>
          <tpl fld="2" item="9"/>
          <tpl hier="10" item="6"/>
          <tpl hier="11" item="9"/>
          <tpl fld="0" item="0"/>
        </tpls>
      </m>
      <n v="-276945.5" in="0">
        <tpls c="5">
          <tpl fld="1" item="9"/>
          <tpl hier="9" item="4294967295"/>
          <tpl hier="10" item="6"/>
          <tpl hier="11" item="9"/>
          <tpl fld="0" item="0"/>
        </tpls>
      </n>
      <n v="-6577.25" in="0">
        <tpls c="5">
          <tpl fld="1" item="4"/>
          <tpl fld="2" item="15"/>
          <tpl hier="10" item="6"/>
          <tpl hier="11" item="9"/>
          <tpl fld="0" item="0"/>
        </tpls>
      </n>
      <n v="-1325.5" in="0">
        <tpls c="5">
          <tpl fld="1" item="0"/>
          <tpl fld="2" item="5"/>
          <tpl hier="10" item="6"/>
          <tpl hier="11" item="9"/>
          <tpl fld="0" item="0"/>
        </tpls>
      </n>
      <n v="-2307.75" in="0">
        <tpls c="5">
          <tpl fld="1" item="9"/>
          <tpl fld="2" item="3"/>
          <tpl hier="10" item="6"/>
          <tpl hier="11" item="9"/>
          <tpl fld="0" item="0"/>
        </tpls>
      </n>
      <n v="-544" in="0">
        <tpls c="5">
          <tpl fld="1" item="1"/>
          <tpl fld="2" item="11"/>
          <tpl hier="10" item="6"/>
          <tpl hier="11" item="9"/>
          <tpl fld="0" item="0"/>
        </tpls>
      </n>
      <n v="-211241.25" in="0">
        <tpls c="5">
          <tpl fld="1" item="6"/>
          <tpl fld="2" item="0"/>
          <tpl hier="10" item="6"/>
          <tpl hier="11" item="9"/>
          <tpl fld="0" item="0"/>
        </tpls>
      </n>
      <m in="0">
        <tpls c="5">
          <tpl fld="1" item="5"/>
          <tpl fld="2" item="11"/>
          <tpl hier="10" item="6"/>
          <tpl hier="11" item="9"/>
          <tpl fld="0" item="1"/>
        </tpls>
      </m>
      <m in="0">
        <tpls c="5">
          <tpl fld="1" item="3"/>
          <tpl fld="2" item="5"/>
          <tpl hier="10" item="6"/>
          <tpl hier="11" item="9"/>
          <tpl fld="0" item="1"/>
        </tpls>
      </m>
      <m in="0">
        <tpls c="5">
          <tpl fld="1" item="6"/>
          <tpl fld="2" item="9"/>
          <tpl hier="10" item="6"/>
          <tpl hier="11" item="9"/>
          <tpl fld="0" item="0"/>
        </tpls>
      </m>
      <m in="0">
        <tpls c="5">
          <tpl fld="1" item="5"/>
          <tpl fld="2" item="2"/>
          <tpl hier="10" item="6"/>
          <tpl hier="11" item="9"/>
          <tpl fld="0" item="1"/>
        </tpls>
      </m>
      <m in="0">
        <tpls c="5">
          <tpl fld="1" item="6"/>
          <tpl fld="2" item="12"/>
          <tpl hier="10" item="6"/>
          <tpl hier="11" item="9"/>
          <tpl fld="0" item="1"/>
        </tpls>
      </m>
      <n v="-212567" in="0">
        <tpls c="5">
          <tpl fld="1" item="10"/>
          <tpl fld="2" item="0"/>
          <tpl hier="10" item="6"/>
          <tpl hier="11" item="9"/>
          <tpl fld="0" item="0"/>
        </tpls>
      </n>
      <m in="0">
        <tpls c="5">
          <tpl fld="1" item="2"/>
          <tpl fld="2" item="14"/>
          <tpl hier="10" item="6"/>
          <tpl hier="11" item="9"/>
          <tpl fld="0" item="0"/>
        </tpls>
      </m>
      <m in="0">
        <tpls c="5">
          <tpl fld="1" item="5"/>
          <tpl fld="2" item="7"/>
          <tpl hier="10" item="6"/>
          <tpl hier="11" item="9"/>
          <tpl fld="0" item="0"/>
        </tpls>
      </m>
      <n v="-277481.5" in="0">
        <tpls c="5">
          <tpl fld="1" item="11"/>
          <tpl hier="9" item="4294967295"/>
          <tpl hier="10" item="6"/>
          <tpl hier="11" item="9"/>
          <tpl fld="0" item="0"/>
        </tpls>
      </n>
      <n v="-7320.75" in="0">
        <tpls c="5">
          <tpl fld="1" item="3"/>
          <tpl fld="2" item="15"/>
          <tpl hier="10" item="6"/>
          <tpl hier="11" item="9"/>
          <tpl fld="0" item="0"/>
        </tpls>
      </n>
      <m in="0">
        <tpls c="5">
          <tpl fld="1" item="0"/>
          <tpl fld="2" item="6"/>
          <tpl hier="10" item="6"/>
          <tpl hier="11" item="9"/>
          <tpl fld="0" item="1"/>
        </tpls>
      </m>
      <m in="0">
        <tpls c="5">
          <tpl fld="1" item="7"/>
          <tpl fld="2" item="1"/>
          <tpl hier="10" item="6"/>
          <tpl hier="11" item="9"/>
          <tpl fld="0" item="1"/>
        </tpls>
      </m>
      <m in="0">
        <tpls c="5">
          <tpl fld="1" item="2"/>
          <tpl fld="2" item="0"/>
          <tpl hier="10" item="6"/>
          <tpl hier="11" item="9"/>
          <tpl fld="0" item="1"/>
        </tpls>
      </m>
      <m in="0">
        <tpls c="5">
          <tpl fld="1" item="1"/>
          <tpl fld="2" item="9"/>
          <tpl hier="10" item="6"/>
          <tpl hier="11" item="9"/>
          <tpl fld="0" item="1"/>
        </tpls>
      </m>
      <n v="-15235.75" in="0">
        <tpls c="5">
          <tpl fld="1" item="11"/>
          <tpl fld="2" item="6"/>
          <tpl hier="10" item="6"/>
          <tpl hier="11" item="9"/>
          <tpl fld="0" item="0"/>
        </tpls>
      </n>
      <n v="-56223.25" in="0">
        <tpls c="4">
          <tpl fld="2" item="12"/>
          <tpl hier="10" item="6"/>
          <tpl hier="11" item="9"/>
          <tpl fld="0" item="0"/>
        </tpls>
      </n>
      <m in="0">
        <tpls c="5">
          <tpl fld="1" item="4"/>
          <tpl fld="2" item="6"/>
          <tpl hier="10" item="6"/>
          <tpl hier="11" item="9"/>
          <tpl fld="0" item="1"/>
        </tpls>
      </m>
      <m in="0">
        <tpls c="5">
          <tpl fld="1" item="8"/>
          <tpl fld="2" item="11"/>
          <tpl hier="10" item="6"/>
          <tpl hier="11" item="9"/>
          <tpl fld="0" item="1"/>
        </tpls>
      </m>
      <n v="-16828.25" in="0">
        <tpls c="5">
          <tpl fld="1" item="1"/>
          <tpl fld="2" item="6"/>
          <tpl hier="10" item="6"/>
          <tpl hier="11" item="9"/>
          <tpl fld="0" item="0"/>
        </tpls>
      </n>
      <m in="0">
        <tpls c="5">
          <tpl fld="1" item="7"/>
          <tpl fld="2" item="13"/>
          <tpl hier="10" item="6"/>
          <tpl hier="11" item="9"/>
          <tpl fld="0" item="1"/>
        </tpls>
      </m>
      <m in="0">
        <tpls c="5">
          <tpl fld="1" item="7"/>
          <tpl fld="2" item="10"/>
          <tpl hier="10" item="6"/>
          <tpl hier="11" item="9"/>
          <tpl fld="0" item="1"/>
        </tpls>
      </m>
      <n v="-4965.25" in="0">
        <tpls c="5">
          <tpl fld="1" item="9"/>
          <tpl fld="2" item="1"/>
          <tpl hier="10" item="6"/>
          <tpl hier="11" item="9"/>
          <tpl fld="0" item="0"/>
        </tpls>
      </n>
      <m in="0">
        <tpls c="5">
          <tpl fld="1" item="0"/>
          <tpl fld="2" item="8"/>
          <tpl hier="10" item="6"/>
          <tpl hier="11" item="9"/>
          <tpl fld="0" item="1"/>
        </tpls>
      </m>
      <n v="-218442.75" in="0">
        <tpls c="5">
          <tpl fld="1" item="9"/>
          <tpl fld="2" item="0"/>
          <tpl hier="10" item="6"/>
          <tpl hier="11" item="9"/>
          <tpl fld="0" item="0"/>
        </tpls>
      </n>
    </entries>
    <sets count="12">
      <set count="1" maxRank="1" setDefinition="{[D_Type].[Type].[All]}">
        <tpls c="1">
          <tpl hier="11" item="4294967295"/>
        </tpls>
      </set>
      <set count="1" maxRank="1" setDefinition="{[D_Department].[Department].[All]}">
        <tpls c="1">
          <tpl hier="10" item="4294967295"/>
        </tpls>
      </set>
      <set count="1" maxRank="1" setDefinition="{[D_Department].[Department].&amp;[Project]}">
        <tpls c="1">
          <tpl fld="3" item="0"/>
        </tpls>
      </set>
      <set count="1" maxRank="1" setDefinition="{[D_Department].[Department].&amp;[General and Administration]}">
        <tpls c="1">
          <tpl fld="3" item="1"/>
        </tpls>
      </set>
      <set count="1" maxRank="1" setDefinition="{[D_Department].[Department].&amp;[Finance]}">
        <tpls c="1">
          <tpl fld="3" item="2"/>
        </tpls>
      </set>
      <set count="1" maxRank="1" setDefinition="{[D_Department].[Department].&amp;[Corporate]}">
        <tpls c="1">
          <tpl fld="3" item="3"/>
        </tpls>
      </set>
      <set count="1" maxRank="1" setDefinition="{[D_Department].[Department].&amp;[Account]}">
        <tpls c="1">
          <tpl fld="3" item="4"/>
        </tpls>
      </set>
      <set count="1" maxRank="1" setDefinition="{[D_Department].[Department].&amp;[Operations]}">
        <tpls c="1">
          <tpl fld="3" item="5"/>
        </tpls>
      </set>
      <set count="1" maxRank="1" setDefinition="{[D_Department].[Department].&amp;[Sales &amp; Marketing]}">
        <tpls c="1">
          <tpl fld="3" item="6"/>
        </tpls>
      </set>
      <set count="1" maxRank="1" setDefinition="{[D_Type].[Type].&amp;[Budget]}">
        <tpls c="1">
          <tpl fld="4" item="0"/>
        </tpls>
      </set>
      <set count="1" maxRank="1" setDefinition="{[D_Type].[Type].&amp;[Actual]}">
        <tpls c="1">
          <tpl fld="4" item="1"/>
        </tpls>
      </set>
      <set count="3" maxRank="1" setDefinition="{[D_Department].[Department].&amp;[Operations],[D_Department].[Department].&amp;[Project],[D_Department].[Department].&amp;[Sales &amp; Marketing]}">
        <tpls c="1">
          <tpl fld="3" item="5"/>
        </tpls>
      </set>
    </sets>
    <queryCache count="43">
      <query mdx="[Measures].[Budget]">
        <tpls c="1">
          <tpl fld="0" item="0"/>
        </tpls>
      </query>
      <query mdx="[Measures].[Actual]">
        <tpls c="1">
          <tpl fld="0" item="1"/>
        </tpls>
      </query>
      <query mdx="[Calender].[Month Name].&amp;[Jan]">
        <tpls c="1">
          <tpl fld="1" item="0"/>
        </tpls>
      </query>
      <query mdx="[D_Account].[AccountName].&amp;[Salaries]">
        <tpls c="1">
          <tpl fld="2" item="0"/>
        </tpls>
      </query>
      <query mdx="[Calender].[Month Name].&amp;[Apr]">
        <tpls c="1">
          <tpl fld="1" item="1"/>
        </tpls>
      </query>
      <query mdx="[D_Account].[AccountName].&amp;[Rent]">
        <tpls c="1">
          <tpl fld="2" item="1"/>
        </tpls>
      </query>
      <query mdx="[D_Account].[AccountName].&amp;[Professional Services]">
        <tpls c="1">
          <tpl fld="2" item="2"/>
        </tpls>
      </query>
      <query mdx="[Calender].[Month Name].&amp;[Mar]">
        <tpls c="1">
          <tpl fld="1" item="2"/>
        </tpls>
      </query>
      <query mdx="[D_Account].[AccountName].&amp;[Office Supplies]">
        <tpls c="1">
          <tpl fld="2" item="3"/>
        </tpls>
      </query>
      <query mdx="[D_Account].[AccountName].&amp;[Marketing Materials]">
        <tpls c="1">
          <tpl fld="2" item="4"/>
        </tpls>
      </query>
      <query mdx="[Calender].[Month Name].&amp;[Feb]">
        <tpls c="1">
          <tpl fld="1" item="3"/>
        </tpls>
      </query>
      <query mdx="[D_Account].[AccountName].&amp;[Furniture, Fixtures, and Equipment]">
        <tpls c="1">
          <tpl fld="2" item="5"/>
        </tpls>
      </query>
      <query mdx="[D_Account].[AccountName].&amp;[Employee Benefits]">
        <tpls c="1">
          <tpl fld="2" item="6"/>
        </tpls>
      </query>
      <query mdx="[D_Account].[AccountName].&amp;[Cost of Sales]">
        <tpls c="1">
          <tpl fld="2" item="7"/>
        </tpls>
      </query>
      <query mdx="[Calender].[Month Name].&amp;[Jun]">
        <tpls c="1">
          <tpl fld="1" item="4"/>
        </tpls>
      </query>
      <query mdx="[D_Account].[AccountName].&amp;[Discounts]">
        <tpls c="1">
          <tpl fld="2" item="8"/>
        </tpls>
      </query>
      <query mdx="[Calender].[Month Name].&amp;[May]">
        <tpls c="1">
          <tpl fld="1" item="5"/>
        </tpls>
      </query>
      <query mdx="[D_Account].[AccountName].&amp;[Sales]">
        <tpls c="1">
          <tpl fld="2" item="9"/>
        </tpls>
      </query>
      <query mdx="[Calender].[Month Name].&amp;[Dec]">
        <tpls c="1">
          <tpl fld="1" item="6"/>
        </tpls>
      </query>
      <query mdx="[Calender].[Month Name].&amp;[Nov]">
        <tpls c="1">
          <tpl fld="1" item="7"/>
        </tpls>
      </query>
      <query mdx="[Calender].[Month Name].&amp;[Oct]">
        <tpls c="1">
          <tpl fld="1" item="8"/>
        </tpls>
      </query>
      <query mdx="[Calender].[Month Name].&amp;[Jul]">
        <tpls c="1">
          <tpl fld="1" item="9"/>
        </tpls>
      </query>
      <query mdx="[D_Account].[AccountName].&amp;[Telephone]">
        <tpls c="1">
          <tpl fld="2" item="10"/>
        </tpls>
      </query>
      <query mdx="[D_Account].[AccountName].&amp;[Conferences]">
        <tpls c="1">
          <tpl fld="2" item="11"/>
        </tpls>
      </query>
      <query mdx="[D_Account].[AccountName].&amp;[Utilities]">
        <tpls c="1">
          <tpl fld="2" item="12"/>
        </tpls>
      </query>
      <query mdx="[D_Account].[AccountName].&amp;[Vehicles]">
        <tpls c="1">
          <tpl fld="2" item="13"/>
        </tpls>
      </query>
      <query mdx="[Calender].[Month Name].&amp;[Sep]">
        <tpls c="1">
          <tpl fld="1" item="10"/>
        </tpls>
      </query>
      <query mdx="[Calender].[Month Name].&amp;[Aug]">
        <tpls c="1">
          <tpl fld="1" item="11"/>
        </tpls>
      </query>
      <query mdx="[D_Account].[AccountName].&amp;[Commissions]">
        <tpls c="1">
          <tpl fld="2" item="14"/>
        </tpls>
      </query>
      <query mdx="[D_Account].[AccountName].[All]">
        <tpls c="1">
          <tpl hier="9" item="4294967295"/>
        </tpls>
      </query>
      <query mdx="[D_Account].[AccountName].&amp;[Travel]">
        <tpls c="1">
          <tpl fld="2" item="15"/>
        </tpls>
      </query>
      <query mdx="[Calender].[Month Name]. &amp;[Dec]">
        <tpls c="1">
          <tpl fld="1" item="6"/>
        </tpls>
      </query>
      <query mdx="[Calender].[Month Name]. &amp;[Nov]">
        <tpls c="1">
          <tpl fld="1" item="7"/>
        </tpls>
      </query>
      <query mdx="[Calender].[Month Name]. &amp;[Oct]">
        <tpls c="1">
          <tpl fld="1" item="8"/>
        </tpls>
      </query>
      <query mdx="[Calender].[Month Name]. &amp;[Sep]">
        <tpls c="1">
          <tpl fld="1" item="10"/>
        </tpls>
      </query>
      <query mdx="[Calender].[Month Name]. &amp;[Aug]">
        <tpls c="1">
          <tpl fld="1" item="11"/>
        </tpls>
      </query>
      <query mdx="[Calender].[Month Name]. &amp;[Jul]">
        <tpls c="1">
          <tpl fld="1" item="9"/>
        </tpls>
      </query>
      <query mdx="[Calender].[Month Name]. &amp;[Jun]">
        <tpls c="1">
          <tpl fld="1" item="4"/>
        </tpls>
      </query>
      <query mdx="[Calender].[Month Name]. &amp;[May]">
        <tpls c="1">
          <tpl fld="1" item="5"/>
        </tpls>
      </query>
      <query mdx="[Calender].[Month Name]. &amp;[Apr]">
        <tpls c="1">
          <tpl fld="1" item="1"/>
        </tpls>
      </query>
      <query mdx="[Calender].[Month Name]. &amp;[Mar]">
        <tpls c="1">
          <tpl fld="1" item="2"/>
        </tpls>
      </query>
      <query mdx="[Calender].[Month Name]. &amp;[Feb]">
        <tpls c="1">
          <tpl fld="1" item="3"/>
        </tpls>
      </query>
      <query mdx="[Calender].[Month Name]. &amp;[Jan]">
        <tpls c="1">
          <tpl fld="1" item="0"/>
        </tpls>
      </query>
    </queryCache>
    <serverFormats count="1">
      <serverFormat format="#,0"/>
    </serverFormats>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GF-L8-D02" refreshedDate="46187.803511111109" createdVersion="6" refreshedVersion="6" minRefreshableVersion="3" recordCount="0" supportSubquery="1" supportAdvancedDrill="1">
  <cacheSource type="external" connectionId="8"/>
  <cacheFields count="5">
    <cacheField name="[Measures].[Actual]" caption="Actual" numFmtId="0" hierarchy="23" level="32767"/>
    <cacheField name="[Measures].[Budget]" caption="Budget" numFmtId="0" hierarchy="24" level="32767"/>
    <cacheField name="[D_Account].[AccountName].[AccountName]" caption="AccountName" numFmtId="0" hierarchy="9" level="1">
      <sharedItems count="16">
        <s v="Sales"/>
        <s v="Discounts"/>
        <s v="Cost of Sales"/>
        <s v="Commissions"/>
        <s v="Conferences"/>
        <s v="Employee Benefits"/>
        <s v="Furniture, Fixtures, and Equipment"/>
        <s v="Marketing Materials"/>
        <s v="Office Supplies"/>
        <s v="Professional Services"/>
        <s v="Rent"/>
        <s v="Salaries"/>
        <s v="Vehicles"/>
        <s v="Telephone"/>
        <s v="Travel"/>
        <s v="Utilities"/>
      </sharedItems>
    </cacheField>
    <cacheField name="[Calender].[Month Name].[Month Name]" caption="Month Name" numFmtId="0" hierarchy="5" level="1">
      <sharedItems count="12">
        <s v="Jan"/>
        <s v="Feb"/>
        <s v="Mar"/>
        <s v="Apr"/>
        <s v="May"/>
        <s v="Jun"/>
        <s v="Jul"/>
        <s v="Aug"/>
        <s v="Sep"/>
        <s v="Oct"/>
        <s v="Nov"/>
        <s v="Dec"/>
      </sharedItems>
    </cacheField>
    <cacheField name="[D_Type].[Type].[Type]" caption="Type" numFmtId="0" hierarchy="11" level="1">
      <sharedItems containsSemiMixedTypes="0" containsNonDate="0" containsString="0"/>
    </cacheField>
  </cacheFields>
  <cacheHierarchies count="32">
    <cacheHierarchy uniqueName="[Actual].[Date]" caption="Date" attribute="1" time="1" defaultMemberUniqueName="[Actual].[Date].[All]" allUniqueName="[Actual].[Date].[All]" dimensionUniqueName="[Actual]" displayFolder="" count="0" memberValueDatatype="7" unbalanced="0"/>
    <cacheHierarchy uniqueName="[Actual].[Amount]" caption="Amount" attribute="1" defaultMemberUniqueName="[Actual].[Amount].[All]" allUniqueName="[Actual].[Amount].[All]" dimensionUniqueName="[Actual]" displayFolder="" count="0" memberValueDatatype="20" unbalanced="0"/>
    <cacheHierarchy uniqueName="[Budget].[Date]" caption="Date" attribute="1" time="1" defaultMemberUniqueName="[Budget].[Date].[All]" allUniqueName="[Budget].[Date].[All]" dimensionUniqueName="[Budget]" displayFolder="" count="0" memberValueDatatype="7" unbalanced="0"/>
    <cacheHierarchy uniqueName="[Budget].[Amount]" caption="Amount" attribute="1" defaultMemberUniqueName="[Budget].[Amount].[All]" allUniqueName="[Budget].[Amount].[All]" dimensionUniqueName="[Budget]" displayFolder="" count="0" memberValueDatatype="5" unbalanced="0"/>
    <cacheHierarchy uniqueName="[Calender].[Date]" caption="Date" attribute="1" time="1" defaultMemberUniqueName="[Calender].[Date].[All]" allUniqueName="[Calender].[Date].[All]" dimensionUniqueName="[Calender]" displayFolder="" count="0" memberValueDatatype="7" unbalanced="0"/>
    <cacheHierarchy uniqueName="[Calender].[Month Name]" caption="Month Name" attribute="1" defaultMemberUniqueName="[Calender].[Month Name].[All]" allUniqueName="[Calender].[Month Name].[All]" dimensionUniqueName="[Calender]" displayFolder="" count="2" memberValueDatatype="130" unbalanced="0">
      <fieldsUsage count="2">
        <fieldUsage x="-1"/>
        <fieldUsage x="3"/>
      </fieldsUsage>
    </cacheHierarchy>
    <cacheHierarchy uniqueName="[Calender].[Month]" caption="Month" attribute="1" defaultMemberUniqueName="[Calender].[Month].[All]" allUniqueName="[Calender].[Month].[All]" dimensionUniqueName="[Calender]" displayFolder="" count="0" memberValueDatatype="20" unbalanced="0"/>
    <cacheHierarchy uniqueName="[Calender].[Year]" caption="Year" attribute="1" defaultMemberUniqueName="[Calender].[Year].[All]" allUniqueName="[Calender].[Year].[All]" dimensionUniqueName="[Calender]" displayFolder="" count="0" memberValueDatatype="20" unbalanced="0"/>
    <cacheHierarchy uniqueName="[D_Account].[AccountCode]" caption="AccountCode" attribute="1" defaultMemberUniqueName="[D_Account].[AccountCode].[All]" allUniqueName="[D_Account].[AccountCode].[All]" dimensionUniqueName="[D_Account]" displayFolder="" count="0" memberValueDatatype="20" unbalanced="0"/>
    <cacheHierarchy uniqueName="[D_Account].[AccountName]" caption="AccountName" attribute="1" defaultMemberUniqueName="[D_Account].[AccountName].[All]" allUniqueName="[D_Account].[AccountName].[All]" dimensionUniqueName="[D_Account]" displayFolder="" count="2" memberValueDatatype="130" unbalanced="0">
      <fieldsUsage count="2">
        <fieldUsage x="-1"/>
        <fieldUsage x="2"/>
      </fieldsUsage>
    </cacheHierarchy>
    <cacheHierarchy uniqueName="[D_Department].[Department]" caption="Department" attribute="1" defaultMemberUniqueName="[D_Department].[Department].[All]" allUniqueName="[D_Department].[Department].[All]" dimensionUniqueName="[D_Department]" displayFolder="" count="2" memberValueDatatype="130" unbalanced="0"/>
    <cacheHierarchy uniqueName="[D_Type].[Type]" caption="Type" attribute="1" defaultMemberUniqueName="[D_Type].[Type].[All]" allUniqueName="[D_Type].[Type].[All]" dimensionUniqueName="[D_Type]" displayFolder="" count="2" memberValueDatatype="130" unbalanced="0">
      <fieldsUsage count="2">
        <fieldUsage x="-1"/>
        <fieldUsage x="4"/>
      </fieldsUsage>
    </cacheHierarchy>
    <cacheHierarchy uniqueName="[Actual].[AccountCode]" caption="AccountCode" attribute="1" defaultMemberUniqueName="[Actual].[AccountCode].[All]" allUniqueName="[Actual].[AccountCode].[All]" dimensionUniqueName="[Actual]" displayFolder="" count="0" memberValueDatatype="20" unbalanced="0" hidden="1"/>
    <cacheHierarchy uniqueName="[Actual].[AccountName]" caption="AccountName" attribute="1" defaultMemberUniqueName="[Actual].[AccountName].[All]" allUniqueName="[Actual].[AccountName].[All]" dimensionUniqueName="[Actual]" displayFolder="" count="0" memberValueDatatype="130" unbalanced="0" hidden="1"/>
    <cacheHierarchy uniqueName="[Actual].[Department]" caption="Department" attribute="1" defaultMemberUniqueName="[Actual].[Department].[All]" allUniqueName="[Actual].[Department].[All]" dimensionUniqueName="[Actual]" displayFolder="" count="0" memberValueDatatype="130" unbalanced="0" hidden="1"/>
    <cacheHierarchy uniqueName="[Actual].[Type]" caption="Type" attribute="1" defaultMemberUniqueName="[Actual].[Type].[All]" allUniqueName="[Actual].[Type].[All]" dimensionUniqueName="[Actual]" displayFolder="" count="0" memberValueDatatype="130" unbalanced="0" hidden="1"/>
    <cacheHierarchy uniqueName="[Budget].[AccountCode]" caption="AccountCode" attribute="1" defaultMemberUniqueName="[Budget].[AccountCode].[All]" allUniqueName="[Budget].[AccountCode].[All]" dimensionUniqueName="[Budget]" displayFolder="" count="0" memberValueDatatype="20" unbalanced="0" hidden="1"/>
    <cacheHierarchy uniqueName="[Budget].[AccountName]" caption="AccountName" attribute="1" defaultMemberUniqueName="[Budget].[AccountName].[All]" allUniqueName="[Budget].[AccountName].[All]" dimensionUniqueName="[Budget]" displayFolder="" count="0" memberValueDatatype="130" unbalanced="0" hidden="1"/>
    <cacheHierarchy uniqueName="[Budget].[Department]" caption="Department" attribute="1" defaultMemberUniqueName="[Budget].[Department].[All]" allUniqueName="[Budget].[Department].[All]" dimensionUniqueName="[Budget]" displayFolder="" count="0" memberValueDatatype="130" unbalanced="0" hidden="1"/>
    <cacheHierarchy uniqueName="[Budget].[Type]" caption="Type" attribute="1" defaultMemberUniqueName="[Budget].[Type].[All]" allUniqueName="[Budget].[Type].[All]" dimensionUniqueName="[Budget]" displayFolder="" count="0" memberValueDatatype="130" unbalanced="0" hidden="1"/>
    <cacheHierarchy uniqueName="[Measures].[Sum of Amount]" caption="Sum of Amount" measure="1" displayFolder="" measureGroup="Actual" count="0">
      <extLst>
        <ext xmlns:x15="http://schemas.microsoft.com/office/spreadsheetml/2010/11/main" uri="{B97F6D7D-B522-45F9-BDA1-12C45D357490}">
          <x15:cacheHierarchy aggregatedColumn="1"/>
        </ext>
      </extLst>
    </cacheHierarchy>
    <cacheHierarchy uniqueName="[Measures].[Sum of Amount 2]" caption="Sum of Amount 2" measure="1" displayFolder="" measureGroup="Budget" count="0">
      <extLst>
        <ext xmlns:x15="http://schemas.microsoft.com/office/spreadsheetml/2010/11/main" uri="{B97F6D7D-B522-45F9-BDA1-12C45D357490}">
          <x15:cacheHierarchy aggregatedColumn="3"/>
        </ext>
      </extLst>
    </cacheHierarchy>
    <cacheHierarchy uniqueName="[Measures].[Count of Month Name]" caption="Count of Month Name" measure="1" displayFolder="" measureGroup="Calender" count="0">
      <extLst>
        <ext xmlns:x15="http://schemas.microsoft.com/office/spreadsheetml/2010/11/main" uri="{B97F6D7D-B522-45F9-BDA1-12C45D357490}">
          <x15:cacheHierarchy aggregatedColumn="5"/>
        </ext>
      </extLst>
    </cacheHierarchy>
    <cacheHierarchy uniqueName="[Measures].[Actual]" caption="Actual" measure="1" displayFolder="" measureGroup="Actual" count="0" oneField="1">
      <fieldsUsage count="1">
        <fieldUsage x="0"/>
      </fieldsUsage>
    </cacheHierarchy>
    <cacheHierarchy uniqueName="[Measures].[Budget]" caption="Budget" measure="1" displayFolder="" measureGroup="Budget" count="0" oneField="1">
      <fieldsUsage count="1">
        <fieldUsage x="1"/>
      </fieldsUsage>
    </cacheHierarchy>
    <cacheHierarchy uniqueName="[Measures].[__XL_Count Actual]" caption="__XL_Count Actual" measure="1" displayFolder="" measureGroup="Actual" count="0" hidden="1"/>
    <cacheHierarchy uniqueName="[Measures].[__XL_Count Budget]" caption="__XL_Count Budget" measure="1" displayFolder="" measureGroup="Budget" count="0" hidden="1"/>
    <cacheHierarchy uniqueName="[Measures].[__XL_Count D_Account]" caption="__XL_Count D_Account" measure="1" displayFolder="" measureGroup="D_Account" count="0" hidden="1"/>
    <cacheHierarchy uniqueName="[Measures].[__XL_Count D_Department]" caption="__XL_Count D_Department" measure="1" displayFolder="" measureGroup="D_Department" count="0" hidden="1"/>
    <cacheHierarchy uniqueName="[Measures].[__XL_Count D_Type]" caption="__XL_Count D_Type" measure="1" displayFolder="" measureGroup="D_Type"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dimensions count="7">
    <dimension name="Actual" uniqueName="[Actual]" caption="Actual"/>
    <dimension name="Budget" uniqueName="[Budget]" caption="Budget"/>
    <dimension name="Calender" uniqueName="[Calender]" caption="Calender"/>
    <dimension name="D_Account" uniqueName="[D_Account]" caption="D_Account"/>
    <dimension name="D_Department" uniqueName="[D_Department]" caption="D_Department"/>
    <dimension name="D_Type" uniqueName="[D_Type]" caption="D_Type"/>
    <dimension measure="1" name="Measures" uniqueName="[Measures]" caption="Measures"/>
  </dimensions>
  <measureGroups count="6">
    <measureGroup name="Actual" caption="Actual"/>
    <measureGroup name="Budget" caption="Budget"/>
    <measureGroup name="Calender" caption="Calender"/>
    <measureGroup name="D_Account" caption="D_Account"/>
    <measureGroup name="D_Department" caption="D_Department"/>
    <measureGroup name="D_Type" caption="D_Type"/>
  </measureGroups>
  <maps count="14">
    <map measureGroup="0" dimension="0"/>
    <map measureGroup="0" dimension="2"/>
    <map measureGroup="0" dimension="3"/>
    <map measureGroup="0" dimension="4"/>
    <map measureGroup="0" dimension="5"/>
    <map measureGroup="1" dimension="1"/>
    <map measureGroup="1" dimension="2"/>
    <map measureGroup="1" dimension="3"/>
    <map measureGroup="1" dimension="4"/>
    <map measureGroup="1" dimension="5"/>
    <map measureGroup="2" dimension="2"/>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GF-L8-D02" refreshedDate="46187.803511574071" createdVersion="6" refreshedVersion="6" minRefreshableVersion="3" recordCount="0" supportSubquery="1" supportAdvancedDrill="1">
  <cacheSource type="external" connectionId="8"/>
  <cacheFields count="3">
    <cacheField name="[Measures].[Actual]" caption="Actual" numFmtId="0" hierarchy="23" level="32767"/>
    <cacheField name="[Measures].[Budget]" caption="Budget" numFmtId="0" hierarchy="24" level="32767"/>
    <cacheField name="[D_Type].[Type].[Type]" caption="Type" numFmtId="0" hierarchy="11" level="1">
      <sharedItems containsSemiMixedTypes="0" containsNonDate="0" containsString="0"/>
    </cacheField>
  </cacheFields>
  <cacheHierarchies count="32">
    <cacheHierarchy uniqueName="[Actual].[Date]" caption="Date" attribute="1" time="1" defaultMemberUniqueName="[Actual].[Date].[All]" allUniqueName="[Actual].[Date].[All]" dimensionUniqueName="[Actual]" displayFolder="" count="0" memberValueDatatype="7" unbalanced="0"/>
    <cacheHierarchy uniqueName="[Actual].[Amount]" caption="Amount" attribute="1" defaultMemberUniqueName="[Actual].[Amount].[All]" allUniqueName="[Actual].[Amount].[All]" dimensionUniqueName="[Actual]" displayFolder="" count="0" memberValueDatatype="20" unbalanced="0"/>
    <cacheHierarchy uniqueName="[Budget].[Date]" caption="Date" attribute="1" time="1" defaultMemberUniqueName="[Budget].[Date].[All]" allUniqueName="[Budget].[Date].[All]" dimensionUniqueName="[Budget]" displayFolder="" count="0" memberValueDatatype="7" unbalanced="0"/>
    <cacheHierarchy uniqueName="[Budget].[Amount]" caption="Amount" attribute="1" defaultMemberUniqueName="[Budget].[Amount].[All]" allUniqueName="[Budget].[Amount].[All]" dimensionUniqueName="[Budget]" displayFolder="" count="0" memberValueDatatype="5" unbalanced="0"/>
    <cacheHierarchy uniqueName="[Calender].[Date]" caption="Date" attribute="1" time="1" defaultMemberUniqueName="[Calender].[Date].[All]" allUniqueName="[Calender].[Date].[All]" dimensionUniqueName="[Calender]" displayFolder="" count="0" memberValueDatatype="7"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Month]" caption="Month" attribute="1" defaultMemberUniqueName="[Calender].[Month].[All]" allUniqueName="[Calender].[Month].[All]" dimensionUniqueName="[Calender]" displayFolder="" count="0" memberValueDatatype="20" unbalanced="0"/>
    <cacheHierarchy uniqueName="[Calender].[Year]" caption="Year" attribute="1" defaultMemberUniqueName="[Calender].[Year].[All]" allUniqueName="[Calender].[Year].[All]" dimensionUniqueName="[Calender]" displayFolder="" count="0" memberValueDatatype="20" unbalanced="0"/>
    <cacheHierarchy uniqueName="[D_Account].[AccountCode]" caption="AccountCode" attribute="1" defaultMemberUniqueName="[D_Account].[AccountCode].[All]" allUniqueName="[D_Account].[AccountCode].[All]" dimensionUniqueName="[D_Account]" displayFolder="" count="0" memberValueDatatype="20" unbalanced="0"/>
    <cacheHierarchy uniqueName="[D_Account].[AccountName]" caption="AccountName" attribute="1" defaultMemberUniqueName="[D_Account].[AccountName].[All]" allUniqueName="[D_Account].[AccountName].[All]" dimensionUniqueName="[D_Account]" displayFolder="" count="0" memberValueDatatype="130" unbalanced="0"/>
    <cacheHierarchy uniqueName="[D_Department].[Department]" caption="Department" attribute="1" defaultMemberUniqueName="[D_Department].[Department].[All]" allUniqueName="[D_Department].[Department].[All]" dimensionUniqueName="[D_Department]" displayFolder="" count="2" memberValueDatatype="130" unbalanced="0"/>
    <cacheHierarchy uniqueName="[D_Type].[Type]" caption="Type" attribute="1" defaultMemberUniqueName="[D_Type].[Type].[All]" allUniqueName="[D_Type].[Type].[All]" dimensionUniqueName="[D_Type]" displayFolder="" count="2" memberValueDatatype="130" unbalanced="0">
      <fieldsUsage count="2">
        <fieldUsage x="-1"/>
        <fieldUsage x="2"/>
      </fieldsUsage>
    </cacheHierarchy>
    <cacheHierarchy uniqueName="[Actual].[AccountCode]" caption="AccountCode" attribute="1" defaultMemberUniqueName="[Actual].[AccountCode].[All]" allUniqueName="[Actual].[AccountCode].[All]" dimensionUniqueName="[Actual]" displayFolder="" count="0" memberValueDatatype="20" unbalanced="0" hidden="1"/>
    <cacheHierarchy uniqueName="[Actual].[AccountName]" caption="AccountName" attribute="1" defaultMemberUniqueName="[Actual].[AccountName].[All]" allUniqueName="[Actual].[AccountName].[All]" dimensionUniqueName="[Actual]" displayFolder="" count="0" memberValueDatatype="130" unbalanced="0" hidden="1"/>
    <cacheHierarchy uniqueName="[Actual].[Department]" caption="Department" attribute="1" defaultMemberUniqueName="[Actual].[Department].[All]" allUniqueName="[Actual].[Department].[All]" dimensionUniqueName="[Actual]" displayFolder="" count="0" memberValueDatatype="130" unbalanced="0" hidden="1"/>
    <cacheHierarchy uniqueName="[Actual].[Type]" caption="Type" attribute="1" defaultMemberUniqueName="[Actual].[Type].[All]" allUniqueName="[Actual].[Type].[All]" dimensionUniqueName="[Actual]" displayFolder="" count="0" memberValueDatatype="130" unbalanced="0" hidden="1"/>
    <cacheHierarchy uniqueName="[Budget].[AccountCode]" caption="AccountCode" attribute="1" defaultMemberUniqueName="[Budget].[AccountCode].[All]" allUniqueName="[Budget].[AccountCode].[All]" dimensionUniqueName="[Budget]" displayFolder="" count="0" memberValueDatatype="20" unbalanced="0" hidden="1"/>
    <cacheHierarchy uniqueName="[Budget].[AccountName]" caption="AccountName" attribute="1" defaultMemberUniqueName="[Budget].[AccountName].[All]" allUniqueName="[Budget].[AccountName].[All]" dimensionUniqueName="[Budget]" displayFolder="" count="0" memberValueDatatype="130" unbalanced="0" hidden="1"/>
    <cacheHierarchy uniqueName="[Budget].[Department]" caption="Department" attribute="1" defaultMemberUniqueName="[Budget].[Department].[All]" allUniqueName="[Budget].[Department].[All]" dimensionUniqueName="[Budget]" displayFolder="" count="0" memberValueDatatype="130" unbalanced="0" hidden="1"/>
    <cacheHierarchy uniqueName="[Budget].[Type]" caption="Type" attribute="1" defaultMemberUniqueName="[Budget].[Type].[All]" allUniqueName="[Budget].[Type].[All]" dimensionUniqueName="[Budget]" displayFolder="" count="0" memberValueDatatype="130" unbalanced="0" hidden="1"/>
    <cacheHierarchy uniqueName="[Measures].[Sum of Amount]" caption="Sum of Amount" measure="1" displayFolder="" measureGroup="Actual" count="0">
      <extLst>
        <ext xmlns:x15="http://schemas.microsoft.com/office/spreadsheetml/2010/11/main" uri="{B97F6D7D-B522-45F9-BDA1-12C45D357490}">
          <x15:cacheHierarchy aggregatedColumn="1"/>
        </ext>
      </extLst>
    </cacheHierarchy>
    <cacheHierarchy uniqueName="[Measures].[Sum of Amount 2]" caption="Sum of Amount 2" measure="1" displayFolder="" measureGroup="Budget" count="0">
      <extLst>
        <ext xmlns:x15="http://schemas.microsoft.com/office/spreadsheetml/2010/11/main" uri="{B97F6D7D-B522-45F9-BDA1-12C45D357490}">
          <x15:cacheHierarchy aggregatedColumn="3"/>
        </ext>
      </extLst>
    </cacheHierarchy>
    <cacheHierarchy uniqueName="[Measures].[Count of Month Name]" caption="Count of Month Name" measure="1" displayFolder="" measureGroup="Calender" count="0">
      <extLst>
        <ext xmlns:x15="http://schemas.microsoft.com/office/spreadsheetml/2010/11/main" uri="{B97F6D7D-B522-45F9-BDA1-12C45D357490}">
          <x15:cacheHierarchy aggregatedColumn="5"/>
        </ext>
      </extLst>
    </cacheHierarchy>
    <cacheHierarchy uniqueName="[Measures].[Actual]" caption="Actual" measure="1" displayFolder="" measureGroup="Actual" count="0" oneField="1">
      <fieldsUsage count="1">
        <fieldUsage x="0"/>
      </fieldsUsage>
    </cacheHierarchy>
    <cacheHierarchy uniqueName="[Measures].[Budget]" caption="Budget" measure="1" displayFolder="" measureGroup="Budget" count="0" oneField="1">
      <fieldsUsage count="1">
        <fieldUsage x="1"/>
      </fieldsUsage>
    </cacheHierarchy>
    <cacheHierarchy uniqueName="[Measures].[__XL_Count Actual]" caption="__XL_Count Actual" measure="1" displayFolder="" measureGroup="Actual" count="0" hidden="1"/>
    <cacheHierarchy uniqueName="[Measures].[__XL_Count Budget]" caption="__XL_Count Budget" measure="1" displayFolder="" measureGroup="Budget" count="0" hidden="1"/>
    <cacheHierarchy uniqueName="[Measures].[__XL_Count D_Account]" caption="__XL_Count D_Account" measure="1" displayFolder="" measureGroup="D_Account" count="0" hidden="1"/>
    <cacheHierarchy uniqueName="[Measures].[__XL_Count D_Department]" caption="__XL_Count D_Department" measure="1" displayFolder="" measureGroup="D_Department" count="0" hidden="1"/>
    <cacheHierarchy uniqueName="[Measures].[__XL_Count D_Type]" caption="__XL_Count D_Type" measure="1" displayFolder="" measureGroup="D_Type"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dimensions count="7">
    <dimension name="Actual" uniqueName="[Actual]" caption="Actual"/>
    <dimension name="Budget" uniqueName="[Budget]" caption="Budget"/>
    <dimension name="Calender" uniqueName="[Calender]" caption="Calender"/>
    <dimension name="D_Account" uniqueName="[D_Account]" caption="D_Account"/>
    <dimension name="D_Department" uniqueName="[D_Department]" caption="D_Department"/>
    <dimension name="D_Type" uniqueName="[D_Type]" caption="D_Type"/>
    <dimension measure="1" name="Measures" uniqueName="[Measures]" caption="Measures"/>
  </dimensions>
  <measureGroups count="6">
    <measureGroup name="Actual" caption="Actual"/>
    <measureGroup name="Budget" caption="Budget"/>
    <measureGroup name="Calender" caption="Calender"/>
    <measureGroup name="D_Account" caption="D_Account"/>
    <measureGroup name="D_Department" caption="D_Department"/>
    <measureGroup name="D_Type" caption="D_Type"/>
  </measureGroups>
  <maps count="14">
    <map measureGroup="0" dimension="0"/>
    <map measureGroup="0" dimension="2"/>
    <map measureGroup="0" dimension="3"/>
    <map measureGroup="0" dimension="4"/>
    <map measureGroup="0" dimension="5"/>
    <map measureGroup="1" dimension="1"/>
    <map measureGroup="1" dimension="2"/>
    <map measureGroup="1" dimension="3"/>
    <map measureGroup="1" dimension="4"/>
    <map measureGroup="1" dimension="5"/>
    <map measureGroup="2" dimension="2"/>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GF-L8-D02" refreshedDate="46187.803512384256" createdVersion="5" refreshedVersion="6" minRefreshableVersion="3" recordCount="0" supportSubquery="1" supportAdvancedDrill="1">
  <cacheSource type="external" connectionId="8"/>
  <cacheFields count="4">
    <cacheField name="[D_Department].[Department].[Department]" caption="Department" numFmtId="0" hierarchy="10" level="1">
      <sharedItems count="7">
        <s v="Account"/>
        <s v="Corporate"/>
        <s v="Finance"/>
        <s v="General and Administration"/>
        <s v="Operations"/>
        <s v="Project"/>
        <s v="Sales &amp; Marketing"/>
      </sharedItems>
    </cacheField>
    <cacheField name="[Measures].[Actual]" caption="Actual" numFmtId="0" hierarchy="23" level="32767"/>
    <cacheField name="[Measures].[Budget]" caption="Budget" numFmtId="0" hierarchy="24" level="32767"/>
    <cacheField name="[D_Type].[Type].[Type]" caption="Type" numFmtId="0" hierarchy="11" level="1">
      <sharedItems containsSemiMixedTypes="0" containsNonDate="0" containsString="0"/>
    </cacheField>
  </cacheFields>
  <cacheHierarchies count="32">
    <cacheHierarchy uniqueName="[Actual].[Date]" caption="Date" attribute="1" time="1" defaultMemberUniqueName="[Actual].[Date].[All]" allUniqueName="[Actual].[Date].[All]" dimensionUniqueName="[Actual]" displayFolder="" count="2" memberValueDatatype="7" unbalanced="0"/>
    <cacheHierarchy uniqueName="[Actual].[Amount]" caption="Amount" attribute="1" defaultMemberUniqueName="[Actual].[Amount].[All]" allUniqueName="[Actual].[Amount].[All]" dimensionUniqueName="[Actual]" displayFolder="" count="2" memberValueDatatype="20" unbalanced="0"/>
    <cacheHierarchy uniqueName="[Budget].[Date]" caption="Date" attribute="1" time="1" defaultMemberUniqueName="[Budget].[Date].[All]" allUniqueName="[Budget].[Date].[All]" dimensionUniqueName="[Budget]" displayFolder="" count="2" memberValueDatatype="7" unbalanced="0"/>
    <cacheHierarchy uniqueName="[Budget].[Amount]" caption="Amount" attribute="1" defaultMemberUniqueName="[Budget].[Amount].[All]" allUniqueName="[Budget].[Amount].[All]" dimensionUniqueName="[Budget]" displayFolder="" count="2" memberValueDatatype="5" unbalanced="0"/>
    <cacheHierarchy uniqueName="[Calender].[Date]" caption="Date" attribute="1" time="1" defaultMemberUniqueName="[Calender].[Date].[All]" allUniqueName="[Calender].[Date].[All]" dimensionUniqueName="[Calender]" displayFolder="" count="2" memberValueDatatype="7" unbalanced="0"/>
    <cacheHierarchy uniqueName="[Calender].[Month Name]" caption="Month Name" attribute="1" defaultMemberUniqueName="[Calender].[Month Name].[All]" allUniqueName="[Calender].[Month Name].[All]" dimensionUniqueName="[Calender]" displayFolder="" count="2" memberValueDatatype="130" unbalanced="0"/>
    <cacheHierarchy uniqueName="[Calender].[Month]" caption="Month" attribute="1" defaultMemberUniqueName="[Calender].[Month].[All]" allUniqueName="[Calender].[Month].[All]" dimensionUniqueName="[Calender]" displayFolder="" count="2" memberValueDatatype="20" unbalanced="0"/>
    <cacheHierarchy uniqueName="[Calender].[Year]" caption="Year" attribute="1" defaultMemberUniqueName="[Calender].[Year].[All]" allUniqueName="[Calender].[Year].[All]" dimensionUniqueName="[Calender]" displayFolder="" count="2" memberValueDatatype="20" unbalanced="0"/>
    <cacheHierarchy uniqueName="[D_Account].[AccountCode]" caption="AccountCode" attribute="1" defaultMemberUniqueName="[D_Account].[AccountCode].[All]" allUniqueName="[D_Account].[AccountCode].[All]" dimensionUniqueName="[D_Account]" displayFolder="" count="2" memberValueDatatype="20" unbalanced="0"/>
    <cacheHierarchy uniqueName="[D_Account].[AccountName]" caption="AccountName" attribute="1" defaultMemberUniqueName="[D_Account].[AccountName].[All]" allUniqueName="[D_Account].[AccountName].[All]" dimensionUniqueName="[D_Account]" displayFolder="" count="2" memberValueDatatype="130" unbalanced="0"/>
    <cacheHierarchy uniqueName="[D_Department].[Department]" caption="Department" attribute="1" defaultMemberUniqueName="[D_Department].[Department].[All]" allUniqueName="[D_Department].[Department].[All]" dimensionUniqueName="[D_Department]" displayFolder="" count="2" memberValueDatatype="130" unbalanced="0">
      <fieldsUsage count="2">
        <fieldUsage x="-1"/>
        <fieldUsage x="0"/>
      </fieldsUsage>
    </cacheHierarchy>
    <cacheHierarchy uniqueName="[D_Type].[Type]" caption="Type" attribute="1" defaultMemberUniqueName="[D_Type].[Type].[All]" allUniqueName="[D_Type].[Type].[All]" dimensionUniqueName="[D_Type]" displayFolder="" count="2" memberValueDatatype="130" unbalanced="0">
      <fieldsUsage count="2">
        <fieldUsage x="-1"/>
        <fieldUsage x="3"/>
      </fieldsUsage>
    </cacheHierarchy>
    <cacheHierarchy uniqueName="[Actual].[AccountCode]" caption="AccountCode" attribute="1" defaultMemberUniqueName="[Actual].[AccountCode].[All]" allUniqueName="[Actual].[AccountCode].[All]" dimensionUniqueName="[Actual]" displayFolder="" count="2" memberValueDatatype="20" unbalanced="0" hidden="1"/>
    <cacheHierarchy uniqueName="[Actual].[AccountName]" caption="AccountName" attribute="1" defaultMemberUniqueName="[Actual].[AccountName].[All]" allUniqueName="[Actual].[AccountName].[All]" dimensionUniqueName="[Actual]" displayFolder="" count="2" memberValueDatatype="130" unbalanced="0" hidden="1"/>
    <cacheHierarchy uniqueName="[Actual].[Department]" caption="Department" attribute="1" defaultMemberUniqueName="[Actual].[Department].[All]" allUniqueName="[Actual].[Department].[All]" dimensionUniqueName="[Actual]" displayFolder="" count="2" memberValueDatatype="130" unbalanced="0" hidden="1"/>
    <cacheHierarchy uniqueName="[Actual].[Type]" caption="Type" attribute="1" defaultMemberUniqueName="[Actual].[Type].[All]" allUniqueName="[Actual].[Type].[All]" dimensionUniqueName="[Actual]" displayFolder="" count="2" memberValueDatatype="130" unbalanced="0" hidden="1"/>
    <cacheHierarchy uniqueName="[Budget].[AccountCode]" caption="AccountCode" attribute="1" defaultMemberUniqueName="[Budget].[AccountCode].[All]" allUniqueName="[Budget].[AccountCode].[All]" dimensionUniqueName="[Budget]" displayFolder="" count="2" memberValueDatatype="20" unbalanced="0" hidden="1"/>
    <cacheHierarchy uniqueName="[Budget].[AccountName]" caption="AccountName" attribute="1" defaultMemberUniqueName="[Budget].[AccountName].[All]" allUniqueName="[Budget].[AccountName].[All]" dimensionUniqueName="[Budget]" displayFolder="" count="2" memberValueDatatype="130" unbalanced="0" hidden="1"/>
    <cacheHierarchy uniqueName="[Budget].[Department]" caption="Department" attribute="1" defaultMemberUniqueName="[Budget].[Department].[All]" allUniqueName="[Budget].[Department].[All]" dimensionUniqueName="[Budget]" displayFolder="" count="2" memberValueDatatype="130" unbalanced="0" hidden="1"/>
    <cacheHierarchy uniqueName="[Budget].[Type]" caption="Type" attribute="1" defaultMemberUniqueName="[Budget].[Type].[All]" allUniqueName="[Budget].[Type].[All]" dimensionUniqueName="[Budget]" displayFolder="" count="2" memberValueDatatype="130" unbalanced="0" hidden="1"/>
    <cacheHierarchy uniqueName="[Measures].[Sum of Amount]" caption="Sum of Amount" measure="1" displayFolder="" measureGroup="Actual" count="0">
      <extLst>
        <ext xmlns:x15="http://schemas.microsoft.com/office/spreadsheetml/2010/11/main" uri="{B97F6D7D-B522-45F9-BDA1-12C45D357490}">
          <x15:cacheHierarchy aggregatedColumn="1"/>
        </ext>
      </extLst>
    </cacheHierarchy>
    <cacheHierarchy uniqueName="[Measures].[Sum of Amount 2]" caption="Sum of Amount 2" measure="1" displayFolder="" measureGroup="Budget" count="0">
      <extLst>
        <ext xmlns:x15="http://schemas.microsoft.com/office/spreadsheetml/2010/11/main" uri="{B97F6D7D-B522-45F9-BDA1-12C45D357490}">
          <x15:cacheHierarchy aggregatedColumn="3"/>
        </ext>
      </extLst>
    </cacheHierarchy>
    <cacheHierarchy uniqueName="[Measures].[Count of Month Name]" caption="Count of Month Name" measure="1" displayFolder="" measureGroup="Calender" count="0">
      <extLst>
        <ext xmlns:x15="http://schemas.microsoft.com/office/spreadsheetml/2010/11/main" uri="{B97F6D7D-B522-45F9-BDA1-12C45D357490}">
          <x15:cacheHierarchy aggregatedColumn="5"/>
        </ext>
      </extLst>
    </cacheHierarchy>
    <cacheHierarchy uniqueName="[Measures].[Actual]" caption="Actual" measure="1" displayFolder="" measureGroup="Actual" count="0" oneField="1">
      <fieldsUsage count="1">
        <fieldUsage x="1"/>
      </fieldsUsage>
    </cacheHierarchy>
    <cacheHierarchy uniqueName="[Measures].[Budget]" caption="Budget" measure="1" displayFolder="" measureGroup="Budget" count="0" oneField="1">
      <fieldsUsage count="1">
        <fieldUsage x="2"/>
      </fieldsUsage>
    </cacheHierarchy>
    <cacheHierarchy uniqueName="[Measures].[__XL_Count Actual]" caption="__XL_Count Actual" measure="1" displayFolder="" measureGroup="Actual" count="0" hidden="1"/>
    <cacheHierarchy uniqueName="[Measures].[__XL_Count Budget]" caption="__XL_Count Budget" measure="1" displayFolder="" measureGroup="Budget" count="0" hidden="1"/>
    <cacheHierarchy uniqueName="[Measures].[__XL_Count D_Account]" caption="__XL_Count D_Account" measure="1" displayFolder="" measureGroup="D_Account" count="0" hidden="1"/>
    <cacheHierarchy uniqueName="[Measures].[__XL_Count D_Department]" caption="__XL_Count D_Department" measure="1" displayFolder="" measureGroup="D_Department" count="0" hidden="1"/>
    <cacheHierarchy uniqueName="[Measures].[__XL_Count D_Type]" caption="__XL_Count D_Type" measure="1" displayFolder="" measureGroup="D_Type"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dimensions count="7">
    <dimension name="Actual" uniqueName="[Actual]" caption="Actual"/>
    <dimension name="Budget" uniqueName="[Budget]" caption="Budget"/>
    <dimension name="Calender" uniqueName="[Calender]" caption="Calender"/>
    <dimension name="D_Account" uniqueName="[D_Account]" caption="D_Account"/>
    <dimension name="D_Department" uniqueName="[D_Department]" caption="D_Department"/>
    <dimension name="D_Type" uniqueName="[D_Type]" caption="D_Type"/>
    <dimension measure="1" name="Measures" uniqueName="[Measures]" caption="Measures"/>
  </dimensions>
  <measureGroups count="6">
    <measureGroup name="Actual" caption="Actual"/>
    <measureGroup name="Budget" caption="Budget"/>
    <measureGroup name="Calender" caption="Calender"/>
    <measureGroup name="D_Account" caption="D_Account"/>
    <measureGroup name="D_Department" caption="D_Department"/>
    <measureGroup name="D_Type" caption="D_Type"/>
  </measureGroups>
  <maps count="14">
    <map measureGroup="0" dimension="0"/>
    <map measureGroup="0" dimension="2"/>
    <map measureGroup="0" dimension="3"/>
    <map measureGroup="0" dimension="4"/>
    <map measureGroup="0" dimension="5"/>
    <map measureGroup="1" dimension="1"/>
    <map measureGroup="1" dimension="2"/>
    <map measureGroup="1" dimension="3"/>
    <map measureGroup="1" dimension="4"/>
    <map measureGroup="1" dimension="5"/>
    <map measureGroup="2" dimension="2"/>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GF-L8-D02" refreshedDate="46187.803512847226" createdVersion="6" refreshedVersion="6" minRefreshableVersion="3" recordCount="0" supportSubquery="1" supportAdvancedDrill="1">
  <cacheSource type="external" connectionId="8"/>
  <cacheFields count="4">
    <cacheField name="[D_Account].[AccountName].[AccountName]" caption="AccountName" numFmtId="0" hierarchy="9" level="1">
      <sharedItems count="16">
        <s v="Sales"/>
        <s v="Discounts"/>
        <s v="Cost of Sales"/>
        <s v="Commissions"/>
        <s v="Conferences"/>
        <s v="Employee Benefits"/>
        <s v="Furniture, Fixtures, and Equipment"/>
        <s v="Marketing Materials"/>
        <s v="Office Supplies"/>
        <s v="Professional Services"/>
        <s v="Rent"/>
        <s v="Salaries"/>
        <s v="Vehicles"/>
        <s v="Telephone"/>
        <s v="Travel"/>
        <s v="Utilities"/>
      </sharedItems>
    </cacheField>
    <cacheField name="[Measures].[Budget]" caption="Budget" numFmtId="0" hierarchy="24" level="32767"/>
    <cacheField name="[Measures].[Actual]" caption="Actual" numFmtId="0" hierarchy="23" level="32767"/>
    <cacheField name="[D_Type].[Type].[Type]" caption="Type" numFmtId="0" hierarchy="11" level="1">
      <sharedItems containsSemiMixedTypes="0" containsNonDate="0" containsString="0"/>
    </cacheField>
  </cacheFields>
  <cacheHierarchies count="32">
    <cacheHierarchy uniqueName="[Actual].[Date]" caption="Date" attribute="1" time="1" defaultMemberUniqueName="[Actual].[Date].[All]" allUniqueName="[Actual].[Date].[All]" dimensionUniqueName="[Actual]" displayFolder="" count="0" memberValueDatatype="7" unbalanced="0"/>
    <cacheHierarchy uniqueName="[Actual].[Amount]" caption="Amount" attribute="1" defaultMemberUniqueName="[Actual].[Amount].[All]" allUniqueName="[Actual].[Amount].[All]" dimensionUniqueName="[Actual]" displayFolder="" count="0" memberValueDatatype="20" unbalanced="0"/>
    <cacheHierarchy uniqueName="[Budget].[Date]" caption="Date" attribute="1" time="1" defaultMemberUniqueName="[Budget].[Date].[All]" allUniqueName="[Budget].[Date].[All]" dimensionUniqueName="[Budget]" displayFolder="" count="0" memberValueDatatype="7" unbalanced="0"/>
    <cacheHierarchy uniqueName="[Budget].[Amount]" caption="Amount" attribute="1" defaultMemberUniqueName="[Budget].[Amount].[All]" allUniqueName="[Budget].[Amount].[All]" dimensionUniqueName="[Budget]" displayFolder="" count="0" memberValueDatatype="5" unbalanced="0"/>
    <cacheHierarchy uniqueName="[Calender].[Date]" caption="Date" attribute="1" time="1" defaultMemberUniqueName="[Calender].[Date].[All]" allUniqueName="[Calender].[Date].[All]" dimensionUniqueName="[Calender]" displayFolder="" count="0" memberValueDatatype="7"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Month]" caption="Month" attribute="1" defaultMemberUniqueName="[Calender].[Month].[All]" allUniqueName="[Calender].[Month].[All]" dimensionUniqueName="[Calender]" displayFolder="" count="0" memberValueDatatype="20" unbalanced="0"/>
    <cacheHierarchy uniqueName="[Calender].[Year]" caption="Year" attribute="1" defaultMemberUniqueName="[Calender].[Year].[All]" allUniqueName="[Calender].[Year].[All]" dimensionUniqueName="[Calender]" displayFolder="" count="0" memberValueDatatype="20" unbalanced="0"/>
    <cacheHierarchy uniqueName="[D_Account].[AccountCode]" caption="AccountCode" attribute="1" defaultMemberUniqueName="[D_Account].[AccountCode].[All]" allUniqueName="[D_Account].[AccountCode].[All]" dimensionUniqueName="[D_Account]" displayFolder="" count="0" memberValueDatatype="20" unbalanced="0"/>
    <cacheHierarchy uniqueName="[D_Account].[AccountName]" caption="AccountName" attribute="1" defaultMemberUniqueName="[D_Account].[AccountName].[All]" allUniqueName="[D_Account].[AccountName].[All]" dimensionUniqueName="[D_Account]" displayFolder="" count="2" memberValueDatatype="130" unbalanced="0">
      <fieldsUsage count="2">
        <fieldUsage x="-1"/>
        <fieldUsage x="0"/>
      </fieldsUsage>
    </cacheHierarchy>
    <cacheHierarchy uniqueName="[D_Department].[Department]" caption="Department" attribute="1" defaultMemberUniqueName="[D_Department].[Department].[All]" allUniqueName="[D_Department].[Department].[All]" dimensionUniqueName="[D_Department]" displayFolder="" count="2" memberValueDatatype="130" unbalanced="0"/>
    <cacheHierarchy uniqueName="[D_Type].[Type]" caption="Type" attribute="1" defaultMemberUniqueName="[D_Type].[Type].[All]" allUniqueName="[D_Type].[Type].[All]" dimensionUniqueName="[D_Type]" displayFolder="" count="2" memberValueDatatype="130" unbalanced="0">
      <fieldsUsage count="2">
        <fieldUsage x="-1"/>
        <fieldUsage x="3"/>
      </fieldsUsage>
    </cacheHierarchy>
    <cacheHierarchy uniqueName="[Actual].[AccountCode]" caption="AccountCode" attribute="1" defaultMemberUniqueName="[Actual].[AccountCode].[All]" allUniqueName="[Actual].[AccountCode].[All]" dimensionUniqueName="[Actual]" displayFolder="" count="0" memberValueDatatype="20" unbalanced="0" hidden="1"/>
    <cacheHierarchy uniqueName="[Actual].[AccountName]" caption="AccountName" attribute="1" defaultMemberUniqueName="[Actual].[AccountName].[All]" allUniqueName="[Actual].[AccountName].[All]" dimensionUniqueName="[Actual]" displayFolder="" count="0" memberValueDatatype="130" unbalanced="0" hidden="1"/>
    <cacheHierarchy uniqueName="[Actual].[Department]" caption="Department" attribute="1" defaultMemberUniqueName="[Actual].[Department].[All]" allUniqueName="[Actual].[Department].[All]" dimensionUniqueName="[Actual]" displayFolder="" count="0" memberValueDatatype="130" unbalanced="0" hidden="1"/>
    <cacheHierarchy uniqueName="[Actual].[Type]" caption="Type" attribute="1" defaultMemberUniqueName="[Actual].[Type].[All]" allUniqueName="[Actual].[Type].[All]" dimensionUniqueName="[Actual]" displayFolder="" count="0" memberValueDatatype="130" unbalanced="0" hidden="1"/>
    <cacheHierarchy uniqueName="[Budget].[AccountCode]" caption="AccountCode" attribute="1" defaultMemberUniqueName="[Budget].[AccountCode].[All]" allUniqueName="[Budget].[AccountCode].[All]" dimensionUniqueName="[Budget]" displayFolder="" count="0" memberValueDatatype="20" unbalanced="0" hidden="1"/>
    <cacheHierarchy uniqueName="[Budget].[AccountName]" caption="AccountName" attribute="1" defaultMemberUniqueName="[Budget].[AccountName].[All]" allUniqueName="[Budget].[AccountName].[All]" dimensionUniqueName="[Budget]" displayFolder="" count="0" memberValueDatatype="130" unbalanced="0" hidden="1"/>
    <cacheHierarchy uniqueName="[Budget].[Department]" caption="Department" attribute="1" defaultMemberUniqueName="[Budget].[Department].[All]" allUniqueName="[Budget].[Department].[All]" dimensionUniqueName="[Budget]" displayFolder="" count="0" memberValueDatatype="130" unbalanced="0" hidden="1"/>
    <cacheHierarchy uniqueName="[Budget].[Type]" caption="Type" attribute="1" defaultMemberUniqueName="[Budget].[Type].[All]" allUniqueName="[Budget].[Type].[All]" dimensionUniqueName="[Budget]" displayFolder="" count="0" memberValueDatatype="130" unbalanced="0" hidden="1"/>
    <cacheHierarchy uniqueName="[Measures].[Sum of Amount]" caption="Sum of Amount" measure="1" displayFolder="" measureGroup="Actual" count="0">
      <extLst>
        <ext xmlns:x15="http://schemas.microsoft.com/office/spreadsheetml/2010/11/main" uri="{B97F6D7D-B522-45F9-BDA1-12C45D357490}">
          <x15:cacheHierarchy aggregatedColumn="1"/>
        </ext>
      </extLst>
    </cacheHierarchy>
    <cacheHierarchy uniqueName="[Measures].[Sum of Amount 2]" caption="Sum of Amount 2" measure="1" displayFolder="" measureGroup="Budget" count="0">
      <extLst>
        <ext xmlns:x15="http://schemas.microsoft.com/office/spreadsheetml/2010/11/main" uri="{B97F6D7D-B522-45F9-BDA1-12C45D357490}">
          <x15:cacheHierarchy aggregatedColumn="3"/>
        </ext>
      </extLst>
    </cacheHierarchy>
    <cacheHierarchy uniqueName="[Measures].[Count of Month Name]" caption="Count of Month Name" measure="1" displayFolder="" measureGroup="Calender" count="0">
      <extLst>
        <ext xmlns:x15="http://schemas.microsoft.com/office/spreadsheetml/2010/11/main" uri="{B97F6D7D-B522-45F9-BDA1-12C45D357490}">
          <x15:cacheHierarchy aggregatedColumn="5"/>
        </ext>
      </extLst>
    </cacheHierarchy>
    <cacheHierarchy uniqueName="[Measures].[Actual]" caption="Actual" measure="1" displayFolder="" measureGroup="Actual" count="0" oneField="1">
      <fieldsUsage count="1">
        <fieldUsage x="2"/>
      </fieldsUsage>
    </cacheHierarchy>
    <cacheHierarchy uniqueName="[Measures].[Budget]" caption="Budget" measure="1" displayFolder="" measureGroup="Budget" count="0" oneField="1">
      <fieldsUsage count="1">
        <fieldUsage x="1"/>
      </fieldsUsage>
    </cacheHierarchy>
    <cacheHierarchy uniqueName="[Measures].[__XL_Count Actual]" caption="__XL_Count Actual" measure="1" displayFolder="" measureGroup="Actual" count="0" hidden="1"/>
    <cacheHierarchy uniqueName="[Measures].[__XL_Count Budget]" caption="__XL_Count Budget" measure="1" displayFolder="" measureGroup="Budget" count="0" hidden="1"/>
    <cacheHierarchy uniqueName="[Measures].[__XL_Count D_Account]" caption="__XL_Count D_Account" measure="1" displayFolder="" measureGroup="D_Account" count="0" hidden="1"/>
    <cacheHierarchy uniqueName="[Measures].[__XL_Count D_Department]" caption="__XL_Count D_Department" measure="1" displayFolder="" measureGroup="D_Department" count="0" hidden="1"/>
    <cacheHierarchy uniqueName="[Measures].[__XL_Count D_Type]" caption="__XL_Count D_Type" measure="1" displayFolder="" measureGroup="D_Type"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dimensions count="7">
    <dimension name="Actual" uniqueName="[Actual]" caption="Actual"/>
    <dimension name="Budget" uniqueName="[Budget]" caption="Budget"/>
    <dimension name="Calender" uniqueName="[Calender]" caption="Calender"/>
    <dimension name="D_Account" uniqueName="[D_Account]" caption="D_Account"/>
    <dimension name="D_Department" uniqueName="[D_Department]" caption="D_Department"/>
    <dimension name="D_Type" uniqueName="[D_Type]" caption="D_Type"/>
    <dimension measure="1" name="Measures" uniqueName="[Measures]" caption="Measures"/>
  </dimensions>
  <measureGroups count="6">
    <measureGroup name="Actual" caption="Actual"/>
    <measureGroup name="Budget" caption="Budget"/>
    <measureGroup name="Calender" caption="Calender"/>
    <measureGroup name="D_Account" caption="D_Account"/>
    <measureGroup name="D_Department" caption="D_Department"/>
    <measureGroup name="D_Type" caption="D_Type"/>
  </measureGroups>
  <maps count="14">
    <map measureGroup="0" dimension="0"/>
    <map measureGroup="0" dimension="2"/>
    <map measureGroup="0" dimension="3"/>
    <map measureGroup="0" dimension="4"/>
    <map measureGroup="0" dimension="5"/>
    <map measureGroup="1" dimension="1"/>
    <map measureGroup="1" dimension="2"/>
    <map measureGroup="1" dimension="3"/>
    <map measureGroup="1" dimension="4"/>
    <map measureGroup="1" dimension="5"/>
    <map measureGroup="2" dimension="2"/>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GF-L8-D02" refreshedDate="46187.803513310188" createdVersion="6" refreshedVersion="6" minRefreshableVersion="3" recordCount="0" supportSubquery="1" supportAdvancedDrill="1">
  <cacheSource type="external" connectionId="8"/>
  <cacheFields count="4">
    <cacheField name="[Calender].[Month Name].[Month Name]" caption="Month Name" numFmtId="0" hierarchy="5" level="1">
      <sharedItems count="12">
        <s v="Jan"/>
        <s v="Feb"/>
        <s v="Mar"/>
        <s v="Apr"/>
        <s v="May"/>
        <s v="Jun"/>
        <s v="Jul"/>
        <s v="Aug"/>
        <s v="Sep"/>
        <s v="Oct"/>
        <s v="Nov"/>
        <s v="Dec"/>
      </sharedItems>
    </cacheField>
    <cacheField name="[Measures].[Actual]" caption="Actual" numFmtId="0" hierarchy="23" level="32767"/>
    <cacheField name="[Measures].[Budget]" caption="Budget" numFmtId="0" hierarchy="24" level="32767"/>
    <cacheField name="[D_Type].[Type].[Type]" caption="Type" numFmtId="0" hierarchy="11" level="1">
      <sharedItems containsSemiMixedTypes="0" containsNonDate="0" containsString="0"/>
    </cacheField>
  </cacheFields>
  <cacheHierarchies count="32">
    <cacheHierarchy uniqueName="[Actual].[Date]" caption="Date" attribute="1" time="1" defaultMemberUniqueName="[Actual].[Date].[All]" allUniqueName="[Actual].[Date].[All]" dimensionUniqueName="[Actual]" displayFolder="" count="2" memberValueDatatype="7" unbalanced="0"/>
    <cacheHierarchy uniqueName="[Actual].[Amount]" caption="Amount" attribute="1" defaultMemberUniqueName="[Actual].[Amount].[All]" allUniqueName="[Actual].[Amount].[All]" dimensionUniqueName="[Actual]" displayFolder="" count="2" memberValueDatatype="20" unbalanced="0"/>
    <cacheHierarchy uniqueName="[Budget].[Date]" caption="Date" attribute="1" time="1" defaultMemberUniqueName="[Budget].[Date].[All]" allUniqueName="[Budget].[Date].[All]" dimensionUniqueName="[Budget]" displayFolder="" count="2" memberValueDatatype="7" unbalanced="0"/>
    <cacheHierarchy uniqueName="[Budget].[Amount]" caption="Amount" attribute="1" defaultMemberUniqueName="[Budget].[Amount].[All]" allUniqueName="[Budget].[Amount].[All]" dimensionUniqueName="[Budget]" displayFolder="" count="2" memberValueDatatype="5" unbalanced="0"/>
    <cacheHierarchy uniqueName="[Calender].[Date]" caption="Date" attribute="1" time="1" defaultMemberUniqueName="[Calender].[Date].[All]" allUniqueName="[Calender].[Date].[All]" dimensionUniqueName="[Calender]" displayFolder="" count="2" memberValueDatatype="7" unbalanced="0"/>
    <cacheHierarchy uniqueName="[Calender].[Month Name]" caption="Month Name" attribute="1" defaultMemberUniqueName="[Calender].[Month Name].[All]" allUniqueName="[Calender].[Month Name].[All]" dimensionUniqueName="[Calender]" displayFolder="" count="2" memberValueDatatype="130" unbalanced="0">
      <fieldsUsage count="2">
        <fieldUsage x="-1"/>
        <fieldUsage x="0"/>
      </fieldsUsage>
    </cacheHierarchy>
    <cacheHierarchy uniqueName="[Calender].[Month]" caption="Month" attribute="1" defaultMemberUniqueName="[Calender].[Month].[All]" allUniqueName="[Calender].[Month].[All]" dimensionUniqueName="[Calender]" displayFolder="" count="2" memberValueDatatype="20" unbalanced="0"/>
    <cacheHierarchy uniqueName="[Calender].[Year]" caption="Year" attribute="1" defaultMemberUniqueName="[Calender].[Year].[All]" allUniqueName="[Calender].[Year].[All]" dimensionUniqueName="[Calender]" displayFolder="" count="2" memberValueDatatype="20" unbalanced="0"/>
    <cacheHierarchy uniqueName="[D_Account].[AccountCode]" caption="AccountCode" attribute="1" defaultMemberUniqueName="[D_Account].[AccountCode].[All]" allUniqueName="[D_Account].[AccountCode].[All]" dimensionUniqueName="[D_Account]" displayFolder="" count="2" memberValueDatatype="20" unbalanced="0"/>
    <cacheHierarchy uniqueName="[D_Account].[AccountName]" caption="AccountName" attribute="1" defaultMemberUniqueName="[D_Account].[AccountName].[All]" allUniqueName="[D_Account].[AccountName].[All]" dimensionUniqueName="[D_Account]" displayFolder="" count="2" memberValueDatatype="130" unbalanced="0"/>
    <cacheHierarchy uniqueName="[D_Department].[Department]" caption="Department" attribute="1" defaultMemberUniqueName="[D_Department].[Department].[All]" allUniqueName="[D_Department].[Department].[All]" dimensionUniqueName="[D_Department]" displayFolder="" count="2" memberValueDatatype="130" unbalanced="0"/>
    <cacheHierarchy uniqueName="[D_Type].[Type]" caption="Type" attribute="1" defaultMemberUniqueName="[D_Type].[Type].[All]" allUniqueName="[D_Type].[Type].[All]" dimensionUniqueName="[D_Type]" displayFolder="" count="2" memberValueDatatype="130" unbalanced="0">
      <fieldsUsage count="2">
        <fieldUsage x="-1"/>
        <fieldUsage x="3"/>
      </fieldsUsage>
    </cacheHierarchy>
    <cacheHierarchy uniqueName="[Actual].[AccountCode]" caption="AccountCode" attribute="1" defaultMemberUniqueName="[Actual].[AccountCode].[All]" allUniqueName="[Actual].[AccountCode].[All]" dimensionUniqueName="[Actual]" displayFolder="" count="2" memberValueDatatype="20" unbalanced="0" hidden="1"/>
    <cacheHierarchy uniqueName="[Actual].[AccountName]" caption="AccountName" attribute="1" defaultMemberUniqueName="[Actual].[AccountName].[All]" allUniqueName="[Actual].[AccountName].[All]" dimensionUniqueName="[Actual]" displayFolder="" count="2" memberValueDatatype="130" unbalanced="0" hidden="1"/>
    <cacheHierarchy uniqueName="[Actual].[Department]" caption="Department" attribute="1" defaultMemberUniqueName="[Actual].[Department].[All]" allUniqueName="[Actual].[Department].[All]" dimensionUniqueName="[Actual]" displayFolder="" count="2" memberValueDatatype="130" unbalanced="0" hidden="1"/>
    <cacheHierarchy uniqueName="[Actual].[Type]" caption="Type" attribute="1" defaultMemberUniqueName="[Actual].[Type].[All]" allUniqueName="[Actual].[Type].[All]" dimensionUniqueName="[Actual]" displayFolder="" count="2" memberValueDatatype="130" unbalanced="0" hidden="1"/>
    <cacheHierarchy uniqueName="[Budget].[AccountCode]" caption="AccountCode" attribute="1" defaultMemberUniqueName="[Budget].[AccountCode].[All]" allUniqueName="[Budget].[AccountCode].[All]" dimensionUniqueName="[Budget]" displayFolder="" count="2" memberValueDatatype="20" unbalanced="0" hidden="1"/>
    <cacheHierarchy uniqueName="[Budget].[AccountName]" caption="AccountName" attribute="1" defaultMemberUniqueName="[Budget].[AccountName].[All]" allUniqueName="[Budget].[AccountName].[All]" dimensionUniqueName="[Budget]" displayFolder="" count="2" memberValueDatatype="130" unbalanced="0" hidden="1"/>
    <cacheHierarchy uniqueName="[Budget].[Department]" caption="Department" attribute="1" defaultMemberUniqueName="[Budget].[Department].[All]" allUniqueName="[Budget].[Department].[All]" dimensionUniqueName="[Budget]" displayFolder="" count="2" memberValueDatatype="130" unbalanced="0" hidden="1"/>
    <cacheHierarchy uniqueName="[Budget].[Type]" caption="Type" attribute="1" defaultMemberUniqueName="[Budget].[Type].[All]" allUniqueName="[Budget].[Type].[All]" dimensionUniqueName="[Budget]" displayFolder="" count="2" memberValueDatatype="130" unbalanced="0" hidden="1"/>
    <cacheHierarchy uniqueName="[Measures].[Sum of Amount]" caption="Sum of Amount" measure="1" displayFolder="" measureGroup="Actual" count="0">
      <extLst>
        <ext xmlns:x15="http://schemas.microsoft.com/office/spreadsheetml/2010/11/main" uri="{B97F6D7D-B522-45F9-BDA1-12C45D357490}">
          <x15:cacheHierarchy aggregatedColumn="1"/>
        </ext>
      </extLst>
    </cacheHierarchy>
    <cacheHierarchy uniqueName="[Measures].[Sum of Amount 2]" caption="Sum of Amount 2" measure="1" displayFolder="" measureGroup="Budget" count="0">
      <extLst>
        <ext xmlns:x15="http://schemas.microsoft.com/office/spreadsheetml/2010/11/main" uri="{B97F6D7D-B522-45F9-BDA1-12C45D357490}">
          <x15:cacheHierarchy aggregatedColumn="3"/>
        </ext>
      </extLst>
    </cacheHierarchy>
    <cacheHierarchy uniqueName="[Measures].[Count of Month Name]" caption="Count of Month Name" measure="1" displayFolder="" measureGroup="Calender" count="0">
      <extLst>
        <ext xmlns:x15="http://schemas.microsoft.com/office/spreadsheetml/2010/11/main" uri="{B97F6D7D-B522-45F9-BDA1-12C45D357490}">
          <x15:cacheHierarchy aggregatedColumn="5"/>
        </ext>
      </extLst>
    </cacheHierarchy>
    <cacheHierarchy uniqueName="[Measures].[Actual]" caption="Actual" measure="1" displayFolder="" measureGroup="Actual" count="0" oneField="1">
      <fieldsUsage count="1">
        <fieldUsage x="1"/>
      </fieldsUsage>
    </cacheHierarchy>
    <cacheHierarchy uniqueName="[Measures].[Budget]" caption="Budget" measure="1" displayFolder="" measureGroup="Budget" count="0" oneField="1">
      <fieldsUsage count="1">
        <fieldUsage x="2"/>
      </fieldsUsage>
    </cacheHierarchy>
    <cacheHierarchy uniqueName="[Measures].[__XL_Count Actual]" caption="__XL_Count Actual" measure="1" displayFolder="" measureGroup="Actual" count="0" hidden="1"/>
    <cacheHierarchy uniqueName="[Measures].[__XL_Count Budget]" caption="__XL_Count Budget" measure="1" displayFolder="" measureGroup="Budget" count="0" hidden="1"/>
    <cacheHierarchy uniqueName="[Measures].[__XL_Count D_Account]" caption="__XL_Count D_Account" measure="1" displayFolder="" measureGroup="D_Account" count="0" hidden="1"/>
    <cacheHierarchy uniqueName="[Measures].[__XL_Count D_Department]" caption="__XL_Count D_Department" measure="1" displayFolder="" measureGroup="D_Department" count="0" hidden="1"/>
    <cacheHierarchy uniqueName="[Measures].[__XL_Count D_Type]" caption="__XL_Count D_Type" measure="1" displayFolder="" measureGroup="D_Type"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dimensions count="7">
    <dimension name="Actual" uniqueName="[Actual]" caption="Actual"/>
    <dimension name="Budget" uniqueName="[Budget]" caption="Budget"/>
    <dimension name="Calender" uniqueName="[Calender]" caption="Calender"/>
    <dimension name="D_Account" uniqueName="[D_Account]" caption="D_Account"/>
    <dimension name="D_Department" uniqueName="[D_Department]" caption="D_Department"/>
    <dimension name="D_Type" uniqueName="[D_Type]" caption="D_Type"/>
    <dimension measure="1" name="Measures" uniqueName="[Measures]" caption="Measures"/>
  </dimensions>
  <measureGroups count="6">
    <measureGroup name="Actual" caption="Actual"/>
    <measureGroup name="Budget" caption="Budget"/>
    <measureGroup name="Calender" caption="Calender"/>
    <measureGroup name="D_Account" caption="D_Account"/>
    <measureGroup name="D_Department" caption="D_Department"/>
    <measureGroup name="D_Type" caption="D_Type"/>
  </measureGroups>
  <maps count="14">
    <map measureGroup="0" dimension="0"/>
    <map measureGroup="0" dimension="2"/>
    <map measureGroup="0" dimension="3"/>
    <map measureGroup="0" dimension="4"/>
    <map measureGroup="0" dimension="5"/>
    <map measureGroup="1" dimension="1"/>
    <map measureGroup="1" dimension="2"/>
    <map measureGroup="1" dimension="3"/>
    <map measureGroup="1" dimension="4"/>
    <map measureGroup="1" dimension="5"/>
    <map measureGroup="2" dimension="2"/>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GF-L8-D02" refreshedDate="46186.837666203704" createdVersion="3" refreshedVersion="6" minRefreshableVersion="3" recordCount="0" supportSubquery="1" supportAdvancedDrill="1">
  <cacheSource type="external" connectionId="8">
    <extLst>
      <ext xmlns:x14="http://schemas.microsoft.com/office/spreadsheetml/2009/9/main" uri="{F057638F-6D5F-4e77-A914-E7F072B9BCA8}">
        <x14:sourceConnection name="ThisWorkbookDataModel"/>
      </ext>
    </extLst>
  </cacheSource>
  <cacheFields count="0"/>
  <cacheHierarchies count="32">
    <cacheHierarchy uniqueName="[Actual].[Date]" caption="Date" attribute="1" time="1" defaultMemberUniqueName="[Actual].[Date].[All]" allUniqueName="[Actual].[Date].[All]" dimensionUniqueName="[Actual]" displayFolder="" count="0" memberValueDatatype="7" unbalanced="0"/>
    <cacheHierarchy uniqueName="[Actual].[Amount]" caption="Amount" attribute="1" defaultMemberUniqueName="[Actual].[Amount].[All]" allUniqueName="[Actual].[Amount].[All]" dimensionUniqueName="[Actual]" displayFolder="" count="0" memberValueDatatype="20" unbalanced="0"/>
    <cacheHierarchy uniqueName="[Budget].[Date]" caption="Date" attribute="1" time="1" defaultMemberUniqueName="[Budget].[Date].[All]" allUniqueName="[Budget].[Date].[All]" dimensionUniqueName="[Budget]" displayFolder="" count="0" memberValueDatatype="7" unbalanced="0"/>
    <cacheHierarchy uniqueName="[Budget].[Amount]" caption="Amount" attribute="1" defaultMemberUniqueName="[Budget].[Amount].[All]" allUniqueName="[Budget].[Amount].[All]" dimensionUniqueName="[Budget]" displayFolder="" count="0" memberValueDatatype="5" unbalanced="0"/>
    <cacheHierarchy uniqueName="[Calender].[Date]" caption="Date" attribute="1" time="1" defaultMemberUniqueName="[Calender].[Date].[All]" allUniqueName="[Calender].[Date].[All]" dimensionUniqueName="[Calender]" displayFolder="" count="0" memberValueDatatype="7"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Month]" caption="Month" attribute="1" defaultMemberUniqueName="[Calender].[Month].[All]" allUniqueName="[Calender].[Month].[All]" dimensionUniqueName="[Calender]" displayFolder="" count="0" memberValueDatatype="20" unbalanced="0"/>
    <cacheHierarchy uniqueName="[Calender].[Year]" caption="Year" attribute="1" defaultMemberUniqueName="[Calender].[Year].[All]" allUniqueName="[Calender].[Year].[All]" dimensionUniqueName="[Calender]" displayFolder="" count="0" memberValueDatatype="20" unbalanced="0"/>
    <cacheHierarchy uniqueName="[D_Account].[AccountCode]" caption="AccountCode" attribute="1" defaultMemberUniqueName="[D_Account].[AccountCode].[All]" allUniqueName="[D_Account].[AccountCode].[All]" dimensionUniqueName="[D_Account]" displayFolder="" count="0" memberValueDatatype="20" unbalanced="0"/>
    <cacheHierarchy uniqueName="[D_Account].[AccountName]" caption="AccountName" attribute="1" defaultMemberUniqueName="[D_Account].[AccountName].[All]" allUniqueName="[D_Account].[AccountName].[All]" dimensionUniqueName="[D_Account]" displayFolder="" count="0" memberValueDatatype="130" unbalanced="0"/>
    <cacheHierarchy uniqueName="[D_Department].[Department]" caption="Department" attribute="1" defaultMemberUniqueName="[D_Department].[Department].[All]" allUniqueName="[D_Department].[Department].[All]" dimensionUniqueName="[D_Department]" displayFolder="" count="2" memberValueDatatype="130" unbalanced="0"/>
    <cacheHierarchy uniqueName="[D_Type].[Type]" caption="Type" attribute="1" defaultMemberUniqueName="[D_Type].[Type].[All]" allUniqueName="[D_Type].[Type].[All]" dimensionUniqueName="[D_Type]" displayFolder="" count="2" memberValueDatatype="130" unbalanced="0"/>
    <cacheHierarchy uniqueName="[Actual].[AccountCode]" caption="AccountCode" attribute="1" defaultMemberUniqueName="[Actual].[AccountCode].[All]" allUniqueName="[Actual].[AccountCode].[All]" dimensionUniqueName="[Actual]" displayFolder="" count="0" memberValueDatatype="20" unbalanced="0" hidden="1"/>
    <cacheHierarchy uniqueName="[Actual].[AccountName]" caption="AccountName" attribute="1" defaultMemberUniqueName="[Actual].[AccountName].[All]" allUniqueName="[Actual].[AccountName].[All]" dimensionUniqueName="[Actual]" displayFolder="" count="0" memberValueDatatype="130" unbalanced="0" hidden="1"/>
    <cacheHierarchy uniqueName="[Actual].[Department]" caption="Department" attribute="1" defaultMemberUniqueName="[Actual].[Department].[All]" allUniqueName="[Actual].[Department].[All]" dimensionUniqueName="[Actual]" displayFolder="" count="0" memberValueDatatype="130" unbalanced="0" hidden="1"/>
    <cacheHierarchy uniqueName="[Actual].[Type]" caption="Type" attribute="1" defaultMemberUniqueName="[Actual].[Type].[All]" allUniqueName="[Actual].[Type].[All]" dimensionUniqueName="[Actual]" displayFolder="" count="0" memberValueDatatype="130" unbalanced="0" hidden="1"/>
    <cacheHierarchy uniqueName="[Budget].[AccountCode]" caption="AccountCode" attribute="1" defaultMemberUniqueName="[Budget].[AccountCode].[All]" allUniqueName="[Budget].[AccountCode].[All]" dimensionUniqueName="[Budget]" displayFolder="" count="0" memberValueDatatype="20" unbalanced="0" hidden="1"/>
    <cacheHierarchy uniqueName="[Budget].[AccountName]" caption="AccountName" attribute="1" defaultMemberUniqueName="[Budget].[AccountName].[All]" allUniqueName="[Budget].[AccountName].[All]" dimensionUniqueName="[Budget]" displayFolder="" count="0" memberValueDatatype="130" unbalanced="0" hidden="1"/>
    <cacheHierarchy uniqueName="[Budget].[Department]" caption="Department" attribute="1" defaultMemberUniqueName="[Budget].[Department].[All]" allUniqueName="[Budget].[Department].[All]" dimensionUniqueName="[Budget]" displayFolder="" count="0" memberValueDatatype="130" unbalanced="0" hidden="1"/>
    <cacheHierarchy uniqueName="[Budget].[Type]" caption="Type" attribute="1" defaultMemberUniqueName="[Budget].[Type].[All]" allUniqueName="[Budget].[Type].[All]" dimensionUniqueName="[Budget]" displayFolder="" count="0" memberValueDatatype="130" unbalanced="0" hidden="1"/>
    <cacheHierarchy uniqueName="[Measures].[Sum of Amount]" caption="Sum of Amount" measure="1" displayFolder="" measureGroup="Actual" count="0">
      <extLst>
        <ext xmlns:x15="http://schemas.microsoft.com/office/spreadsheetml/2010/11/main" uri="{B97F6D7D-B522-45F9-BDA1-12C45D357490}">
          <x15:cacheHierarchy aggregatedColumn="1"/>
        </ext>
      </extLst>
    </cacheHierarchy>
    <cacheHierarchy uniqueName="[Measures].[Sum of Amount 2]" caption="Sum of Amount 2" measure="1" displayFolder="" measureGroup="Budget" count="0">
      <extLst>
        <ext xmlns:x15="http://schemas.microsoft.com/office/spreadsheetml/2010/11/main" uri="{B97F6D7D-B522-45F9-BDA1-12C45D357490}">
          <x15:cacheHierarchy aggregatedColumn="3"/>
        </ext>
      </extLst>
    </cacheHierarchy>
    <cacheHierarchy uniqueName="[Measures].[Count of Month Name]" caption="Count of Month Name" measure="1" displayFolder="" measureGroup="Calender" count="0">
      <extLst>
        <ext xmlns:x15="http://schemas.microsoft.com/office/spreadsheetml/2010/11/main" uri="{B97F6D7D-B522-45F9-BDA1-12C45D357490}">
          <x15:cacheHierarchy aggregatedColumn="5"/>
        </ext>
      </extLst>
    </cacheHierarchy>
    <cacheHierarchy uniqueName="[Measures].[Actual]" caption="Actual" measure="1" displayFolder="" measureGroup="Actual" count="0"/>
    <cacheHierarchy uniqueName="[Measures].[Budget]" caption="Budget" measure="1" displayFolder="" measureGroup="Budget" count="0"/>
    <cacheHierarchy uniqueName="[Measures].[__XL_Count Actual]" caption="__XL_Count Actual" measure="1" displayFolder="" measureGroup="Actual" count="0" hidden="1"/>
    <cacheHierarchy uniqueName="[Measures].[__XL_Count Budget]" caption="__XL_Count Budget" measure="1" displayFolder="" measureGroup="Budget" count="0" hidden="1"/>
    <cacheHierarchy uniqueName="[Measures].[__XL_Count D_Account]" caption="__XL_Count D_Account" measure="1" displayFolder="" measureGroup="D_Account" count="0" hidden="1"/>
    <cacheHierarchy uniqueName="[Measures].[__XL_Count D_Department]" caption="__XL_Count D_Department" measure="1" displayFolder="" measureGroup="D_Department" count="0" hidden="1"/>
    <cacheHierarchy uniqueName="[Measures].[__XL_Count D_Type]" caption="__XL_Count D_Type" measure="1" displayFolder="" measureGroup="D_Type"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97098719"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A-GF-L8-D02" refreshedDate="46187.799723495373" createdVersion="3" refreshedVersion="6" minRefreshableVersion="3" recordCount="0" supportSubquery="1" supportAdvancedDrill="1">
  <cacheSource type="external" connectionId="8">
    <extLst>
      <ext xmlns:x14="http://schemas.microsoft.com/office/spreadsheetml/2009/9/main" uri="{F057638F-6D5F-4e77-A914-E7F072B9BCA8}">
        <x14:sourceConnection name="ThisWorkbookDataModel"/>
      </ext>
    </extLst>
  </cacheSource>
  <cacheFields count="0"/>
  <cacheHierarchies count="32">
    <cacheHierarchy uniqueName="[Actual].[Date]" caption="Date" attribute="1" time="1" defaultMemberUniqueName="[Actual].[Date].[All]" allUniqueName="[Actual].[Date].[All]" dimensionUniqueName="[Actual]" displayFolder="" count="0" memberValueDatatype="7" unbalanced="0"/>
    <cacheHierarchy uniqueName="[Actual].[Amount]" caption="Amount" attribute="1" defaultMemberUniqueName="[Actual].[Amount].[All]" allUniqueName="[Actual].[Amount].[All]" dimensionUniqueName="[Actual]" displayFolder="" count="0" memberValueDatatype="20" unbalanced="0"/>
    <cacheHierarchy uniqueName="[Budget].[Date]" caption="Date" attribute="1" time="1" defaultMemberUniqueName="[Budget].[Date].[All]" allUniqueName="[Budget].[Date].[All]" dimensionUniqueName="[Budget]" displayFolder="" count="0" memberValueDatatype="7" unbalanced="0"/>
    <cacheHierarchy uniqueName="[Budget].[Amount]" caption="Amount" attribute="1" defaultMemberUniqueName="[Budget].[Amount].[All]" allUniqueName="[Budget].[Amount].[All]" dimensionUniqueName="[Budget]" displayFolder="" count="0" memberValueDatatype="5" unbalanced="0"/>
    <cacheHierarchy uniqueName="[Calender].[Date]" caption="Date" attribute="1" time="1" defaultMemberUniqueName="[Calender].[Date].[All]" allUniqueName="[Calender].[Date].[All]" dimensionUniqueName="[Calender]" displayFolder="" count="0" memberValueDatatype="7" unbalanced="0"/>
    <cacheHierarchy uniqueName="[Calender].[Month Name]" caption="Month Name" attribute="1" defaultMemberUniqueName="[Calender].[Month Name].[All]" allUniqueName="[Calender].[Month Name].[All]" dimensionUniqueName="[Calender]" displayFolder="" count="2" memberValueDatatype="130" unbalanced="0"/>
    <cacheHierarchy uniqueName="[Calender].[Month]" caption="Month" attribute="1" defaultMemberUniqueName="[Calender].[Month].[All]" allUniqueName="[Calender].[Month].[All]" dimensionUniqueName="[Calender]" displayFolder="" count="0" memberValueDatatype="20" unbalanced="0"/>
    <cacheHierarchy uniqueName="[Calender].[Year]" caption="Year" attribute="1" defaultMemberUniqueName="[Calender].[Year].[All]" allUniqueName="[Calender].[Year].[All]" dimensionUniqueName="[Calender]" displayFolder="" count="0" memberValueDatatype="20" unbalanced="0"/>
    <cacheHierarchy uniqueName="[D_Account].[AccountCode]" caption="AccountCode" attribute="1" defaultMemberUniqueName="[D_Account].[AccountCode].[All]" allUniqueName="[D_Account].[AccountCode].[All]" dimensionUniqueName="[D_Account]" displayFolder="" count="0" memberValueDatatype="20" unbalanced="0"/>
    <cacheHierarchy uniqueName="[D_Account].[AccountName]" caption="AccountName" attribute="1" defaultMemberUniqueName="[D_Account].[AccountName].[All]" allUniqueName="[D_Account].[AccountName].[All]" dimensionUniqueName="[D_Account]" displayFolder="" count="0" memberValueDatatype="130" unbalanced="0"/>
    <cacheHierarchy uniqueName="[D_Department].[Department]" caption="Department" attribute="1" defaultMemberUniqueName="[D_Department].[Department].[All]" allUniqueName="[D_Department].[Department].[All]" dimensionUniqueName="[D_Department]" displayFolder="" count="0" memberValueDatatype="130" unbalanced="0"/>
    <cacheHierarchy uniqueName="[D_Type].[Type]" caption="Type" attribute="1" defaultMemberUniqueName="[D_Type].[Type].[All]" allUniqueName="[D_Type].[Type].[All]" dimensionUniqueName="[D_Type]" displayFolder="" count="0" memberValueDatatype="130" unbalanced="0"/>
    <cacheHierarchy uniqueName="[Actual].[AccountCode]" caption="AccountCode" attribute="1" defaultMemberUniqueName="[Actual].[AccountCode].[All]" allUniqueName="[Actual].[AccountCode].[All]" dimensionUniqueName="[Actual]" displayFolder="" count="0" memberValueDatatype="20" unbalanced="0" hidden="1"/>
    <cacheHierarchy uniqueName="[Actual].[AccountName]" caption="AccountName" attribute="1" defaultMemberUniqueName="[Actual].[AccountName].[All]" allUniqueName="[Actual].[AccountName].[All]" dimensionUniqueName="[Actual]" displayFolder="" count="0" memberValueDatatype="130" unbalanced="0" hidden="1"/>
    <cacheHierarchy uniqueName="[Actual].[Department]" caption="Department" attribute="1" defaultMemberUniqueName="[Actual].[Department].[All]" allUniqueName="[Actual].[Department].[All]" dimensionUniqueName="[Actual]" displayFolder="" count="0" memberValueDatatype="130" unbalanced="0" hidden="1"/>
    <cacheHierarchy uniqueName="[Actual].[Type]" caption="Type" attribute="1" defaultMemberUniqueName="[Actual].[Type].[All]" allUniqueName="[Actual].[Type].[All]" dimensionUniqueName="[Actual]" displayFolder="" count="0" memberValueDatatype="130" unbalanced="0" hidden="1"/>
    <cacheHierarchy uniqueName="[Budget].[AccountCode]" caption="AccountCode" attribute="1" defaultMemberUniqueName="[Budget].[AccountCode].[All]" allUniqueName="[Budget].[AccountCode].[All]" dimensionUniqueName="[Budget]" displayFolder="" count="0" memberValueDatatype="20" unbalanced="0" hidden="1"/>
    <cacheHierarchy uniqueName="[Budget].[AccountName]" caption="AccountName" attribute="1" defaultMemberUniqueName="[Budget].[AccountName].[All]" allUniqueName="[Budget].[AccountName].[All]" dimensionUniqueName="[Budget]" displayFolder="" count="0" memberValueDatatype="130" unbalanced="0" hidden="1"/>
    <cacheHierarchy uniqueName="[Budget].[Department]" caption="Department" attribute="1" defaultMemberUniqueName="[Budget].[Department].[All]" allUniqueName="[Budget].[Department].[All]" dimensionUniqueName="[Budget]" displayFolder="" count="0" memberValueDatatype="130" unbalanced="0" hidden="1"/>
    <cacheHierarchy uniqueName="[Budget].[Type]" caption="Type" attribute="1" defaultMemberUniqueName="[Budget].[Type].[All]" allUniqueName="[Budget].[Type].[All]" dimensionUniqueName="[Budget]" displayFolder="" count="0" memberValueDatatype="130" unbalanced="0" hidden="1"/>
    <cacheHierarchy uniqueName="[Measures].[Sum of Amount]" caption="Sum of Amount" measure="1" displayFolder="" measureGroup="Actual" count="0">
      <extLst>
        <ext xmlns:x15="http://schemas.microsoft.com/office/spreadsheetml/2010/11/main" uri="{B97F6D7D-B522-45F9-BDA1-12C45D357490}">
          <x15:cacheHierarchy aggregatedColumn="1"/>
        </ext>
      </extLst>
    </cacheHierarchy>
    <cacheHierarchy uniqueName="[Measures].[Sum of Amount 2]" caption="Sum of Amount 2" measure="1" displayFolder="" measureGroup="Budget" count="0">
      <extLst>
        <ext xmlns:x15="http://schemas.microsoft.com/office/spreadsheetml/2010/11/main" uri="{B97F6D7D-B522-45F9-BDA1-12C45D357490}">
          <x15:cacheHierarchy aggregatedColumn="3"/>
        </ext>
      </extLst>
    </cacheHierarchy>
    <cacheHierarchy uniqueName="[Measures].[Count of Month Name]" caption="Count of Month Name" measure="1" displayFolder="" measureGroup="Calender" count="0">
      <extLst>
        <ext xmlns:x15="http://schemas.microsoft.com/office/spreadsheetml/2010/11/main" uri="{B97F6D7D-B522-45F9-BDA1-12C45D357490}">
          <x15:cacheHierarchy aggregatedColumn="5"/>
        </ext>
      </extLst>
    </cacheHierarchy>
    <cacheHierarchy uniqueName="[Measures].[Actual]" caption="Actual" measure="1" displayFolder="" measureGroup="Actual" count="0"/>
    <cacheHierarchy uniqueName="[Measures].[Budget]" caption="Budget" measure="1" displayFolder="" measureGroup="Budget" count="0"/>
    <cacheHierarchy uniqueName="[Measures].[__XL_Count Actual]" caption="__XL_Count Actual" measure="1" displayFolder="" measureGroup="Actual" count="0" hidden="1"/>
    <cacheHierarchy uniqueName="[Measures].[__XL_Count Budget]" caption="__XL_Count Budget" measure="1" displayFolder="" measureGroup="Budget" count="0" hidden="1"/>
    <cacheHierarchy uniqueName="[Measures].[__XL_Count D_Account]" caption="__XL_Count D_Account" measure="1" displayFolder="" measureGroup="D_Account" count="0" hidden="1"/>
    <cacheHierarchy uniqueName="[Measures].[__XL_Count D_Department]" caption="__XL_Count D_Department" measure="1" displayFolder="" measureGroup="D_Department" count="0" hidden="1"/>
    <cacheHierarchy uniqueName="[Measures].[__XL_Count D_Type]" caption="__XL_Count D_Type" measure="1" displayFolder="" measureGroup="D_Type"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599855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65:B66"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ual]"/>
        <x15:activeTabTopLevelEntity name="[Budg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N35:AN54" firstHeaderRow="1" firstDataRow="3"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xis="axisCol"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7">
    <i>
      <x/>
    </i>
    <i>
      <x v="1"/>
    </i>
    <i>
      <x v="2"/>
    </i>
    <i>
      <x v="3"/>
    </i>
    <i>
      <x v="4"/>
    </i>
    <i>
      <x v="5"/>
    </i>
    <i>
      <x v="6"/>
    </i>
    <i>
      <x v="7"/>
    </i>
    <i>
      <x v="8"/>
    </i>
    <i>
      <x v="9"/>
    </i>
    <i>
      <x v="10"/>
    </i>
    <i>
      <x v="11"/>
    </i>
    <i>
      <x v="12"/>
    </i>
    <i>
      <x v="13"/>
    </i>
    <i>
      <x v="14"/>
    </i>
    <i>
      <x v="15"/>
    </i>
    <i t="grand">
      <x/>
    </i>
  </rowItems>
  <colFields count="2">
    <field x="-2"/>
    <field x="3"/>
  </colFields>
  <colItems count="26">
    <i>
      <x/>
      <x/>
    </i>
    <i r="1">
      <x v="1"/>
    </i>
    <i r="1">
      <x v="2"/>
    </i>
    <i r="1">
      <x v="3"/>
    </i>
    <i r="1">
      <x v="4"/>
    </i>
    <i r="1">
      <x v="5"/>
    </i>
    <i r="1">
      <x v="6"/>
    </i>
    <i r="1">
      <x v="7"/>
    </i>
    <i r="1">
      <x v="8"/>
    </i>
    <i r="1">
      <x v="9"/>
    </i>
    <i r="1">
      <x v="10"/>
    </i>
    <i r="1">
      <x v="11"/>
    </i>
    <i i="1">
      <x v="1"/>
      <x/>
    </i>
    <i r="1" i="1">
      <x v="1"/>
    </i>
    <i r="1" i="1">
      <x v="2"/>
    </i>
    <i r="1" i="1">
      <x v="3"/>
    </i>
    <i r="1" i="1">
      <x v="4"/>
    </i>
    <i r="1" i="1">
      <x v="5"/>
    </i>
    <i r="1" i="1">
      <x v="6"/>
    </i>
    <i r="1" i="1">
      <x v="7"/>
    </i>
    <i r="1" i="1">
      <x v="8"/>
    </i>
    <i r="1" i="1">
      <x v="9"/>
    </i>
    <i r="1" i="1">
      <x v="10"/>
    </i>
    <i r="1" i="1">
      <x v="11"/>
    </i>
    <i t="grand">
      <x/>
    </i>
    <i t="grand" i="1">
      <x v="1"/>
    </i>
  </colItems>
  <dataFields count="2">
    <dataField fld="0" subtotal="count" baseField="0" baseItem="0"/>
    <dataField fld="1"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2">
    <colHierarchyUsage hierarchyUsage="-2"/>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ual]"/>
        <x15:activeTabTopLevelEntity name="[Budget]"/>
        <x15:activeTabTopLevelEntity name="[D_Department]"/>
        <x15:activeTabTopLevelEntity name="[D_Account]"/>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25" cacheId="5" applyNumberFormats="0" applyBorderFormats="0" applyFontFormats="0" applyPatternFormats="0" applyAlignmentFormats="0" applyWidthHeightFormats="1" dataCaption="Values" tag="ea6e8714-21f8-469a-b19f-0c242ca43ad4" updatedVersion="6" minRefreshableVersion="3" useAutoFormatting="1" itemPrintTitles="1" createdVersion="6" indent="0" outline="1" outlineData="1" multipleFieldFilters="0" chartFormat="18">
  <location ref="B62:D75"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dataFields>
  <formats count="15">
    <format dxfId="20">
      <pivotArea field="0" type="button" dataOnly="0" labelOnly="1" outline="0" axis="axisRow" fieldPosition="0"/>
    </format>
    <format dxfId="19">
      <pivotArea dataOnly="0" labelOnly="1" outline="0" fieldPosition="0">
        <references count="1">
          <reference field="4294967294" count="2">
            <x v="0"/>
            <x v="1"/>
          </reference>
        </references>
      </pivotArea>
    </format>
    <format dxfId="18">
      <pivotArea collapsedLevelsAreSubtotals="1" fieldPosition="0">
        <references count="1">
          <reference field="0" count="0"/>
        </references>
      </pivotArea>
    </format>
    <format dxfId="17">
      <pivotArea dataOnly="0" labelOnly="1" fieldPosition="0">
        <references count="1">
          <reference field="0" count="0"/>
        </references>
      </pivotArea>
    </format>
    <format dxfId="16">
      <pivotArea grandRow="1" outline="0" collapsedLevelsAreSubtotals="1" fieldPosition="0"/>
    </format>
    <format dxfId="15">
      <pivotArea dataOnly="0" labelOnly="1" grandRow="1" outline="0" fieldPosition="0"/>
    </format>
    <format dxfId="14">
      <pivotArea collapsedLevelsAreSubtotals="1" fieldPosition="0">
        <references count="2">
          <reference field="4294967294" count="1" selected="0">
            <x v="0"/>
          </reference>
          <reference field="0" count="0"/>
        </references>
      </pivotArea>
    </format>
    <format dxfId="13">
      <pivotArea collapsedLevelsAreSubtotals="1" fieldPosition="0">
        <references count="2">
          <reference field="4294967294" count="1" selected="0">
            <x v="0"/>
          </reference>
          <reference field="0" count="1">
            <x v="9"/>
          </reference>
        </references>
      </pivotArea>
    </format>
    <format dxfId="12">
      <pivotArea collapsedLevelsAreSubtotals="1" fieldPosition="0">
        <references count="2">
          <reference field="4294967294" count="1" selected="0">
            <x v="0"/>
          </reference>
          <reference field="0" count="1">
            <x v="9"/>
          </reference>
        </references>
      </pivotArea>
    </format>
    <format dxfId="11">
      <pivotArea collapsedLevelsAreSubtotals="1" fieldPosition="0">
        <references count="2">
          <reference field="4294967294" count="1" selected="0">
            <x v="0"/>
          </reference>
          <reference field="0" count="1">
            <x v="5"/>
          </reference>
        </references>
      </pivotArea>
    </format>
    <format dxfId="10">
      <pivotArea collapsedLevelsAreSubtotals="1" fieldPosition="0">
        <references count="2">
          <reference field="4294967294" count="1" selected="0">
            <x v="0"/>
          </reference>
          <reference field="0" count="1">
            <x v="5"/>
          </reference>
        </references>
      </pivotArea>
    </format>
    <format dxfId="9">
      <pivotArea collapsedLevelsAreSubtotals="1" fieldPosition="0">
        <references count="2">
          <reference field="4294967294" count="1" selected="0">
            <x v="1"/>
          </reference>
          <reference field="0" count="1">
            <x v="6"/>
          </reference>
        </references>
      </pivotArea>
    </format>
    <format dxfId="8">
      <pivotArea collapsedLevelsAreSubtotals="1" fieldPosition="0">
        <references count="2">
          <reference field="4294967294" count="1" selected="0">
            <x v="1"/>
          </reference>
          <reference field="0" count="1">
            <x v="6"/>
          </reference>
        </references>
      </pivotArea>
    </format>
    <format dxfId="7">
      <pivotArea collapsedLevelsAreSubtotals="1" fieldPosition="0">
        <references count="2">
          <reference field="4294967294" count="1" selected="0">
            <x v="1"/>
          </reference>
          <reference field="0" count="1">
            <x v="1"/>
          </reference>
        </references>
      </pivotArea>
    </format>
    <format dxfId="6">
      <pivotArea collapsedLevelsAreSubtotals="1" fieldPosition="0">
        <references count="2">
          <reference field="4294967294" count="1" selected="0">
            <x v="1"/>
          </reference>
          <reference field="0" count="1">
            <x v="1"/>
          </reference>
        </references>
      </pivotArea>
    </format>
  </formats>
  <conditionalFormats count="4">
    <conditionalFormat type="all" priority="1">
      <pivotAreas count="1">
        <pivotArea type="data" collapsedLevelsAreSubtotals="1" fieldPosition="0">
          <references count="2">
            <reference field="4294967294" count="1" selected="0">
              <x v="1"/>
            </reference>
            <reference field="0" count="12">
              <x v="0"/>
              <x v="1"/>
              <x v="2"/>
              <x v="3"/>
              <x v="4"/>
              <x v="5"/>
              <x v="6"/>
              <x v="7"/>
              <x v="8"/>
              <x v="9"/>
              <x v="10"/>
              <x v="11"/>
            </reference>
          </references>
        </pivotArea>
      </pivotAreas>
    </conditionalFormat>
    <conditionalFormat type="all" priority="2">
      <pivotAreas count="1">
        <pivotArea type="data" collapsedLevelsAreSubtotals="1" fieldPosition="0">
          <references count="2">
            <reference field="4294967294" count="1" selected="0">
              <x v="1"/>
            </reference>
            <reference field="0" count="12">
              <x v="0"/>
              <x v="1"/>
              <x v="2"/>
              <x v="3"/>
              <x v="4"/>
              <x v="5"/>
              <x v="6"/>
              <x v="7"/>
              <x v="8"/>
              <x v="9"/>
              <x v="10"/>
              <x v="11"/>
            </reference>
          </references>
        </pivotArea>
      </pivotAreas>
    </conditionalFormat>
    <conditionalFormat type="all" priority="3">
      <pivotAreas count="1">
        <pivotArea type="data" collapsedLevelsAreSubtotals="1" fieldPosition="0">
          <references count="2">
            <reference field="4294967294" count="1" selected="0">
              <x v="0"/>
            </reference>
            <reference field="0" count="12">
              <x v="0"/>
              <x v="1"/>
              <x v="2"/>
              <x v="3"/>
              <x v="4"/>
              <x v="5"/>
              <x v="6"/>
              <x v="7"/>
              <x v="8"/>
              <x v="9"/>
              <x v="10"/>
              <x v="11"/>
            </reference>
          </references>
        </pivotArea>
      </pivotAreas>
    </conditionalFormat>
    <conditionalFormat type="all" priority="4">
      <pivotAreas count="1">
        <pivotArea type="data" collapsedLevelsAreSubtotals="1" fieldPosition="0">
          <references count="2">
            <reference field="4294967294" count="1" selected="0">
              <x v="0"/>
            </reference>
            <reference field="0" count="12">
              <x v="0"/>
              <x v="1"/>
              <x v="2"/>
              <x v="3"/>
              <x v="4"/>
              <x v="5"/>
              <x v="6"/>
              <x v="7"/>
              <x v="8"/>
              <x v="9"/>
              <x v="10"/>
              <x v="11"/>
            </reference>
          </references>
        </pivotArea>
      </pivotAreas>
    </conditionalFormat>
  </conditionalFormats>
  <chartFormats count="4">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Actual]"/>
        <x15:activeTabTopLevelEntity name="[Budget]"/>
        <x15:activeTabTopLevelEntity name="[D_Type]"/>
        <x15:activeTabTopLevelEntity name="[D_Depart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9" cacheId="4" applyNumberFormats="0" applyBorderFormats="0" applyFontFormats="0" applyPatternFormats="0" applyAlignmentFormats="0" applyWidthHeightFormats="1" dataCaption="Values" tag="1605d5bf-a5f6-4e2d-a32b-7e79055164d0" updatedVersion="6" minRefreshableVersion="3" useAutoFormatting="1" subtotalHiddenItems="1" itemPrintTitles="1" createdVersion="6" indent="0" outline="1" outlineData="1" multipleFieldFilters="0" chartFormat="20" rowHeaderCaption="Account Names">
  <location ref="B37:D54" firstHeaderRow="0" firstDataRow="1" firstDataCol="1"/>
  <pivotFields count="4">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fld="1" subtotal="count" baseField="0" baseItem="0"/>
    <dataField fld="2" subtotal="count" baseField="0" baseItem="0"/>
  </dataFields>
  <formats count="10">
    <format dxfId="30">
      <pivotArea field="0" type="button" dataOnly="0" labelOnly="1" outline="0" axis="axisRow" fieldPosition="0"/>
    </format>
    <format dxfId="29">
      <pivotArea dataOnly="0" labelOnly="1" outline="0" fieldPosition="0">
        <references count="1">
          <reference field="4294967294" count="2">
            <x v="0"/>
            <x v="1"/>
          </reference>
        </references>
      </pivotArea>
    </format>
    <format dxfId="28">
      <pivotArea collapsedLevelsAreSubtotals="1" fieldPosition="0">
        <references count="1">
          <reference field="0" count="0"/>
        </references>
      </pivotArea>
    </format>
    <format dxfId="27">
      <pivotArea dataOnly="0" labelOnly="1" fieldPosition="0">
        <references count="1">
          <reference field="0" count="0"/>
        </references>
      </pivotArea>
    </format>
    <format dxfId="26">
      <pivotArea grandRow="1" outline="0" collapsedLevelsAreSubtotals="1" fieldPosition="0"/>
    </format>
    <format dxfId="25">
      <pivotArea dataOnly="0" labelOnly="1" grandRow="1" outline="0" fieldPosition="0"/>
    </format>
    <format dxfId="24">
      <pivotArea grandRow="1" outline="0" collapsedLevelsAreSubtotals="1" fieldPosition="0"/>
    </format>
    <format dxfId="23">
      <pivotArea dataOnly="0" labelOnly="1" grandRow="1" outline="0" fieldPosition="0"/>
    </format>
    <format dxfId="22">
      <pivotArea collapsedLevelsAreSubtotals="1" fieldPosition="0">
        <references count="1">
          <reference field="0" count="0"/>
        </references>
      </pivotArea>
    </format>
    <format dxfId="21">
      <pivotArea dataOnly="0" labelOnly="1" fieldPosition="0">
        <references count="1">
          <reference field="0" count="0"/>
        </references>
      </pivotArea>
    </format>
  </formats>
  <chartFormats count="4">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_Account]"/>
        <x15:activeTabTopLevelEntity name="[Budget]"/>
        <x15:activeTabTopLevelEntity name="[Actual]"/>
        <x15:activeTabTopLevelEntity name="[D_Department]"/>
        <x15:activeTabTopLevelEntity name="[D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7" cacheId="3" applyNumberFormats="0" applyBorderFormats="0" applyFontFormats="0" applyPatternFormats="0" applyAlignmentFormats="0" applyWidthHeightFormats="1" dataCaption="Values" tag="32801a50-e26f-4801-a18e-cb8a24942859" updatedVersion="6" minRefreshableVersion="3" useAutoFormatting="1" subtotalHiddenItems="1" itemPrintTitles="1" createdVersion="5" indent="0" outline="1" outlineData="1" multipleFieldFilters="0" chartFormat="26">
  <location ref="B9:D17"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2">
    <i>
      <x/>
    </i>
    <i i="1">
      <x v="1"/>
    </i>
  </colItems>
  <dataFields count="2">
    <dataField fld="2" subtotal="count" baseField="0" baseItem="0"/>
    <dataField fld="1" subtotal="count" baseField="0" baseItem="0"/>
  </dataFields>
  <formats count="18">
    <format dxfId="48">
      <pivotArea type="all" dataOnly="0" outline="0" fieldPosition="0"/>
    </format>
    <format dxfId="47">
      <pivotArea outline="0" collapsedLevelsAreSubtotals="1" fieldPosition="0"/>
    </format>
    <format dxfId="46">
      <pivotArea field="0" type="button" dataOnly="0" labelOnly="1" outline="0" axis="axisRow" fieldPosition="0"/>
    </format>
    <format dxfId="45">
      <pivotArea dataOnly="0" labelOnly="1" fieldPosition="0">
        <references count="1">
          <reference field="0" count="0"/>
        </references>
      </pivotArea>
    </format>
    <format dxfId="44">
      <pivotArea dataOnly="0" labelOnly="1" grandRow="1" outline="0" fieldPosition="0"/>
    </format>
    <format dxfId="43">
      <pivotArea dataOnly="0" labelOnly="1" outline="0" fieldPosition="0">
        <references count="1">
          <reference field="4294967294" count="2">
            <x v="0"/>
            <x v="1"/>
          </reference>
        </references>
      </pivotArea>
    </format>
    <format dxfId="42">
      <pivotArea collapsedLevelsAreSubtotals="1" fieldPosition="0">
        <references count="1">
          <reference field="0" count="1">
            <x v="5"/>
          </reference>
        </references>
      </pivotArea>
    </format>
    <format dxfId="41">
      <pivotArea dataOnly="0" labelOnly="1" fieldPosition="0">
        <references count="1">
          <reference field="0" count="1">
            <x v="5"/>
          </reference>
        </references>
      </pivotArea>
    </format>
    <format dxfId="40">
      <pivotArea collapsedLevelsAreSubtotals="1" fieldPosition="0">
        <references count="1">
          <reference field="0" count="1">
            <x v="6"/>
          </reference>
        </references>
      </pivotArea>
    </format>
    <format dxfId="39">
      <pivotArea dataOnly="0" labelOnly="1" fieldPosition="0">
        <references count="1">
          <reference field="0" count="1">
            <x v="6"/>
          </reference>
        </references>
      </pivotArea>
    </format>
    <format dxfId="38">
      <pivotArea grandRow="1" outline="0" collapsedLevelsAreSubtotals="1" fieldPosition="0"/>
    </format>
    <format dxfId="37">
      <pivotArea dataOnly="0" labelOnly="1" grandRow="1" outline="0" fieldPosition="0"/>
    </format>
    <format dxfId="36">
      <pivotArea collapsedLevelsAreSubtotals="1" fieldPosition="0">
        <references count="1">
          <reference field="0" count="0"/>
        </references>
      </pivotArea>
    </format>
    <format dxfId="35">
      <pivotArea dataOnly="0" labelOnly="1" fieldPosition="0">
        <references count="1">
          <reference field="0" count="0"/>
        </references>
      </pivotArea>
    </format>
    <format dxfId="34">
      <pivotArea collapsedLevelsAreSubtotals="1" fieldPosition="0">
        <references count="2">
          <reference field="4294967294" count="1" selected="0">
            <x v="1"/>
          </reference>
          <reference field="0" count="0"/>
        </references>
      </pivotArea>
    </format>
    <format dxfId="33">
      <pivotArea collapsedLevelsAreSubtotals="1" fieldPosition="0">
        <references count="2">
          <reference field="4294967294" count="1" selected="0">
            <x v="1"/>
          </reference>
          <reference field="0" count="0"/>
        </references>
      </pivotArea>
    </format>
    <format dxfId="32">
      <pivotArea collapsedLevelsAreSubtotals="1" fieldPosition="0">
        <references count="2">
          <reference field="4294967294" count="1" selected="0">
            <x v="1"/>
          </reference>
          <reference field="0" count="6">
            <x v="0"/>
            <x v="1"/>
            <x v="2"/>
            <x v="3"/>
            <x v="4"/>
            <x v="5"/>
          </reference>
        </references>
      </pivotArea>
    </format>
    <format dxfId="31">
      <pivotArea collapsedLevelsAreSubtotals="1" fieldPosition="0">
        <references count="2">
          <reference field="4294967294" count="1" selected="0">
            <x v="1"/>
          </reference>
          <reference field="0" count="1">
            <x v="1"/>
          </reference>
        </references>
      </pivotArea>
    </format>
  </formats>
  <conditionalFormats count="2">
    <conditionalFormat type="all" priority="7">
      <pivotAreas count="1">
        <pivotArea type="data" collapsedLevelsAreSubtotals="1" fieldPosition="0">
          <references count="2">
            <reference field="4294967294" count="1" selected="0">
              <x v="1"/>
            </reference>
            <reference field="0" count="7">
              <x v="0"/>
              <x v="1"/>
              <x v="2"/>
              <x v="3"/>
              <x v="4"/>
              <x v="5"/>
              <x v="6"/>
            </reference>
          </references>
        </pivotArea>
      </pivotAreas>
    </conditionalFormat>
    <conditionalFormat type="all" priority="8">
      <pivotAreas count="1">
        <pivotArea type="data" collapsedLevelsAreSubtotals="1" fieldPosition="0">
          <references count="2">
            <reference field="4294967294" count="1" selected="0">
              <x v="1"/>
            </reference>
            <reference field="0" count="7">
              <x v="0"/>
              <x v="1"/>
              <x v="2"/>
              <x v="3"/>
              <x v="4"/>
              <x v="5"/>
              <x v="6"/>
            </reference>
          </references>
        </pivotArea>
      </pivotAreas>
    </conditionalFormat>
  </conditionalFormats>
  <chartFormats count="5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7" format="18" series="1">
      <pivotArea type="data" outline="0" fieldPosition="0">
        <references count="1">
          <reference field="4294967294" count="1" selected="0">
            <x v="0"/>
          </reference>
        </references>
      </pivotArea>
    </chartFormat>
    <chartFormat chart="17" format="19">
      <pivotArea type="data" outline="0" fieldPosition="0">
        <references count="2">
          <reference field="4294967294" count="1" selected="0">
            <x v="0"/>
          </reference>
          <reference field="0" count="1" selected="0">
            <x v="0"/>
          </reference>
        </references>
      </pivotArea>
    </chartFormat>
    <chartFormat chart="17" format="20">
      <pivotArea type="data" outline="0" fieldPosition="0">
        <references count="2">
          <reference field="4294967294" count="1" selected="0">
            <x v="0"/>
          </reference>
          <reference field="0" count="1" selected="0">
            <x v="1"/>
          </reference>
        </references>
      </pivotArea>
    </chartFormat>
    <chartFormat chart="17" format="21">
      <pivotArea type="data" outline="0" fieldPosition="0">
        <references count="2">
          <reference field="4294967294" count="1" selected="0">
            <x v="0"/>
          </reference>
          <reference field="0" count="1" selected="0">
            <x v="2"/>
          </reference>
        </references>
      </pivotArea>
    </chartFormat>
    <chartFormat chart="17" format="22">
      <pivotArea type="data" outline="0" fieldPosition="0">
        <references count="2">
          <reference field="4294967294" count="1" selected="0">
            <x v="0"/>
          </reference>
          <reference field="0" count="1" selected="0">
            <x v="3"/>
          </reference>
        </references>
      </pivotArea>
    </chartFormat>
    <chartFormat chart="17" format="23">
      <pivotArea type="data" outline="0" fieldPosition="0">
        <references count="2">
          <reference field="4294967294" count="1" selected="0">
            <x v="0"/>
          </reference>
          <reference field="0" count="1" selected="0">
            <x v="4"/>
          </reference>
        </references>
      </pivotArea>
    </chartFormat>
    <chartFormat chart="17" format="24">
      <pivotArea type="data" outline="0" fieldPosition="0">
        <references count="2">
          <reference field="4294967294" count="1" selected="0">
            <x v="0"/>
          </reference>
          <reference field="0" count="1" selected="0">
            <x v="5"/>
          </reference>
        </references>
      </pivotArea>
    </chartFormat>
    <chartFormat chart="17" format="25">
      <pivotArea type="data" outline="0" fieldPosition="0">
        <references count="2">
          <reference field="4294967294" count="1" selected="0">
            <x v="0"/>
          </reference>
          <reference field="0" count="1" selected="0">
            <x v="6"/>
          </reference>
        </references>
      </pivotArea>
    </chartFormat>
    <chartFormat chart="17" format="26" series="1">
      <pivotArea type="data" outline="0" fieldPosition="0">
        <references count="1">
          <reference field="4294967294" count="1" selected="0">
            <x v="1"/>
          </reference>
        </references>
      </pivotArea>
    </chartFormat>
    <chartFormat chart="17" format="27">
      <pivotArea type="data" outline="0" fieldPosition="0">
        <references count="2">
          <reference field="4294967294" count="1" selected="0">
            <x v="1"/>
          </reference>
          <reference field="0" count="1" selected="0">
            <x v="0"/>
          </reference>
        </references>
      </pivotArea>
    </chartFormat>
    <chartFormat chart="17" format="28">
      <pivotArea type="data" outline="0" fieldPosition="0">
        <references count="2">
          <reference field="4294967294" count="1" selected="0">
            <x v="1"/>
          </reference>
          <reference field="0" count="1" selected="0">
            <x v="1"/>
          </reference>
        </references>
      </pivotArea>
    </chartFormat>
    <chartFormat chart="17" format="29">
      <pivotArea type="data" outline="0" fieldPosition="0">
        <references count="2">
          <reference field="4294967294" count="1" selected="0">
            <x v="1"/>
          </reference>
          <reference field="0" count="1" selected="0">
            <x v="2"/>
          </reference>
        </references>
      </pivotArea>
    </chartFormat>
    <chartFormat chart="17" format="30">
      <pivotArea type="data" outline="0" fieldPosition="0">
        <references count="2">
          <reference field="4294967294" count="1" selected="0">
            <x v="1"/>
          </reference>
          <reference field="0" count="1" selected="0">
            <x v="3"/>
          </reference>
        </references>
      </pivotArea>
    </chartFormat>
    <chartFormat chart="17" format="31">
      <pivotArea type="data" outline="0" fieldPosition="0">
        <references count="2">
          <reference field="4294967294" count="1" selected="0">
            <x v="1"/>
          </reference>
          <reference field="0" count="1" selected="0">
            <x v="4"/>
          </reference>
        </references>
      </pivotArea>
    </chartFormat>
    <chartFormat chart="17" format="32">
      <pivotArea type="data" outline="0" fieldPosition="0">
        <references count="2">
          <reference field="4294967294" count="1" selected="0">
            <x v="1"/>
          </reference>
          <reference field="0" count="1" selected="0">
            <x v="5"/>
          </reference>
        </references>
      </pivotArea>
    </chartFormat>
    <chartFormat chart="17" format="33">
      <pivotArea type="data" outline="0" fieldPosition="0">
        <references count="2">
          <reference field="4294967294" count="1" selected="0">
            <x v="1"/>
          </reference>
          <reference field="0" count="1" selected="0">
            <x v="6"/>
          </reference>
        </references>
      </pivotArea>
    </chartFormat>
    <chartFormat chart="24" format="34" series="1">
      <pivotArea type="data" outline="0" fieldPosition="0">
        <references count="1">
          <reference field="4294967294" count="1" selected="0">
            <x v="0"/>
          </reference>
        </references>
      </pivotArea>
    </chartFormat>
    <chartFormat chart="24" format="35">
      <pivotArea type="data" outline="0" fieldPosition="0">
        <references count="2">
          <reference field="4294967294" count="1" selected="0">
            <x v="0"/>
          </reference>
          <reference field="0" count="1" selected="0">
            <x v="0"/>
          </reference>
        </references>
      </pivotArea>
    </chartFormat>
    <chartFormat chart="24" format="36">
      <pivotArea type="data" outline="0" fieldPosition="0">
        <references count="2">
          <reference field="4294967294" count="1" selected="0">
            <x v="0"/>
          </reference>
          <reference field="0" count="1" selected="0">
            <x v="1"/>
          </reference>
        </references>
      </pivotArea>
    </chartFormat>
    <chartFormat chart="24" format="37">
      <pivotArea type="data" outline="0" fieldPosition="0">
        <references count="2">
          <reference field="4294967294" count="1" selected="0">
            <x v="0"/>
          </reference>
          <reference field="0" count="1" selected="0">
            <x v="2"/>
          </reference>
        </references>
      </pivotArea>
    </chartFormat>
    <chartFormat chart="24" format="38">
      <pivotArea type="data" outline="0" fieldPosition="0">
        <references count="2">
          <reference field="4294967294" count="1" selected="0">
            <x v="0"/>
          </reference>
          <reference field="0" count="1" selected="0">
            <x v="3"/>
          </reference>
        </references>
      </pivotArea>
    </chartFormat>
    <chartFormat chart="24" format="39">
      <pivotArea type="data" outline="0" fieldPosition="0">
        <references count="2">
          <reference field="4294967294" count="1" selected="0">
            <x v="0"/>
          </reference>
          <reference field="0" count="1" selected="0">
            <x v="4"/>
          </reference>
        </references>
      </pivotArea>
    </chartFormat>
    <chartFormat chart="24" format="40">
      <pivotArea type="data" outline="0" fieldPosition="0">
        <references count="2">
          <reference field="4294967294" count="1" selected="0">
            <x v="0"/>
          </reference>
          <reference field="0" count="1" selected="0">
            <x v="5"/>
          </reference>
        </references>
      </pivotArea>
    </chartFormat>
    <chartFormat chart="24" format="41">
      <pivotArea type="data" outline="0" fieldPosition="0">
        <references count="2">
          <reference field="4294967294" count="1" selected="0">
            <x v="0"/>
          </reference>
          <reference field="0" count="1" selected="0">
            <x v="6"/>
          </reference>
        </references>
      </pivotArea>
    </chartFormat>
    <chartFormat chart="24" format="42" series="1">
      <pivotArea type="data" outline="0" fieldPosition="0">
        <references count="1">
          <reference field="4294967294" count="1" selected="0">
            <x v="1"/>
          </reference>
        </references>
      </pivotArea>
    </chartFormat>
    <chartFormat chart="24" format="43">
      <pivotArea type="data" outline="0" fieldPosition="0">
        <references count="2">
          <reference field="4294967294" count="1" selected="0">
            <x v="1"/>
          </reference>
          <reference field="0" count="1" selected="0">
            <x v="0"/>
          </reference>
        </references>
      </pivotArea>
    </chartFormat>
    <chartFormat chart="24" format="44">
      <pivotArea type="data" outline="0" fieldPosition="0">
        <references count="2">
          <reference field="4294967294" count="1" selected="0">
            <x v="1"/>
          </reference>
          <reference field="0" count="1" selected="0">
            <x v="1"/>
          </reference>
        </references>
      </pivotArea>
    </chartFormat>
    <chartFormat chart="24" format="45">
      <pivotArea type="data" outline="0" fieldPosition="0">
        <references count="2">
          <reference field="4294967294" count="1" selected="0">
            <x v="1"/>
          </reference>
          <reference field="0" count="1" selected="0">
            <x v="2"/>
          </reference>
        </references>
      </pivotArea>
    </chartFormat>
    <chartFormat chart="24" format="46">
      <pivotArea type="data" outline="0" fieldPosition="0">
        <references count="2">
          <reference field="4294967294" count="1" selected="0">
            <x v="1"/>
          </reference>
          <reference field="0" count="1" selected="0">
            <x v="3"/>
          </reference>
        </references>
      </pivotArea>
    </chartFormat>
    <chartFormat chart="24" format="47">
      <pivotArea type="data" outline="0" fieldPosition="0">
        <references count="2">
          <reference field="4294967294" count="1" selected="0">
            <x v="1"/>
          </reference>
          <reference field="0" count="1" selected="0">
            <x v="4"/>
          </reference>
        </references>
      </pivotArea>
    </chartFormat>
    <chartFormat chart="24" format="48">
      <pivotArea type="data" outline="0" fieldPosition="0">
        <references count="2">
          <reference field="4294967294" count="1" selected="0">
            <x v="1"/>
          </reference>
          <reference field="0" count="1" selected="0">
            <x v="5"/>
          </reference>
        </references>
      </pivotArea>
    </chartFormat>
    <chartFormat chart="24" format="49">
      <pivotArea type="data" outline="0" fieldPosition="0">
        <references count="2">
          <reference field="4294967294" count="1" selected="0">
            <x v="1"/>
          </reference>
          <reference field="0" count="1" selected="0">
            <x v="6"/>
          </reference>
        </references>
      </pivotArea>
    </chartFormat>
    <chartFormat chart="25" format="50" series="1">
      <pivotArea type="data" outline="0" fieldPosition="0">
        <references count="1">
          <reference field="4294967294" count="1" selected="0">
            <x v="0"/>
          </reference>
        </references>
      </pivotArea>
    </chartFormat>
    <chartFormat chart="25" format="51">
      <pivotArea type="data" outline="0" fieldPosition="0">
        <references count="2">
          <reference field="4294967294" count="1" selected="0">
            <x v="0"/>
          </reference>
          <reference field="0" count="1" selected="0">
            <x v="0"/>
          </reference>
        </references>
      </pivotArea>
    </chartFormat>
    <chartFormat chart="25" format="52">
      <pivotArea type="data" outline="0" fieldPosition="0">
        <references count="2">
          <reference field="4294967294" count="1" selected="0">
            <x v="0"/>
          </reference>
          <reference field="0" count="1" selected="0">
            <x v="1"/>
          </reference>
        </references>
      </pivotArea>
    </chartFormat>
    <chartFormat chart="25" format="53">
      <pivotArea type="data" outline="0" fieldPosition="0">
        <references count="2">
          <reference field="4294967294" count="1" selected="0">
            <x v="0"/>
          </reference>
          <reference field="0" count="1" selected="0">
            <x v="2"/>
          </reference>
        </references>
      </pivotArea>
    </chartFormat>
    <chartFormat chart="25" format="54">
      <pivotArea type="data" outline="0" fieldPosition="0">
        <references count="2">
          <reference field="4294967294" count="1" selected="0">
            <x v="0"/>
          </reference>
          <reference field="0" count="1" selected="0">
            <x v="3"/>
          </reference>
        </references>
      </pivotArea>
    </chartFormat>
    <chartFormat chart="25" format="55">
      <pivotArea type="data" outline="0" fieldPosition="0">
        <references count="2">
          <reference field="4294967294" count="1" selected="0">
            <x v="0"/>
          </reference>
          <reference field="0" count="1" selected="0">
            <x v="4"/>
          </reference>
        </references>
      </pivotArea>
    </chartFormat>
    <chartFormat chart="25" format="56">
      <pivotArea type="data" outline="0" fieldPosition="0">
        <references count="2">
          <reference field="4294967294" count="1" selected="0">
            <x v="0"/>
          </reference>
          <reference field="0" count="1" selected="0">
            <x v="5"/>
          </reference>
        </references>
      </pivotArea>
    </chartFormat>
    <chartFormat chart="25" format="57">
      <pivotArea type="data" outline="0" fieldPosition="0">
        <references count="2">
          <reference field="4294967294" count="1" selected="0">
            <x v="0"/>
          </reference>
          <reference field="0" count="1" selected="0">
            <x v="6"/>
          </reference>
        </references>
      </pivotArea>
    </chartFormat>
    <chartFormat chart="25" format="58" series="1">
      <pivotArea type="data" outline="0" fieldPosition="0">
        <references count="1">
          <reference field="4294967294" count="1" selected="0">
            <x v="1"/>
          </reference>
        </references>
      </pivotArea>
    </chartFormat>
    <chartFormat chart="25" format="59">
      <pivotArea type="data" outline="0" fieldPosition="0">
        <references count="2">
          <reference field="4294967294" count="1" selected="0">
            <x v="1"/>
          </reference>
          <reference field="0" count="1" selected="0">
            <x v="0"/>
          </reference>
        </references>
      </pivotArea>
    </chartFormat>
    <chartFormat chart="25" format="60">
      <pivotArea type="data" outline="0" fieldPosition="0">
        <references count="2">
          <reference field="4294967294" count="1" selected="0">
            <x v="1"/>
          </reference>
          <reference field="0" count="1" selected="0">
            <x v="1"/>
          </reference>
        </references>
      </pivotArea>
    </chartFormat>
    <chartFormat chart="25" format="61">
      <pivotArea type="data" outline="0" fieldPosition="0">
        <references count="2">
          <reference field="4294967294" count="1" selected="0">
            <x v="1"/>
          </reference>
          <reference field="0" count="1" selected="0">
            <x v="2"/>
          </reference>
        </references>
      </pivotArea>
    </chartFormat>
    <chartFormat chart="25" format="62">
      <pivotArea type="data" outline="0" fieldPosition="0">
        <references count="2">
          <reference field="4294967294" count="1" selected="0">
            <x v="1"/>
          </reference>
          <reference field="0" count="1" selected="0">
            <x v="3"/>
          </reference>
        </references>
      </pivotArea>
    </chartFormat>
    <chartFormat chart="25" format="63">
      <pivotArea type="data" outline="0" fieldPosition="0">
        <references count="2">
          <reference field="4294967294" count="1" selected="0">
            <x v="1"/>
          </reference>
          <reference field="0" count="1" selected="0">
            <x v="4"/>
          </reference>
        </references>
      </pivotArea>
    </chartFormat>
    <chartFormat chart="25" format="64">
      <pivotArea type="data" outline="0" fieldPosition="0">
        <references count="2">
          <reference field="4294967294" count="1" selected="0">
            <x v="1"/>
          </reference>
          <reference field="0" count="1" selected="0">
            <x v="5"/>
          </reference>
        </references>
      </pivotArea>
    </chartFormat>
    <chartFormat chart="25" format="65">
      <pivotArea type="data" outline="0" fieldPosition="0">
        <references count="2">
          <reference field="4294967294" count="1" selected="0">
            <x v="1"/>
          </reference>
          <reference field="0" count="1" selected="0">
            <x v="6"/>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_Department]"/>
        <x15:activeTabTopLevelEntity name="[Actual]"/>
        <x15:activeTabTopLevelEntity name="[Budget]"/>
        <x15:activeTabTopLevelEntity name="[D_Typ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Type" sourceName="[D_Type].[Type]">
  <pivotTables>
    <pivotTable tabId="4" name="PivotTable1"/>
    <pivotTable tabId="4" name="PivotTable3"/>
    <pivotTable tabId="7" name="PivotTable7"/>
    <pivotTable tabId="7" name="PivotTable9"/>
    <pivotTable tabId="7" name="PivotTable25"/>
  </pivotTables>
  <data>
    <olap pivotCacheId="1897098719">
      <levels count="2">
        <level uniqueName="[D_Type].[Type].[(All)]" sourceCaption="(All)" count="0"/>
        <level uniqueName="[D_Type].[Type].[Type]" sourceCaption="Type" count="2" crossFilter="showItemsWithNoData">
          <ranges>
            <range startItem="0">
              <i n="[D_Type].[Type].&amp;[Actual]" c="Actual"/>
              <i n="[D_Type].[Type].&amp;[Budget]" c="Budget"/>
            </range>
          </ranges>
        </level>
      </levels>
      <selections count="1">
        <selection n="[D_Type].[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_Department].[Department]">
  <pivotTables>
    <pivotTable tabId="4" name="PivotTable1"/>
    <pivotTable tabId="4" name="PivotTable3"/>
    <pivotTable tabId="7" name="PivotTable7"/>
    <pivotTable tabId="7" name="PivotTable9"/>
    <pivotTable tabId="7" name="PivotTable25"/>
  </pivotTables>
  <data>
    <olap pivotCacheId="1897098719">
      <levels count="2">
        <level uniqueName="[D_Department].[Department].[(All)]" sourceCaption="(All)" count="0"/>
        <level uniqueName="[D_Department].[Department].[Department]" sourceCaption="Department" count="7" crossFilter="showItemsWithNoData">
          <ranges>
            <range startItem="0">
              <i n="[D_Department].[Department].&amp;[Account]" c="Account"/>
              <i n="[D_Department].[Department].&amp;[Corporate]" c="Corporate"/>
              <i n="[D_Department].[Department].&amp;[Finance]" c="Finance"/>
              <i n="[D_Department].[Department].&amp;[General and Administration]" c="General and Administration"/>
              <i n="[D_Department].[Department].&amp;[Operations]" c="Operations"/>
              <i n="[D_Department].[Department].&amp;[Project]" c="Project"/>
              <i n="[D_Department].[Department].&amp;[Sales &amp; Marketing]" c="Sales &amp; Marketing"/>
            </range>
          </ranges>
        </level>
      </levels>
      <selections count="1">
        <selection n="[D_Department].[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_Name" sourceName="[Calender].[Month Name]">
  <pivotTables>
    <pivotTable tabId="7" name="PivotTable25"/>
  </pivotTables>
  <data>
    <olap pivotCacheId="459985529">
      <levels count="2">
        <level uniqueName="[Calender].[Month Name].[(All)]" sourceCaption="(All)" count="0"/>
        <level uniqueName="[Calender].[Month Name].[Month Name]" sourceCaption="Month Name" count="12">
          <ranges>
            <range startItem="0">
              <i n="[Calender].[Month Name].&amp;[Jan]" c="Jan"/>
              <i n="[Calender].[Month Name].&amp;[Feb]" c="Feb"/>
              <i n="[Calender].[Month Name].&amp;[Mar]" c="Mar"/>
              <i n="[Calender].[Month Name].&amp;[Apr]" c="Apr"/>
              <i n="[Calender].[Month Name].&amp;[May]" c="May"/>
              <i n="[Calender].[Month Name].&amp;[Jun]" c="Jun"/>
              <i n="[Calender].[Month Name].&amp;[Jul]" c="Jul"/>
              <i n="[Calender].[Month Name].&amp;[Aug]" c="Aug"/>
              <i n="[Calender].[Month Name].&amp;[Sep]" c="Sep"/>
              <i n="[Calender].[Month Name].&amp;[Oct]" c="Oct"/>
              <i n="[Calender].[Month Name].&amp;[Nov]" c="Nov"/>
              <i n="[Calender].[Month Name].&amp;[Dec]" c="Dec"/>
            </range>
          </ranges>
        </level>
      </levels>
      <selections count="1">
        <selection n="[Calender].[Month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Type" cache="Slicer_Type" caption="Type" columnCount="2" level="1" rowHeight="241300"/>
  <slicer name="Department" cache="Slicer_Department" caption="Department" columnCount="7" level="1" rowHeight="241300"/>
  <slicer name="Department 1" cache="Slicer_Department" caption="Department" columnCount="7"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Type 1" cache="Slicer_Type" caption="Type" columnCount="2" level="1" style="Slicer Data Model" rowHeight="241300"/>
  <slicer name="Department 2" cache="Slicer_Department" caption="Department" columnCount="7" level="1" style="Slicer Data Model" rowHeight="241300"/>
  <slicer name="Month Name 1" cache="Slicer_Month_Name" caption="Month Name" columnCount="12" level="1" style="Slicer Data Model"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Month Name" cache="Slicer_Month_Name" caption="Month Name" columnCount="6" level="1" rowHeight="241300"/>
</slicers>
</file>

<file path=xl/tables/table1.xml><?xml version="1.0" encoding="utf-8"?>
<table xmlns="http://schemas.openxmlformats.org/spreadsheetml/2006/main" id="6" name="Table467" displayName="Table467" ref="H9:L22" totalsRowShown="0" headerRowDxfId="5" headerRowBorderDxfId="4" headerRowCellStyle="Normal 2">
  <autoFilter ref="H9:L22"/>
  <tableColumns count="5">
    <tableColumn id="1" name="Months " dataDxfId="3"/>
    <tableColumn id="2" name="Sum of Actual Amount" dataDxfId="2"/>
    <tableColumn id="3" name="Sum of Budget Amount" dataDxfId="1"/>
    <tableColumn id="4" name="Variance _x000a_Budget - Actual" dataDxfId="0">
      <calculatedColumnFormula>IFERROR(Table467[[#This Row],[Sum of Budget Amount]]-Table467[[#This Row],[Sum of Actual Amount]],"")</calculatedColumnFormula>
    </tableColumn>
    <tableColumn id="5" name="Variance %_x000a_Variance/Budget" dataCellStyle="Percent">
      <calculatedColumnFormula>K10/J10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7" Type="http://schemas.microsoft.com/office/2007/relationships/slicer" Target="../slicers/slicer3.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table" Target="../tables/table1.xml"/><Relationship Id="rId5" Type="http://schemas.openxmlformats.org/officeDocument/2006/relationships/drawing" Target="../drawings/drawing3.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839"/>
  <sheetViews>
    <sheetView tabSelected="1" workbookViewId="0">
      <selection activeCell="H9" sqref="H9"/>
    </sheetView>
  </sheetViews>
  <sheetFormatPr defaultRowHeight="13.8"/>
  <cols>
    <col min="1" max="1" width="11.8984375" style="5" customWidth="1"/>
    <col min="2" max="2" width="11.8984375" bestFit="1" customWidth="1"/>
    <col min="3" max="3" width="28.8984375" bestFit="1" customWidth="1"/>
    <col min="4" max="4" width="23" bestFit="1" customWidth="1"/>
    <col min="5" max="5" width="13.8984375" customWidth="1"/>
  </cols>
  <sheetData>
    <row r="1" spans="1:5">
      <c r="A1" s="17" t="s">
        <v>0</v>
      </c>
      <c r="B1" s="16" t="s">
        <v>1</v>
      </c>
      <c r="C1" s="16" t="s">
        <v>2</v>
      </c>
      <c r="D1" s="16" t="s">
        <v>3</v>
      </c>
      <c r="E1" s="16" t="s">
        <v>4</v>
      </c>
    </row>
    <row r="2" spans="1:5">
      <c r="A2" s="14">
        <v>43466</v>
      </c>
      <c r="B2" s="12">
        <v>2501</v>
      </c>
      <c r="C2" s="12" t="s">
        <v>5</v>
      </c>
      <c r="D2" s="12" t="s">
        <v>6</v>
      </c>
      <c r="E2" s="12">
        <v>-165</v>
      </c>
    </row>
    <row r="3" spans="1:5">
      <c r="A3" s="15">
        <v>43466</v>
      </c>
      <c r="B3" s="13">
        <v>2502</v>
      </c>
      <c r="C3" s="13" t="s">
        <v>7</v>
      </c>
      <c r="D3" s="13" t="s">
        <v>8</v>
      </c>
      <c r="E3" s="13">
        <v>-4511</v>
      </c>
    </row>
    <row r="4" spans="1:5">
      <c r="A4" s="14">
        <v>43466</v>
      </c>
      <c r="B4" s="12">
        <v>2502</v>
      </c>
      <c r="C4" s="12" t="s">
        <v>7</v>
      </c>
      <c r="D4" s="12" t="s">
        <v>6</v>
      </c>
      <c r="E4" s="12">
        <v>-3602</v>
      </c>
    </row>
    <row r="5" spans="1:5">
      <c r="A5" s="15">
        <v>43466</v>
      </c>
      <c r="B5" s="13">
        <v>2505</v>
      </c>
      <c r="C5" s="13" t="s">
        <v>9</v>
      </c>
      <c r="D5" s="13" t="s">
        <v>10</v>
      </c>
      <c r="E5" s="13">
        <v>-529</v>
      </c>
    </row>
    <row r="6" spans="1:5">
      <c r="A6" s="14">
        <v>43466</v>
      </c>
      <c r="B6" s="12">
        <v>2507</v>
      </c>
      <c r="C6" s="12" t="s">
        <v>11</v>
      </c>
      <c r="D6" s="12" t="s">
        <v>12</v>
      </c>
      <c r="E6" s="12">
        <v>-2350</v>
      </c>
    </row>
    <row r="7" spans="1:5">
      <c r="A7" s="15">
        <v>43466</v>
      </c>
      <c r="B7" s="13">
        <v>2507</v>
      </c>
      <c r="C7" s="13" t="s">
        <v>11</v>
      </c>
      <c r="D7" s="13" t="s">
        <v>13</v>
      </c>
      <c r="E7" s="13">
        <v>-2040</v>
      </c>
    </row>
    <row r="8" spans="1:5">
      <c r="A8" s="14">
        <v>43466</v>
      </c>
      <c r="B8" s="12">
        <v>2507</v>
      </c>
      <c r="C8" s="12" t="s">
        <v>11</v>
      </c>
      <c r="D8" s="12" t="s">
        <v>8</v>
      </c>
      <c r="E8" s="12">
        <v>-1940</v>
      </c>
    </row>
    <row r="9" spans="1:5">
      <c r="A9" s="15">
        <v>43466</v>
      </c>
      <c r="B9" s="13">
        <v>2507</v>
      </c>
      <c r="C9" s="13" t="s">
        <v>11</v>
      </c>
      <c r="D9" s="13" t="s">
        <v>10</v>
      </c>
      <c r="E9" s="13">
        <v>-1520</v>
      </c>
    </row>
    <row r="10" spans="1:5">
      <c r="A10" s="14">
        <v>43466</v>
      </c>
      <c r="B10" s="12">
        <v>2507</v>
      </c>
      <c r="C10" s="12" t="s">
        <v>11</v>
      </c>
      <c r="D10" s="12" t="s">
        <v>6</v>
      </c>
      <c r="E10" s="12">
        <v>-1730</v>
      </c>
    </row>
    <row r="11" spans="1:5">
      <c r="A11" s="15">
        <v>43466</v>
      </c>
      <c r="B11" s="13">
        <v>2507</v>
      </c>
      <c r="C11" s="13" t="s">
        <v>11</v>
      </c>
      <c r="D11" s="13" t="s">
        <v>14</v>
      </c>
      <c r="E11" s="13">
        <v>-1140</v>
      </c>
    </row>
    <row r="12" spans="1:5">
      <c r="A12" s="14">
        <v>43466</v>
      </c>
      <c r="B12" s="12">
        <v>2508</v>
      </c>
      <c r="C12" s="12" t="s">
        <v>15</v>
      </c>
      <c r="D12" s="12" t="s">
        <v>6</v>
      </c>
      <c r="E12" s="12">
        <v>-62557</v>
      </c>
    </row>
    <row r="13" spans="1:5">
      <c r="A13" s="15">
        <v>43466</v>
      </c>
      <c r="B13" s="13">
        <v>2512</v>
      </c>
      <c r="C13" s="13" t="s">
        <v>16</v>
      </c>
      <c r="D13" s="13" t="s">
        <v>6</v>
      </c>
      <c r="E13" s="13">
        <v>-1794</v>
      </c>
    </row>
    <row r="14" spans="1:5">
      <c r="A14" s="14">
        <v>43466</v>
      </c>
      <c r="B14" s="12">
        <v>2513</v>
      </c>
      <c r="C14" s="12" t="s">
        <v>17</v>
      </c>
      <c r="D14" s="12" t="s">
        <v>10</v>
      </c>
      <c r="E14" s="12">
        <v>-928</v>
      </c>
    </row>
    <row r="15" spans="1:5">
      <c r="A15" s="15">
        <v>43466</v>
      </c>
      <c r="B15" s="13">
        <v>2000</v>
      </c>
      <c r="C15" s="13" t="s">
        <v>18</v>
      </c>
      <c r="D15" s="13" t="s">
        <v>19</v>
      </c>
      <c r="E15" s="13">
        <v>-134493</v>
      </c>
    </row>
    <row r="16" spans="1:5">
      <c r="A16" s="14">
        <v>43466</v>
      </c>
      <c r="B16" s="12">
        <v>2512</v>
      </c>
      <c r="C16" s="12" t="s">
        <v>16</v>
      </c>
      <c r="D16" s="12" t="s">
        <v>19</v>
      </c>
      <c r="E16" s="12">
        <v>-7400</v>
      </c>
    </row>
    <row r="17" spans="1:5">
      <c r="A17" s="15">
        <v>43466</v>
      </c>
      <c r="B17" s="13">
        <v>2507</v>
      </c>
      <c r="C17" s="13" t="s">
        <v>11</v>
      </c>
      <c r="D17" s="13" t="s">
        <v>19</v>
      </c>
      <c r="E17" s="13">
        <v>-2140</v>
      </c>
    </row>
    <row r="18" spans="1:5">
      <c r="A18" s="14">
        <v>43466</v>
      </c>
      <c r="B18" s="12">
        <v>2514</v>
      </c>
      <c r="C18" s="12" t="s">
        <v>20</v>
      </c>
      <c r="D18" s="12" t="s">
        <v>19</v>
      </c>
      <c r="E18" s="12">
        <v>-911</v>
      </c>
    </row>
    <row r="19" spans="1:5">
      <c r="A19" s="15">
        <v>43466</v>
      </c>
      <c r="B19" s="13">
        <v>2504</v>
      </c>
      <c r="C19" s="13" t="s">
        <v>21</v>
      </c>
      <c r="D19" s="13" t="s">
        <v>19</v>
      </c>
      <c r="E19" s="13">
        <v>-818</v>
      </c>
    </row>
    <row r="20" spans="1:5">
      <c r="A20" s="14">
        <v>43466</v>
      </c>
      <c r="B20" s="12">
        <v>2505</v>
      </c>
      <c r="C20" s="12" t="s">
        <v>9</v>
      </c>
      <c r="D20" s="12" t="s">
        <v>19</v>
      </c>
      <c r="E20" s="12">
        <v>-580</v>
      </c>
    </row>
    <row r="21" spans="1:5">
      <c r="A21" s="15">
        <v>43466</v>
      </c>
      <c r="B21" s="13">
        <v>2503</v>
      </c>
      <c r="C21" s="13" t="s">
        <v>22</v>
      </c>
      <c r="D21" s="13" t="s">
        <v>19</v>
      </c>
      <c r="E21" s="13">
        <v>-309</v>
      </c>
    </row>
    <row r="22" spans="1:5">
      <c r="A22" s="14">
        <v>43466</v>
      </c>
      <c r="B22" s="12">
        <v>2505</v>
      </c>
      <c r="C22" s="12" t="s">
        <v>9</v>
      </c>
      <c r="D22" s="12" t="s">
        <v>19</v>
      </c>
      <c r="E22" s="12">
        <v>-309</v>
      </c>
    </row>
    <row r="23" spans="1:5">
      <c r="A23" s="15">
        <v>43466</v>
      </c>
      <c r="B23" s="13">
        <v>2503</v>
      </c>
      <c r="C23" s="13" t="s">
        <v>22</v>
      </c>
      <c r="D23" s="13" t="s">
        <v>19</v>
      </c>
      <c r="E23" s="13">
        <v>-266</v>
      </c>
    </row>
    <row r="24" spans="1:5">
      <c r="A24" s="14">
        <v>43466</v>
      </c>
      <c r="B24" s="12">
        <v>2501</v>
      </c>
      <c r="C24" s="12" t="s">
        <v>5</v>
      </c>
      <c r="D24" s="12" t="s">
        <v>19</v>
      </c>
      <c r="E24" s="12">
        <v>-71</v>
      </c>
    </row>
    <row r="25" spans="1:5">
      <c r="A25" s="15">
        <v>43466</v>
      </c>
      <c r="B25" s="13">
        <v>1000</v>
      </c>
      <c r="C25" s="13" t="s">
        <v>23</v>
      </c>
      <c r="D25" s="13" t="s">
        <v>19</v>
      </c>
      <c r="E25" s="13">
        <v>1153837</v>
      </c>
    </row>
    <row r="26" spans="1:5">
      <c r="A26" s="14">
        <v>43467</v>
      </c>
      <c r="B26" s="12">
        <v>2502</v>
      </c>
      <c r="C26" s="12" t="s">
        <v>7</v>
      </c>
      <c r="D26" s="12" t="s">
        <v>8</v>
      </c>
      <c r="E26" s="12">
        <v>-6287</v>
      </c>
    </row>
    <row r="27" spans="1:5">
      <c r="A27" s="15">
        <v>43467</v>
      </c>
      <c r="B27" s="13">
        <v>2503</v>
      </c>
      <c r="C27" s="13" t="s">
        <v>22</v>
      </c>
      <c r="D27" s="13" t="s">
        <v>10</v>
      </c>
      <c r="E27" s="13">
        <v>-270</v>
      </c>
    </row>
    <row r="28" spans="1:5">
      <c r="A28" s="14">
        <v>43467</v>
      </c>
      <c r="B28" s="12">
        <v>2505</v>
      </c>
      <c r="C28" s="12" t="s">
        <v>9</v>
      </c>
      <c r="D28" s="12" t="s">
        <v>10</v>
      </c>
      <c r="E28" s="12">
        <v>-516</v>
      </c>
    </row>
    <row r="29" spans="1:5">
      <c r="A29" s="15">
        <v>43467</v>
      </c>
      <c r="B29" s="13">
        <v>2512</v>
      </c>
      <c r="C29" s="13" t="s">
        <v>16</v>
      </c>
      <c r="D29" s="13" t="s">
        <v>8</v>
      </c>
      <c r="E29" s="13">
        <v>-1857</v>
      </c>
    </row>
    <row r="30" spans="1:5">
      <c r="A30" s="14">
        <v>43467</v>
      </c>
      <c r="B30" s="12">
        <v>2513</v>
      </c>
      <c r="C30" s="12" t="s">
        <v>17</v>
      </c>
      <c r="D30" s="12" t="s">
        <v>6</v>
      </c>
      <c r="E30" s="12">
        <v>-1110</v>
      </c>
    </row>
    <row r="31" spans="1:5">
      <c r="A31" s="15">
        <v>43467</v>
      </c>
      <c r="B31" s="13">
        <v>2514</v>
      </c>
      <c r="C31" s="13" t="s">
        <v>20</v>
      </c>
      <c r="D31" s="13" t="s">
        <v>10</v>
      </c>
      <c r="E31" s="13">
        <v>-1588</v>
      </c>
    </row>
    <row r="32" spans="1:5">
      <c r="A32" s="14">
        <v>43467</v>
      </c>
      <c r="B32" s="12">
        <v>2510</v>
      </c>
      <c r="C32" s="12" t="s">
        <v>24</v>
      </c>
      <c r="D32" s="12" t="s">
        <v>13</v>
      </c>
      <c r="E32" s="12">
        <v>-1210</v>
      </c>
    </row>
    <row r="33" spans="1:5">
      <c r="A33" s="15">
        <v>43467</v>
      </c>
      <c r="B33" s="13">
        <v>2508</v>
      </c>
      <c r="C33" s="13" t="s">
        <v>15</v>
      </c>
      <c r="D33" s="13" t="s">
        <v>19</v>
      </c>
      <c r="E33" s="13">
        <v>-56665</v>
      </c>
    </row>
    <row r="34" spans="1:5">
      <c r="A34" s="14">
        <v>43467</v>
      </c>
      <c r="B34" s="12">
        <v>2508</v>
      </c>
      <c r="C34" s="12" t="s">
        <v>15</v>
      </c>
      <c r="D34" s="12" t="s">
        <v>19</v>
      </c>
      <c r="E34" s="12">
        <v>-45510</v>
      </c>
    </row>
    <row r="35" spans="1:5">
      <c r="A35" s="15">
        <v>43467</v>
      </c>
      <c r="B35" s="13">
        <v>2504</v>
      </c>
      <c r="C35" s="13" t="s">
        <v>21</v>
      </c>
      <c r="D35" s="13" t="s">
        <v>19</v>
      </c>
      <c r="E35" s="13">
        <v>-1209</v>
      </c>
    </row>
    <row r="36" spans="1:5">
      <c r="A36" s="14">
        <v>43467</v>
      </c>
      <c r="B36" s="12">
        <v>2505</v>
      </c>
      <c r="C36" s="12" t="s">
        <v>9</v>
      </c>
      <c r="D36" s="12" t="s">
        <v>19</v>
      </c>
      <c r="E36" s="12">
        <v>-578</v>
      </c>
    </row>
    <row r="37" spans="1:5">
      <c r="A37" s="15">
        <v>43468</v>
      </c>
      <c r="B37" s="13">
        <v>2502</v>
      </c>
      <c r="C37" s="13" t="s">
        <v>7</v>
      </c>
      <c r="D37" s="13" t="s">
        <v>12</v>
      </c>
      <c r="E37" s="13">
        <v>-4668</v>
      </c>
    </row>
    <row r="38" spans="1:5">
      <c r="A38" s="14">
        <v>43468</v>
      </c>
      <c r="B38" s="12">
        <v>2503</v>
      </c>
      <c r="C38" s="12" t="s">
        <v>22</v>
      </c>
      <c r="D38" s="12" t="s">
        <v>13</v>
      </c>
      <c r="E38" s="12">
        <v>-234</v>
      </c>
    </row>
    <row r="39" spans="1:5">
      <c r="A39" s="15">
        <v>43468</v>
      </c>
      <c r="B39" s="13">
        <v>2503</v>
      </c>
      <c r="C39" s="13" t="s">
        <v>22</v>
      </c>
      <c r="D39" s="13" t="s">
        <v>8</v>
      </c>
      <c r="E39" s="13">
        <v>-405</v>
      </c>
    </row>
    <row r="40" spans="1:5">
      <c r="A40" s="14">
        <v>43468</v>
      </c>
      <c r="B40" s="12">
        <v>2512</v>
      </c>
      <c r="C40" s="12" t="s">
        <v>16</v>
      </c>
      <c r="D40" s="12" t="s">
        <v>14</v>
      </c>
      <c r="E40" s="12">
        <v>-2539</v>
      </c>
    </row>
    <row r="41" spans="1:5">
      <c r="A41" s="15">
        <v>43468</v>
      </c>
      <c r="B41" s="13">
        <v>2512</v>
      </c>
      <c r="C41" s="13" t="s">
        <v>16</v>
      </c>
      <c r="D41" s="13" t="s">
        <v>14</v>
      </c>
      <c r="E41" s="13">
        <v>-3694</v>
      </c>
    </row>
    <row r="42" spans="1:5">
      <c r="A42" s="14">
        <v>43468</v>
      </c>
      <c r="B42" s="12">
        <v>2000</v>
      </c>
      <c r="C42" s="12" t="s">
        <v>18</v>
      </c>
      <c r="D42" s="12" t="s">
        <v>19</v>
      </c>
      <c r="E42" s="12">
        <v>-281668</v>
      </c>
    </row>
    <row r="43" spans="1:5">
      <c r="A43" s="15">
        <v>43468</v>
      </c>
      <c r="B43" s="13">
        <v>2508</v>
      </c>
      <c r="C43" s="13" t="s">
        <v>15</v>
      </c>
      <c r="D43" s="13" t="s">
        <v>19</v>
      </c>
      <c r="E43" s="13">
        <v>-41965</v>
      </c>
    </row>
    <row r="44" spans="1:5">
      <c r="A44" s="14">
        <v>43468</v>
      </c>
      <c r="B44" s="12">
        <v>2500</v>
      </c>
      <c r="C44" s="12" t="s">
        <v>25</v>
      </c>
      <c r="D44" s="12" t="s">
        <v>19</v>
      </c>
      <c r="E44" s="12">
        <v>-24586</v>
      </c>
    </row>
    <row r="45" spans="1:5">
      <c r="A45" s="15">
        <v>43468</v>
      </c>
      <c r="B45" s="13">
        <v>2502</v>
      </c>
      <c r="C45" s="13" t="s">
        <v>7</v>
      </c>
      <c r="D45" s="13" t="s">
        <v>19</v>
      </c>
      <c r="E45" s="13">
        <v>-4168</v>
      </c>
    </row>
    <row r="46" spans="1:5">
      <c r="A46" s="14">
        <v>43468</v>
      </c>
      <c r="B46" s="12">
        <v>2504</v>
      </c>
      <c r="C46" s="12" t="s">
        <v>21</v>
      </c>
      <c r="D46" s="12" t="s">
        <v>19</v>
      </c>
      <c r="E46" s="12">
        <v>-2035</v>
      </c>
    </row>
    <row r="47" spans="1:5">
      <c r="A47" s="15">
        <v>43468</v>
      </c>
      <c r="B47" s="13">
        <v>2504</v>
      </c>
      <c r="C47" s="13" t="s">
        <v>21</v>
      </c>
      <c r="D47" s="13" t="s">
        <v>19</v>
      </c>
      <c r="E47" s="13">
        <v>-1286</v>
      </c>
    </row>
    <row r="48" spans="1:5">
      <c r="A48" s="14">
        <v>43468</v>
      </c>
      <c r="B48" s="12">
        <v>2503</v>
      </c>
      <c r="C48" s="12" t="s">
        <v>22</v>
      </c>
      <c r="D48" s="12" t="s">
        <v>19</v>
      </c>
      <c r="E48" s="12">
        <v>-210</v>
      </c>
    </row>
    <row r="49" spans="1:5">
      <c r="A49" s="15">
        <v>43469</v>
      </c>
      <c r="B49" s="13">
        <v>2501</v>
      </c>
      <c r="C49" s="13" t="s">
        <v>5</v>
      </c>
      <c r="D49" s="13" t="s">
        <v>14</v>
      </c>
      <c r="E49" s="13">
        <v>-151</v>
      </c>
    </row>
    <row r="50" spans="1:5">
      <c r="A50" s="14">
        <v>43469</v>
      </c>
      <c r="B50" s="12">
        <v>2502</v>
      </c>
      <c r="C50" s="12" t="s">
        <v>7</v>
      </c>
      <c r="D50" s="12" t="s">
        <v>13</v>
      </c>
      <c r="E50" s="12">
        <v>-2985</v>
      </c>
    </row>
    <row r="51" spans="1:5">
      <c r="A51" s="15">
        <v>43469</v>
      </c>
      <c r="B51" s="13">
        <v>2502</v>
      </c>
      <c r="C51" s="13" t="s">
        <v>7</v>
      </c>
      <c r="D51" s="13" t="s">
        <v>12</v>
      </c>
      <c r="E51" s="13">
        <v>-5745</v>
      </c>
    </row>
    <row r="52" spans="1:5">
      <c r="A52" s="14">
        <v>43469</v>
      </c>
      <c r="B52" s="12">
        <v>2503</v>
      </c>
      <c r="C52" s="12" t="s">
        <v>22</v>
      </c>
      <c r="D52" s="12" t="s">
        <v>8</v>
      </c>
      <c r="E52" s="12">
        <v>-425</v>
      </c>
    </row>
    <row r="53" spans="1:5">
      <c r="A53" s="15">
        <v>43469</v>
      </c>
      <c r="B53" s="13">
        <v>2505</v>
      </c>
      <c r="C53" s="13" t="s">
        <v>9</v>
      </c>
      <c r="D53" s="13" t="s">
        <v>8</v>
      </c>
      <c r="E53" s="13">
        <v>-670</v>
      </c>
    </row>
    <row r="54" spans="1:5">
      <c r="A54" s="14">
        <v>43469</v>
      </c>
      <c r="B54" s="12">
        <v>2508</v>
      </c>
      <c r="C54" s="12" t="s">
        <v>15</v>
      </c>
      <c r="D54" s="12" t="s">
        <v>12</v>
      </c>
      <c r="E54" s="12">
        <v>-114546</v>
      </c>
    </row>
    <row r="55" spans="1:5">
      <c r="A55" s="15">
        <v>43469</v>
      </c>
      <c r="B55" s="13">
        <v>2500</v>
      </c>
      <c r="C55" s="13" t="s">
        <v>25</v>
      </c>
      <c r="D55" s="13" t="s">
        <v>19</v>
      </c>
      <c r="E55" s="13">
        <v>-51844</v>
      </c>
    </row>
    <row r="56" spans="1:5">
      <c r="A56" s="14">
        <v>43469</v>
      </c>
      <c r="B56" s="12">
        <v>1500</v>
      </c>
      <c r="C56" s="12" t="s">
        <v>26</v>
      </c>
      <c r="D56" s="12" t="s">
        <v>19</v>
      </c>
      <c r="E56" s="12">
        <v>-20492</v>
      </c>
    </row>
    <row r="57" spans="1:5">
      <c r="A57" s="15">
        <v>43469</v>
      </c>
      <c r="B57" s="13">
        <v>1500</v>
      </c>
      <c r="C57" s="13" t="s">
        <v>26</v>
      </c>
      <c r="D57" s="13" t="s">
        <v>19</v>
      </c>
      <c r="E57" s="13">
        <v>-11674</v>
      </c>
    </row>
    <row r="58" spans="1:5">
      <c r="A58" s="14">
        <v>43469</v>
      </c>
      <c r="B58" s="12">
        <v>2502</v>
      </c>
      <c r="C58" s="12" t="s">
        <v>7</v>
      </c>
      <c r="D58" s="12" t="s">
        <v>19</v>
      </c>
      <c r="E58" s="12">
        <v>-5459</v>
      </c>
    </row>
    <row r="59" spans="1:5">
      <c r="A59" s="15">
        <v>43469</v>
      </c>
      <c r="B59" s="13">
        <v>2504</v>
      </c>
      <c r="C59" s="13" t="s">
        <v>21</v>
      </c>
      <c r="D59" s="13" t="s">
        <v>19</v>
      </c>
      <c r="E59" s="13">
        <v>-2005</v>
      </c>
    </row>
    <row r="60" spans="1:5">
      <c r="A60" s="14">
        <v>43469</v>
      </c>
      <c r="B60" s="12">
        <v>2513</v>
      </c>
      <c r="C60" s="12" t="s">
        <v>17</v>
      </c>
      <c r="D60" s="12" t="s">
        <v>19</v>
      </c>
      <c r="E60" s="12">
        <v>-862</v>
      </c>
    </row>
    <row r="61" spans="1:5">
      <c r="A61" s="15">
        <v>43469</v>
      </c>
      <c r="B61" s="13">
        <v>2501</v>
      </c>
      <c r="C61" s="13" t="s">
        <v>5</v>
      </c>
      <c r="D61" s="13" t="s">
        <v>19</v>
      </c>
      <c r="E61" s="13">
        <v>-63</v>
      </c>
    </row>
    <row r="62" spans="1:5">
      <c r="A62" s="14">
        <v>43469</v>
      </c>
      <c r="B62" s="12">
        <v>1000</v>
      </c>
      <c r="C62" s="12" t="s">
        <v>23</v>
      </c>
      <c r="D62" s="12" t="s">
        <v>19</v>
      </c>
      <c r="E62" s="12">
        <v>1115543</v>
      </c>
    </row>
    <row r="63" spans="1:5">
      <c r="A63" s="15">
        <v>43469</v>
      </c>
      <c r="B63" s="13">
        <v>1000</v>
      </c>
      <c r="C63" s="13" t="s">
        <v>23</v>
      </c>
      <c r="D63" s="13" t="s">
        <v>19</v>
      </c>
      <c r="E63" s="13">
        <v>1152334</v>
      </c>
    </row>
    <row r="64" spans="1:5">
      <c r="A64" s="14">
        <v>43470</v>
      </c>
      <c r="B64" s="12">
        <v>2502</v>
      </c>
      <c r="C64" s="12" t="s">
        <v>7</v>
      </c>
      <c r="D64" s="12" t="s">
        <v>6</v>
      </c>
      <c r="E64" s="12">
        <v>-4645</v>
      </c>
    </row>
    <row r="65" spans="1:5">
      <c r="A65" s="15">
        <v>43470</v>
      </c>
      <c r="B65" s="13">
        <v>2502</v>
      </c>
      <c r="C65" s="13" t="s">
        <v>7</v>
      </c>
      <c r="D65" s="13" t="s">
        <v>12</v>
      </c>
      <c r="E65" s="13">
        <v>-7569</v>
      </c>
    </row>
    <row r="66" spans="1:5">
      <c r="A66" s="14">
        <v>43470</v>
      </c>
      <c r="B66" s="12">
        <v>2505</v>
      </c>
      <c r="C66" s="12" t="s">
        <v>9</v>
      </c>
      <c r="D66" s="12" t="s">
        <v>12</v>
      </c>
      <c r="E66" s="12">
        <v>-797</v>
      </c>
    </row>
    <row r="67" spans="1:5">
      <c r="A67" s="15">
        <v>43470</v>
      </c>
      <c r="B67" s="13">
        <v>2508</v>
      </c>
      <c r="C67" s="13" t="s">
        <v>15</v>
      </c>
      <c r="D67" s="13" t="s">
        <v>12</v>
      </c>
      <c r="E67" s="13">
        <v>-97468</v>
      </c>
    </row>
    <row r="68" spans="1:5">
      <c r="A68" s="14">
        <v>43470</v>
      </c>
      <c r="B68" s="12">
        <v>2508</v>
      </c>
      <c r="C68" s="12" t="s">
        <v>15</v>
      </c>
      <c r="D68" s="12" t="s">
        <v>12</v>
      </c>
      <c r="E68" s="12">
        <v>-91246</v>
      </c>
    </row>
    <row r="69" spans="1:5">
      <c r="A69" s="15">
        <v>43470</v>
      </c>
      <c r="B69" s="13">
        <v>2513</v>
      </c>
      <c r="C69" s="13" t="s">
        <v>17</v>
      </c>
      <c r="D69" s="13" t="s">
        <v>12</v>
      </c>
      <c r="E69" s="13">
        <v>-926</v>
      </c>
    </row>
    <row r="70" spans="1:5">
      <c r="A70" s="14">
        <v>43470</v>
      </c>
      <c r="B70" s="12">
        <v>2513</v>
      </c>
      <c r="C70" s="12" t="s">
        <v>17</v>
      </c>
      <c r="D70" s="12" t="s">
        <v>8</v>
      </c>
      <c r="E70" s="12">
        <v>-1049</v>
      </c>
    </row>
    <row r="71" spans="1:5">
      <c r="A71" s="15">
        <v>43470</v>
      </c>
      <c r="B71" s="13">
        <v>2514</v>
      </c>
      <c r="C71" s="13" t="s">
        <v>20</v>
      </c>
      <c r="D71" s="13" t="s">
        <v>10</v>
      </c>
      <c r="E71" s="13">
        <v>-1433</v>
      </c>
    </row>
    <row r="72" spans="1:5">
      <c r="A72" s="14">
        <v>43470</v>
      </c>
      <c r="B72" s="12">
        <v>2510</v>
      </c>
      <c r="C72" s="12" t="s">
        <v>24</v>
      </c>
      <c r="D72" s="12" t="s">
        <v>10</v>
      </c>
      <c r="E72" s="12">
        <v>-1858</v>
      </c>
    </row>
    <row r="73" spans="1:5">
      <c r="A73" s="15">
        <v>43470</v>
      </c>
      <c r="B73" s="13">
        <v>2508</v>
      </c>
      <c r="C73" s="13" t="s">
        <v>15</v>
      </c>
      <c r="D73" s="13" t="s">
        <v>19</v>
      </c>
      <c r="E73" s="13">
        <v>-65411</v>
      </c>
    </row>
    <row r="74" spans="1:5">
      <c r="A74" s="14">
        <v>43470</v>
      </c>
      <c r="B74" s="12">
        <v>2508</v>
      </c>
      <c r="C74" s="12" t="s">
        <v>15</v>
      </c>
      <c r="D74" s="12" t="s">
        <v>19</v>
      </c>
      <c r="E74" s="12">
        <v>-52406</v>
      </c>
    </row>
    <row r="75" spans="1:5">
      <c r="A75" s="15">
        <v>43470</v>
      </c>
      <c r="B75" s="13">
        <v>2502</v>
      </c>
      <c r="C75" s="13" t="s">
        <v>7</v>
      </c>
      <c r="D75" s="13" t="s">
        <v>19</v>
      </c>
      <c r="E75" s="13">
        <v>-3668</v>
      </c>
    </row>
    <row r="76" spans="1:5">
      <c r="A76" s="14">
        <v>43470</v>
      </c>
      <c r="B76" s="12">
        <v>2510</v>
      </c>
      <c r="C76" s="12" t="s">
        <v>24</v>
      </c>
      <c r="D76" s="12" t="s">
        <v>19</v>
      </c>
      <c r="E76" s="12">
        <v>-934</v>
      </c>
    </row>
    <row r="77" spans="1:5">
      <c r="A77" s="15">
        <v>43470</v>
      </c>
      <c r="B77" s="13">
        <v>2503</v>
      </c>
      <c r="C77" s="13" t="s">
        <v>22</v>
      </c>
      <c r="D77" s="13" t="s">
        <v>19</v>
      </c>
      <c r="E77" s="13">
        <v>-295</v>
      </c>
    </row>
    <row r="78" spans="1:5">
      <c r="A78" s="14">
        <v>43470</v>
      </c>
      <c r="B78" s="12">
        <v>2501</v>
      </c>
      <c r="C78" s="12" t="s">
        <v>5</v>
      </c>
      <c r="D78" s="12" t="s">
        <v>19</v>
      </c>
      <c r="E78" s="12">
        <v>-144</v>
      </c>
    </row>
    <row r="79" spans="1:5">
      <c r="A79" s="15">
        <v>43470</v>
      </c>
      <c r="B79" s="13">
        <v>1000</v>
      </c>
      <c r="C79" s="13" t="s">
        <v>23</v>
      </c>
      <c r="D79" s="13" t="s">
        <v>19</v>
      </c>
      <c r="E79" s="13">
        <v>927992</v>
      </c>
    </row>
    <row r="80" spans="1:5">
      <c r="A80" s="14">
        <v>43471</v>
      </c>
      <c r="B80" s="12">
        <v>2000</v>
      </c>
      <c r="C80" s="12" t="s">
        <v>18</v>
      </c>
      <c r="D80" s="12" t="s">
        <v>19</v>
      </c>
      <c r="E80" s="12">
        <v>-274711</v>
      </c>
    </row>
    <row r="81" spans="1:5">
      <c r="A81" s="15">
        <v>43471</v>
      </c>
      <c r="B81" s="13">
        <v>2505</v>
      </c>
      <c r="C81" s="13" t="s">
        <v>9</v>
      </c>
      <c r="D81" s="13" t="s">
        <v>6</v>
      </c>
      <c r="E81" s="13">
        <v>-650</v>
      </c>
    </row>
    <row r="82" spans="1:5">
      <c r="A82" s="14">
        <v>43471</v>
      </c>
      <c r="B82" s="12">
        <v>2505</v>
      </c>
      <c r="C82" s="12" t="s">
        <v>9</v>
      </c>
      <c r="D82" s="12" t="s">
        <v>6</v>
      </c>
      <c r="E82" s="12">
        <v>-430</v>
      </c>
    </row>
    <row r="83" spans="1:5">
      <c r="A83" s="15">
        <v>43471</v>
      </c>
      <c r="B83" s="13">
        <v>2512</v>
      </c>
      <c r="C83" s="13" t="s">
        <v>16</v>
      </c>
      <c r="D83" s="13" t="s">
        <v>10</v>
      </c>
      <c r="E83" s="13">
        <v>-4444</v>
      </c>
    </row>
    <row r="84" spans="1:5">
      <c r="A84" s="14">
        <v>43471</v>
      </c>
      <c r="B84" s="12">
        <v>2510</v>
      </c>
      <c r="C84" s="12" t="s">
        <v>24</v>
      </c>
      <c r="D84" s="12" t="s">
        <v>10</v>
      </c>
      <c r="E84" s="12">
        <v>-1754</v>
      </c>
    </row>
    <row r="85" spans="1:5">
      <c r="A85" s="15">
        <v>43471</v>
      </c>
      <c r="B85" s="13">
        <v>2510</v>
      </c>
      <c r="C85" s="13" t="s">
        <v>24</v>
      </c>
      <c r="D85" s="13" t="s">
        <v>8</v>
      </c>
      <c r="E85" s="13">
        <v>-1701</v>
      </c>
    </row>
    <row r="86" spans="1:5">
      <c r="A86" s="14">
        <v>43471</v>
      </c>
      <c r="B86" s="12">
        <v>2500</v>
      </c>
      <c r="C86" s="12" t="s">
        <v>25</v>
      </c>
      <c r="D86" s="12" t="s">
        <v>19</v>
      </c>
      <c r="E86" s="12">
        <v>-13832</v>
      </c>
    </row>
    <row r="87" spans="1:5">
      <c r="A87" s="15">
        <v>43471</v>
      </c>
      <c r="B87" s="13">
        <v>2504</v>
      </c>
      <c r="C87" s="13" t="s">
        <v>21</v>
      </c>
      <c r="D87" s="13" t="s">
        <v>19</v>
      </c>
      <c r="E87" s="13">
        <v>-1617</v>
      </c>
    </row>
    <row r="88" spans="1:5">
      <c r="A88" s="14">
        <v>43471</v>
      </c>
      <c r="B88" s="12">
        <v>2504</v>
      </c>
      <c r="C88" s="12" t="s">
        <v>21</v>
      </c>
      <c r="D88" s="12" t="s">
        <v>19</v>
      </c>
      <c r="E88" s="12">
        <v>-1547</v>
      </c>
    </row>
    <row r="89" spans="1:5">
      <c r="A89" s="15">
        <v>43471</v>
      </c>
      <c r="B89" s="13">
        <v>1000</v>
      </c>
      <c r="C89" s="13" t="s">
        <v>23</v>
      </c>
      <c r="D89" s="13" t="s">
        <v>19</v>
      </c>
      <c r="E89" s="13">
        <v>545183</v>
      </c>
    </row>
    <row r="90" spans="1:5">
      <c r="A90" s="14">
        <v>43471</v>
      </c>
      <c r="B90" s="12">
        <v>1000</v>
      </c>
      <c r="C90" s="12" t="s">
        <v>23</v>
      </c>
      <c r="D90" s="12" t="s">
        <v>19</v>
      </c>
      <c r="E90" s="12">
        <v>554265</v>
      </c>
    </row>
    <row r="91" spans="1:5">
      <c r="A91" s="15">
        <v>43472</v>
      </c>
      <c r="B91" s="13">
        <v>2501</v>
      </c>
      <c r="C91" s="13" t="s">
        <v>5</v>
      </c>
      <c r="D91" s="13" t="s">
        <v>14</v>
      </c>
      <c r="E91" s="13">
        <v>-196</v>
      </c>
    </row>
    <row r="92" spans="1:5">
      <c r="A92" s="14">
        <v>43472</v>
      </c>
      <c r="B92" s="12">
        <v>2505</v>
      </c>
      <c r="C92" s="12" t="s">
        <v>9</v>
      </c>
      <c r="D92" s="12" t="s">
        <v>6</v>
      </c>
      <c r="E92" s="12">
        <v>-518</v>
      </c>
    </row>
    <row r="93" spans="1:5">
      <c r="A93" s="15">
        <v>43472</v>
      </c>
      <c r="B93" s="13">
        <v>2505</v>
      </c>
      <c r="C93" s="13" t="s">
        <v>9</v>
      </c>
      <c r="D93" s="13" t="s">
        <v>14</v>
      </c>
      <c r="E93" s="13">
        <v>-476</v>
      </c>
    </row>
    <row r="94" spans="1:5">
      <c r="A94" s="14">
        <v>43472</v>
      </c>
      <c r="B94" s="12">
        <v>2506</v>
      </c>
      <c r="C94" s="12" t="s">
        <v>27</v>
      </c>
      <c r="D94" s="12" t="s">
        <v>14</v>
      </c>
      <c r="E94" s="12">
        <v>-696</v>
      </c>
    </row>
    <row r="95" spans="1:5">
      <c r="A95" s="15">
        <v>43472</v>
      </c>
      <c r="B95" s="13">
        <v>2512</v>
      </c>
      <c r="C95" s="13" t="s">
        <v>16</v>
      </c>
      <c r="D95" s="13" t="s">
        <v>19</v>
      </c>
      <c r="E95" s="13">
        <v>-11732</v>
      </c>
    </row>
    <row r="96" spans="1:5">
      <c r="A96" s="14">
        <v>43472</v>
      </c>
      <c r="B96" s="12">
        <v>2502</v>
      </c>
      <c r="C96" s="12" t="s">
        <v>7</v>
      </c>
      <c r="D96" s="12" t="s">
        <v>19</v>
      </c>
      <c r="E96" s="12">
        <v>-6022</v>
      </c>
    </row>
    <row r="97" spans="1:5">
      <c r="A97" s="15">
        <v>43472</v>
      </c>
      <c r="B97" s="13">
        <v>2514</v>
      </c>
      <c r="C97" s="13" t="s">
        <v>20</v>
      </c>
      <c r="D97" s="13" t="s">
        <v>19</v>
      </c>
      <c r="E97" s="13">
        <v>-1139</v>
      </c>
    </row>
    <row r="98" spans="1:5">
      <c r="A98" s="14">
        <v>43472</v>
      </c>
      <c r="B98" s="12">
        <v>2513</v>
      </c>
      <c r="C98" s="12" t="s">
        <v>17</v>
      </c>
      <c r="D98" s="12" t="s">
        <v>19</v>
      </c>
      <c r="E98" s="12">
        <v>-439</v>
      </c>
    </row>
    <row r="99" spans="1:5">
      <c r="A99" s="15">
        <v>43472</v>
      </c>
      <c r="B99" s="13">
        <v>2503</v>
      </c>
      <c r="C99" s="13" t="s">
        <v>22</v>
      </c>
      <c r="D99" s="13" t="s">
        <v>19</v>
      </c>
      <c r="E99" s="13">
        <v>-288</v>
      </c>
    </row>
    <row r="100" spans="1:5">
      <c r="A100" s="14">
        <v>43472</v>
      </c>
      <c r="B100" s="12">
        <v>1000</v>
      </c>
      <c r="C100" s="12" t="s">
        <v>23</v>
      </c>
      <c r="D100" s="12" t="s">
        <v>19</v>
      </c>
      <c r="E100" s="12">
        <v>1014776</v>
      </c>
    </row>
    <row r="101" spans="1:5">
      <c r="A101" s="15">
        <v>43472</v>
      </c>
      <c r="B101" s="13">
        <v>1000</v>
      </c>
      <c r="C101" s="13" t="s">
        <v>23</v>
      </c>
      <c r="D101" s="13" t="s">
        <v>19</v>
      </c>
      <c r="E101" s="13">
        <v>1050910</v>
      </c>
    </row>
    <row r="102" spans="1:5">
      <c r="A102" s="14">
        <v>43473</v>
      </c>
      <c r="B102" s="12">
        <v>2501</v>
      </c>
      <c r="C102" s="12" t="s">
        <v>5</v>
      </c>
      <c r="D102" s="12" t="s">
        <v>14</v>
      </c>
      <c r="E102" s="12">
        <v>-130</v>
      </c>
    </row>
    <row r="103" spans="1:5">
      <c r="A103" s="15">
        <v>43473</v>
      </c>
      <c r="B103" s="13">
        <v>2505</v>
      </c>
      <c r="C103" s="13" t="s">
        <v>9</v>
      </c>
      <c r="D103" s="13" t="s">
        <v>6</v>
      </c>
      <c r="E103" s="13">
        <v>-546</v>
      </c>
    </row>
    <row r="104" spans="1:5">
      <c r="A104" s="14">
        <v>43473</v>
      </c>
      <c r="B104" s="12">
        <v>2508</v>
      </c>
      <c r="C104" s="12" t="s">
        <v>15</v>
      </c>
      <c r="D104" s="12" t="s">
        <v>13</v>
      </c>
      <c r="E104" s="12">
        <v>-59223</v>
      </c>
    </row>
    <row r="105" spans="1:5">
      <c r="A105" s="15">
        <v>43473</v>
      </c>
      <c r="B105" s="13">
        <v>2512</v>
      </c>
      <c r="C105" s="13" t="s">
        <v>16</v>
      </c>
      <c r="D105" s="13" t="s">
        <v>6</v>
      </c>
      <c r="E105" s="13">
        <v>-4219</v>
      </c>
    </row>
    <row r="106" spans="1:5">
      <c r="A106" s="14">
        <v>43473</v>
      </c>
      <c r="B106" s="12">
        <v>2512</v>
      </c>
      <c r="C106" s="12" t="s">
        <v>16</v>
      </c>
      <c r="D106" s="12" t="s">
        <v>14</v>
      </c>
      <c r="E106" s="12">
        <v>-3278</v>
      </c>
    </row>
    <row r="107" spans="1:5">
      <c r="A107" s="15">
        <v>43473</v>
      </c>
      <c r="B107" s="13">
        <v>2514</v>
      </c>
      <c r="C107" s="13" t="s">
        <v>20</v>
      </c>
      <c r="D107" s="13" t="s">
        <v>14</v>
      </c>
      <c r="E107" s="13">
        <v>-1379</v>
      </c>
    </row>
    <row r="108" spans="1:5">
      <c r="A108" s="14">
        <v>43473</v>
      </c>
      <c r="B108" s="12">
        <v>2510</v>
      </c>
      <c r="C108" s="12" t="s">
        <v>24</v>
      </c>
      <c r="D108" s="12" t="s">
        <v>12</v>
      </c>
      <c r="E108" s="12">
        <v>-2313</v>
      </c>
    </row>
    <row r="109" spans="1:5">
      <c r="A109" s="15">
        <v>43473</v>
      </c>
      <c r="B109" s="13">
        <v>2512</v>
      </c>
      <c r="C109" s="13" t="s">
        <v>16</v>
      </c>
      <c r="D109" s="13" t="s">
        <v>19</v>
      </c>
      <c r="E109" s="13">
        <v>-11536</v>
      </c>
    </row>
    <row r="110" spans="1:5">
      <c r="A110" s="14">
        <v>43473</v>
      </c>
      <c r="B110" s="12">
        <v>2504</v>
      </c>
      <c r="C110" s="12" t="s">
        <v>21</v>
      </c>
      <c r="D110" s="12" t="s">
        <v>19</v>
      </c>
      <c r="E110" s="12">
        <v>-2201</v>
      </c>
    </row>
    <row r="111" spans="1:5">
      <c r="A111" s="15">
        <v>43473</v>
      </c>
      <c r="B111" s="13">
        <v>2503</v>
      </c>
      <c r="C111" s="13" t="s">
        <v>22</v>
      </c>
      <c r="D111" s="13" t="s">
        <v>19</v>
      </c>
      <c r="E111" s="13">
        <v>-305</v>
      </c>
    </row>
    <row r="112" spans="1:5">
      <c r="A112" s="14">
        <v>43473</v>
      </c>
      <c r="B112" s="12">
        <v>2503</v>
      </c>
      <c r="C112" s="12" t="s">
        <v>22</v>
      </c>
      <c r="D112" s="12" t="s">
        <v>19</v>
      </c>
      <c r="E112" s="12">
        <v>-198</v>
      </c>
    </row>
    <row r="113" spans="1:5">
      <c r="A113" s="15">
        <v>43473</v>
      </c>
      <c r="B113" s="13">
        <v>2501</v>
      </c>
      <c r="C113" s="13" t="s">
        <v>5</v>
      </c>
      <c r="D113" s="13" t="s">
        <v>19</v>
      </c>
      <c r="E113" s="13">
        <v>-69</v>
      </c>
    </row>
    <row r="114" spans="1:5">
      <c r="A114" s="14">
        <v>43474</v>
      </c>
      <c r="B114" s="12">
        <v>2501</v>
      </c>
      <c r="C114" s="12" t="s">
        <v>5</v>
      </c>
      <c r="D114" s="12" t="s">
        <v>8</v>
      </c>
      <c r="E114" s="12">
        <v>-185</v>
      </c>
    </row>
    <row r="115" spans="1:5">
      <c r="A115" s="15">
        <v>43474</v>
      </c>
      <c r="B115" s="13">
        <v>2502</v>
      </c>
      <c r="C115" s="13" t="s">
        <v>7</v>
      </c>
      <c r="D115" s="13" t="s">
        <v>10</v>
      </c>
      <c r="E115" s="13">
        <v>-7181</v>
      </c>
    </row>
    <row r="116" spans="1:5">
      <c r="A116" s="14">
        <v>43474</v>
      </c>
      <c r="B116" s="12">
        <v>2508</v>
      </c>
      <c r="C116" s="12" t="s">
        <v>15</v>
      </c>
      <c r="D116" s="12" t="s">
        <v>13</v>
      </c>
      <c r="E116" s="12">
        <v>-57541</v>
      </c>
    </row>
    <row r="117" spans="1:5">
      <c r="A117" s="15">
        <v>43474</v>
      </c>
      <c r="B117" s="13">
        <v>2512</v>
      </c>
      <c r="C117" s="13" t="s">
        <v>16</v>
      </c>
      <c r="D117" s="13" t="s">
        <v>14</v>
      </c>
      <c r="E117" s="13">
        <v>-3222</v>
      </c>
    </row>
    <row r="118" spans="1:5">
      <c r="A118" s="14">
        <v>43474</v>
      </c>
      <c r="B118" s="12">
        <v>2513</v>
      </c>
      <c r="C118" s="12" t="s">
        <v>17</v>
      </c>
      <c r="D118" s="12" t="s">
        <v>6</v>
      </c>
      <c r="E118" s="12">
        <v>-529</v>
      </c>
    </row>
    <row r="119" spans="1:5">
      <c r="A119" s="15">
        <v>43474</v>
      </c>
      <c r="B119" s="13">
        <v>2513</v>
      </c>
      <c r="C119" s="13" t="s">
        <v>17</v>
      </c>
      <c r="D119" s="13" t="s">
        <v>12</v>
      </c>
      <c r="E119" s="13">
        <v>-1100</v>
      </c>
    </row>
    <row r="120" spans="1:5">
      <c r="A120" s="14">
        <v>43474</v>
      </c>
      <c r="B120" s="12">
        <v>2000</v>
      </c>
      <c r="C120" s="12" t="s">
        <v>18</v>
      </c>
      <c r="D120" s="12" t="s">
        <v>19</v>
      </c>
      <c r="E120" s="12">
        <v>-207832</v>
      </c>
    </row>
    <row r="121" spans="1:5">
      <c r="A121" s="15">
        <v>43474</v>
      </c>
      <c r="B121" s="13">
        <v>2502</v>
      </c>
      <c r="C121" s="13" t="s">
        <v>7</v>
      </c>
      <c r="D121" s="13" t="s">
        <v>19</v>
      </c>
      <c r="E121" s="13">
        <v>-4015</v>
      </c>
    </row>
    <row r="122" spans="1:5">
      <c r="A122" s="14">
        <v>43474</v>
      </c>
      <c r="B122" s="12">
        <v>2510</v>
      </c>
      <c r="C122" s="12" t="s">
        <v>24</v>
      </c>
      <c r="D122" s="12" t="s">
        <v>19</v>
      </c>
      <c r="E122" s="12">
        <v>-1144</v>
      </c>
    </row>
    <row r="123" spans="1:5">
      <c r="A123" s="15">
        <v>43474</v>
      </c>
      <c r="B123" s="13">
        <v>1000</v>
      </c>
      <c r="C123" s="13" t="s">
        <v>23</v>
      </c>
      <c r="D123" s="13" t="s">
        <v>19</v>
      </c>
      <c r="E123" s="13">
        <v>1078317</v>
      </c>
    </row>
    <row r="124" spans="1:5">
      <c r="A124" s="14">
        <v>43475</v>
      </c>
      <c r="B124" s="12">
        <v>2501</v>
      </c>
      <c r="C124" s="12" t="s">
        <v>5</v>
      </c>
      <c r="D124" s="12" t="s">
        <v>6</v>
      </c>
      <c r="E124" s="12">
        <v>-150</v>
      </c>
    </row>
    <row r="125" spans="1:5">
      <c r="A125" s="15">
        <v>43475</v>
      </c>
      <c r="B125" s="13">
        <v>2501</v>
      </c>
      <c r="C125" s="13" t="s">
        <v>5</v>
      </c>
      <c r="D125" s="13" t="s">
        <v>12</v>
      </c>
      <c r="E125" s="13">
        <v>-245</v>
      </c>
    </row>
    <row r="126" spans="1:5">
      <c r="A126" s="14">
        <v>43475</v>
      </c>
      <c r="B126" s="12">
        <v>2501</v>
      </c>
      <c r="C126" s="12" t="s">
        <v>5</v>
      </c>
      <c r="D126" s="12" t="s">
        <v>13</v>
      </c>
      <c r="E126" s="12">
        <v>-103</v>
      </c>
    </row>
    <row r="127" spans="1:5">
      <c r="A127" s="15">
        <v>43475</v>
      </c>
      <c r="B127" s="13">
        <v>2501</v>
      </c>
      <c r="C127" s="13" t="s">
        <v>5</v>
      </c>
      <c r="D127" s="13" t="s">
        <v>10</v>
      </c>
      <c r="E127" s="13">
        <v>-101</v>
      </c>
    </row>
    <row r="128" spans="1:5">
      <c r="A128" s="14">
        <v>43475</v>
      </c>
      <c r="B128" s="12">
        <v>2501</v>
      </c>
      <c r="C128" s="12" t="s">
        <v>5</v>
      </c>
      <c r="D128" s="12" t="s">
        <v>10</v>
      </c>
      <c r="E128" s="12">
        <v>-123</v>
      </c>
    </row>
    <row r="129" spans="1:5">
      <c r="A129" s="15">
        <v>43475</v>
      </c>
      <c r="B129" s="13">
        <v>2508</v>
      </c>
      <c r="C129" s="13" t="s">
        <v>15</v>
      </c>
      <c r="D129" s="13" t="s">
        <v>19</v>
      </c>
      <c r="E129" s="13">
        <v>-65101</v>
      </c>
    </row>
    <row r="130" spans="1:5">
      <c r="A130" s="14">
        <v>43475</v>
      </c>
      <c r="B130" s="12">
        <v>2500</v>
      </c>
      <c r="C130" s="12" t="s">
        <v>25</v>
      </c>
      <c r="D130" s="12" t="s">
        <v>19</v>
      </c>
      <c r="E130" s="12">
        <v>-43060</v>
      </c>
    </row>
    <row r="131" spans="1:5">
      <c r="A131" s="15">
        <v>43475</v>
      </c>
      <c r="B131" s="13">
        <v>1500</v>
      </c>
      <c r="C131" s="13" t="s">
        <v>26</v>
      </c>
      <c r="D131" s="13" t="s">
        <v>19</v>
      </c>
      <c r="E131" s="13">
        <v>-17137</v>
      </c>
    </row>
    <row r="132" spans="1:5">
      <c r="A132" s="14">
        <v>43475</v>
      </c>
      <c r="B132" s="12">
        <v>2512</v>
      </c>
      <c r="C132" s="12" t="s">
        <v>16</v>
      </c>
      <c r="D132" s="12" t="s">
        <v>19</v>
      </c>
      <c r="E132" s="12">
        <v>-9926</v>
      </c>
    </row>
    <row r="133" spans="1:5">
      <c r="A133" s="15">
        <v>43475</v>
      </c>
      <c r="B133" s="13">
        <v>2502</v>
      </c>
      <c r="C133" s="13" t="s">
        <v>7</v>
      </c>
      <c r="D133" s="13" t="s">
        <v>19</v>
      </c>
      <c r="E133" s="13">
        <v>-3668</v>
      </c>
    </row>
    <row r="134" spans="1:5">
      <c r="A134" s="14">
        <v>43475</v>
      </c>
      <c r="B134" s="12">
        <v>2502</v>
      </c>
      <c r="C134" s="12" t="s">
        <v>7</v>
      </c>
      <c r="D134" s="12" t="s">
        <v>19</v>
      </c>
      <c r="E134" s="12">
        <v>-2175</v>
      </c>
    </row>
    <row r="135" spans="1:5">
      <c r="A135" s="15">
        <v>43475</v>
      </c>
      <c r="B135" s="13">
        <v>2510</v>
      </c>
      <c r="C135" s="13" t="s">
        <v>24</v>
      </c>
      <c r="D135" s="13" t="s">
        <v>19</v>
      </c>
      <c r="E135" s="13">
        <v>-1179</v>
      </c>
    </row>
    <row r="136" spans="1:5">
      <c r="A136" s="14">
        <v>43475</v>
      </c>
      <c r="B136" s="12">
        <v>2504</v>
      </c>
      <c r="C136" s="12" t="s">
        <v>21</v>
      </c>
      <c r="D136" s="12" t="s">
        <v>19</v>
      </c>
      <c r="E136" s="12">
        <v>-833</v>
      </c>
    </row>
    <row r="137" spans="1:5">
      <c r="A137" s="15">
        <v>43475</v>
      </c>
      <c r="B137" s="13">
        <v>2505</v>
      </c>
      <c r="C137" s="13" t="s">
        <v>9</v>
      </c>
      <c r="D137" s="13" t="s">
        <v>19</v>
      </c>
      <c r="E137" s="13">
        <v>-438</v>
      </c>
    </row>
    <row r="138" spans="1:5">
      <c r="A138" s="14">
        <v>43475</v>
      </c>
      <c r="B138" s="12">
        <v>2503</v>
      </c>
      <c r="C138" s="12" t="s">
        <v>22</v>
      </c>
      <c r="D138" s="12" t="s">
        <v>19</v>
      </c>
      <c r="E138" s="12">
        <v>-236</v>
      </c>
    </row>
    <row r="139" spans="1:5">
      <c r="A139" s="15">
        <v>43476</v>
      </c>
      <c r="B139" s="13">
        <v>2000</v>
      </c>
      <c r="C139" s="13" t="s">
        <v>18</v>
      </c>
      <c r="D139" s="13" t="s">
        <v>19</v>
      </c>
      <c r="E139" s="13">
        <v>-285449</v>
      </c>
    </row>
    <row r="140" spans="1:5">
      <c r="A140" s="14">
        <v>43476</v>
      </c>
      <c r="B140" s="12">
        <v>2502</v>
      </c>
      <c r="C140" s="12" t="s">
        <v>7</v>
      </c>
      <c r="D140" s="12" t="s">
        <v>6</v>
      </c>
      <c r="E140" s="12">
        <v>-3241</v>
      </c>
    </row>
    <row r="141" spans="1:5">
      <c r="A141" s="15">
        <v>43476</v>
      </c>
      <c r="B141" s="13">
        <v>2502</v>
      </c>
      <c r="C141" s="13" t="s">
        <v>7</v>
      </c>
      <c r="D141" s="13" t="s">
        <v>14</v>
      </c>
      <c r="E141" s="13">
        <v>-6733</v>
      </c>
    </row>
    <row r="142" spans="1:5">
      <c r="A142" s="14">
        <v>43476</v>
      </c>
      <c r="B142" s="12">
        <v>2505</v>
      </c>
      <c r="C142" s="12" t="s">
        <v>9</v>
      </c>
      <c r="D142" s="12" t="s">
        <v>6</v>
      </c>
      <c r="E142" s="12">
        <v>-691</v>
      </c>
    </row>
    <row r="143" spans="1:5">
      <c r="A143" s="15">
        <v>43476</v>
      </c>
      <c r="B143" s="13">
        <v>2510</v>
      </c>
      <c r="C143" s="13" t="s">
        <v>24</v>
      </c>
      <c r="D143" s="13" t="s">
        <v>13</v>
      </c>
      <c r="E143" s="13">
        <v>-1265</v>
      </c>
    </row>
    <row r="144" spans="1:5">
      <c r="A144" s="14">
        <v>43476</v>
      </c>
      <c r="B144" s="12">
        <v>2000</v>
      </c>
      <c r="C144" s="12" t="s">
        <v>18</v>
      </c>
      <c r="D144" s="12" t="s">
        <v>19</v>
      </c>
      <c r="E144" s="12">
        <v>-169638</v>
      </c>
    </row>
    <row r="145" spans="1:5">
      <c r="A145" s="15">
        <v>43476</v>
      </c>
      <c r="B145" s="13">
        <v>2500</v>
      </c>
      <c r="C145" s="13" t="s">
        <v>25</v>
      </c>
      <c r="D145" s="13" t="s">
        <v>19</v>
      </c>
      <c r="E145" s="13">
        <v>-54383</v>
      </c>
    </row>
    <row r="146" spans="1:5">
      <c r="A146" s="14">
        <v>43476</v>
      </c>
      <c r="B146" s="12">
        <v>2512</v>
      </c>
      <c r="C146" s="12" t="s">
        <v>16</v>
      </c>
      <c r="D146" s="12" t="s">
        <v>19</v>
      </c>
      <c r="E146" s="12">
        <v>-11506</v>
      </c>
    </row>
    <row r="147" spans="1:5">
      <c r="A147" s="15">
        <v>43476</v>
      </c>
      <c r="B147" s="13">
        <v>2504</v>
      </c>
      <c r="C147" s="13" t="s">
        <v>21</v>
      </c>
      <c r="D147" s="13" t="s">
        <v>19</v>
      </c>
      <c r="E147" s="13">
        <v>-2040</v>
      </c>
    </row>
    <row r="148" spans="1:5">
      <c r="A148" s="14">
        <v>43476</v>
      </c>
      <c r="B148" s="12">
        <v>2504</v>
      </c>
      <c r="C148" s="12" t="s">
        <v>21</v>
      </c>
      <c r="D148" s="12" t="s">
        <v>19</v>
      </c>
      <c r="E148" s="12">
        <v>-1330</v>
      </c>
    </row>
    <row r="149" spans="1:5">
      <c r="A149" s="15">
        <v>43476</v>
      </c>
      <c r="B149" s="13">
        <v>2514</v>
      </c>
      <c r="C149" s="13" t="s">
        <v>20</v>
      </c>
      <c r="D149" s="13" t="s">
        <v>19</v>
      </c>
      <c r="E149" s="13">
        <v>-919</v>
      </c>
    </row>
    <row r="150" spans="1:5">
      <c r="A150" s="14">
        <v>43476</v>
      </c>
      <c r="B150" s="12">
        <v>2505</v>
      </c>
      <c r="C150" s="12" t="s">
        <v>9</v>
      </c>
      <c r="D150" s="12" t="s">
        <v>19</v>
      </c>
      <c r="E150" s="12">
        <v>-529</v>
      </c>
    </row>
    <row r="151" spans="1:5">
      <c r="A151" s="15">
        <v>43476</v>
      </c>
      <c r="B151" s="13">
        <v>2501</v>
      </c>
      <c r="C151" s="13" t="s">
        <v>5</v>
      </c>
      <c r="D151" s="13" t="s">
        <v>19</v>
      </c>
      <c r="E151" s="13">
        <v>-152</v>
      </c>
    </row>
    <row r="152" spans="1:5">
      <c r="A152" s="14">
        <v>43476</v>
      </c>
      <c r="B152" s="12">
        <v>2501</v>
      </c>
      <c r="C152" s="12" t="s">
        <v>5</v>
      </c>
      <c r="D152" s="12" t="s">
        <v>19</v>
      </c>
      <c r="E152" s="12">
        <v>-118</v>
      </c>
    </row>
    <row r="153" spans="1:5">
      <c r="A153" s="15">
        <v>43477</v>
      </c>
      <c r="B153" s="13">
        <v>2501</v>
      </c>
      <c r="C153" s="13" t="s">
        <v>5</v>
      </c>
      <c r="D153" s="13" t="s">
        <v>13</v>
      </c>
      <c r="E153" s="13">
        <v>-133</v>
      </c>
    </row>
    <row r="154" spans="1:5">
      <c r="A154" s="14">
        <v>43477</v>
      </c>
      <c r="B154" s="12">
        <v>2503</v>
      </c>
      <c r="C154" s="12" t="s">
        <v>22</v>
      </c>
      <c r="D154" s="12" t="s">
        <v>12</v>
      </c>
      <c r="E154" s="12">
        <v>-432</v>
      </c>
    </row>
    <row r="155" spans="1:5">
      <c r="A155" s="15">
        <v>43477</v>
      </c>
      <c r="B155" s="13">
        <v>2505</v>
      </c>
      <c r="C155" s="13" t="s">
        <v>9</v>
      </c>
      <c r="D155" s="13" t="s">
        <v>14</v>
      </c>
      <c r="E155" s="13">
        <v>-476</v>
      </c>
    </row>
    <row r="156" spans="1:5">
      <c r="A156" s="14">
        <v>43477</v>
      </c>
      <c r="B156" s="12">
        <v>2508</v>
      </c>
      <c r="C156" s="12" t="s">
        <v>15</v>
      </c>
      <c r="D156" s="12" t="s">
        <v>6</v>
      </c>
      <c r="E156" s="12">
        <v>-79382</v>
      </c>
    </row>
    <row r="157" spans="1:5">
      <c r="A157" s="15">
        <v>43477</v>
      </c>
      <c r="B157" s="13">
        <v>2514</v>
      </c>
      <c r="C157" s="13" t="s">
        <v>20</v>
      </c>
      <c r="D157" s="13" t="s">
        <v>12</v>
      </c>
      <c r="E157" s="13">
        <v>-2297</v>
      </c>
    </row>
    <row r="158" spans="1:5">
      <c r="A158" s="14">
        <v>43477</v>
      </c>
      <c r="B158" s="12">
        <v>2510</v>
      </c>
      <c r="C158" s="12" t="s">
        <v>24</v>
      </c>
      <c r="D158" s="12" t="s">
        <v>13</v>
      </c>
      <c r="E158" s="12">
        <v>-991</v>
      </c>
    </row>
    <row r="159" spans="1:5">
      <c r="A159" s="15">
        <v>43477</v>
      </c>
      <c r="B159" s="13">
        <v>2510</v>
      </c>
      <c r="C159" s="13" t="s">
        <v>24</v>
      </c>
      <c r="D159" s="13" t="s">
        <v>8</v>
      </c>
      <c r="E159" s="13">
        <v>-1066</v>
      </c>
    </row>
    <row r="160" spans="1:5">
      <c r="A160" s="14">
        <v>43477</v>
      </c>
      <c r="B160" s="12">
        <v>2000</v>
      </c>
      <c r="C160" s="12" t="s">
        <v>18</v>
      </c>
      <c r="D160" s="12" t="s">
        <v>19</v>
      </c>
      <c r="E160" s="12">
        <v>-145040</v>
      </c>
    </row>
    <row r="161" spans="1:5">
      <c r="A161" s="15">
        <v>43477</v>
      </c>
      <c r="B161" s="13">
        <v>1500</v>
      </c>
      <c r="C161" s="13" t="s">
        <v>26</v>
      </c>
      <c r="D161" s="13" t="s">
        <v>19</v>
      </c>
      <c r="E161" s="13">
        <v>-35511</v>
      </c>
    </row>
    <row r="162" spans="1:5">
      <c r="A162" s="14">
        <v>43477</v>
      </c>
      <c r="B162" s="12">
        <v>2500</v>
      </c>
      <c r="C162" s="12" t="s">
        <v>25</v>
      </c>
      <c r="D162" s="12" t="s">
        <v>19</v>
      </c>
      <c r="E162" s="12">
        <v>-35209</v>
      </c>
    </row>
    <row r="163" spans="1:5">
      <c r="A163" s="15">
        <v>43477</v>
      </c>
      <c r="B163" s="13">
        <v>2500</v>
      </c>
      <c r="C163" s="13" t="s">
        <v>25</v>
      </c>
      <c r="D163" s="13" t="s">
        <v>19</v>
      </c>
      <c r="E163" s="13">
        <v>-21083</v>
      </c>
    </row>
    <row r="164" spans="1:5">
      <c r="A164" s="14">
        <v>43477</v>
      </c>
      <c r="B164" s="12">
        <v>2500</v>
      </c>
      <c r="C164" s="12" t="s">
        <v>25</v>
      </c>
      <c r="D164" s="12" t="s">
        <v>19</v>
      </c>
      <c r="E164" s="12">
        <v>-13569</v>
      </c>
    </row>
    <row r="165" spans="1:5">
      <c r="A165" s="15">
        <v>43477</v>
      </c>
      <c r="B165" s="13">
        <v>1500</v>
      </c>
      <c r="C165" s="13" t="s">
        <v>26</v>
      </c>
      <c r="D165" s="13" t="s">
        <v>19</v>
      </c>
      <c r="E165" s="13">
        <v>-5620</v>
      </c>
    </row>
    <row r="166" spans="1:5">
      <c r="A166" s="14">
        <v>43477</v>
      </c>
      <c r="B166" s="12">
        <v>2512</v>
      </c>
      <c r="C166" s="12" t="s">
        <v>16</v>
      </c>
      <c r="D166" s="12" t="s">
        <v>19</v>
      </c>
      <c r="E166" s="12">
        <v>-5435</v>
      </c>
    </row>
    <row r="167" spans="1:5">
      <c r="A167" s="15">
        <v>43477</v>
      </c>
      <c r="B167" s="13">
        <v>2504</v>
      </c>
      <c r="C167" s="13" t="s">
        <v>21</v>
      </c>
      <c r="D167" s="13" t="s">
        <v>19</v>
      </c>
      <c r="E167" s="13">
        <v>-856</v>
      </c>
    </row>
    <row r="168" spans="1:5">
      <c r="A168" s="14">
        <v>43477</v>
      </c>
      <c r="B168" s="12">
        <v>2501</v>
      </c>
      <c r="C168" s="12" t="s">
        <v>5</v>
      </c>
      <c r="D168" s="12" t="s">
        <v>19</v>
      </c>
      <c r="E168" s="12">
        <v>-75</v>
      </c>
    </row>
    <row r="169" spans="1:5">
      <c r="A169" s="15">
        <v>43477</v>
      </c>
      <c r="B169" s="13">
        <v>1000</v>
      </c>
      <c r="C169" s="13" t="s">
        <v>23</v>
      </c>
      <c r="D169" s="13" t="s">
        <v>19</v>
      </c>
      <c r="E169" s="13">
        <v>1019534</v>
      </c>
    </row>
    <row r="170" spans="1:5">
      <c r="A170" s="14">
        <v>43478</v>
      </c>
      <c r="B170" s="12">
        <v>2506</v>
      </c>
      <c r="C170" s="12" t="s">
        <v>27</v>
      </c>
      <c r="D170" s="12" t="s">
        <v>8</v>
      </c>
      <c r="E170" s="12">
        <v>-473</v>
      </c>
    </row>
    <row r="171" spans="1:5">
      <c r="A171" s="15">
        <v>43478</v>
      </c>
      <c r="B171" s="13">
        <v>2513</v>
      </c>
      <c r="C171" s="13" t="s">
        <v>17</v>
      </c>
      <c r="D171" s="13" t="s">
        <v>12</v>
      </c>
      <c r="E171" s="13">
        <v>-951</v>
      </c>
    </row>
    <row r="172" spans="1:5">
      <c r="A172" s="14">
        <v>43478</v>
      </c>
      <c r="B172" s="12">
        <v>2514</v>
      </c>
      <c r="C172" s="12" t="s">
        <v>20</v>
      </c>
      <c r="D172" s="12" t="s">
        <v>10</v>
      </c>
      <c r="E172" s="12">
        <v>-1072</v>
      </c>
    </row>
    <row r="173" spans="1:5">
      <c r="A173" s="15">
        <v>43478</v>
      </c>
      <c r="B173" s="13">
        <v>2510</v>
      </c>
      <c r="C173" s="13" t="s">
        <v>24</v>
      </c>
      <c r="D173" s="13" t="s">
        <v>14</v>
      </c>
      <c r="E173" s="13">
        <v>-1341</v>
      </c>
    </row>
    <row r="174" spans="1:5">
      <c r="A174" s="14">
        <v>43478</v>
      </c>
      <c r="B174" s="12">
        <v>1500</v>
      </c>
      <c r="C174" s="12" t="s">
        <v>26</v>
      </c>
      <c r="D174" s="12" t="s">
        <v>19</v>
      </c>
      <c r="E174" s="12">
        <v>-37983</v>
      </c>
    </row>
    <row r="175" spans="1:5">
      <c r="A175" s="15">
        <v>43478</v>
      </c>
      <c r="B175" s="13">
        <v>2500</v>
      </c>
      <c r="C175" s="13" t="s">
        <v>25</v>
      </c>
      <c r="D175" s="13" t="s">
        <v>19</v>
      </c>
      <c r="E175" s="13">
        <v>-37085</v>
      </c>
    </row>
    <row r="176" spans="1:5">
      <c r="A176" s="14">
        <v>43478</v>
      </c>
      <c r="B176" s="12">
        <v>2512</v>
      </c>
      <c r="C176" s="12" t="s">
        <v>16</v>
      </c>
      <c r="D176" s="12" t="s">
        <v>19</v>
      </c>
      <c r="E176" s="12">
        <v>-8907</v>
      </c>
    </row>
    <row r="177" spans="1:5">
      <c r="A177" s="15">
        <v>43478</v>
      </c>
      <c r="B177" s="13">
        <v>2504</v>
      </c>
      <c r="C177" s="13" t="s">
        <v>21</v>
      </c>
      <c r="D177" s="13" t="s">
        <v>19</v>
      </c>
      <c r="E177" s="13">
        <v>-1560</v>
      </c>
    </row>
    <row r="178" spans="1:5">
      <c r="A178" s="14">
        <v>43478</v>
      </c>
      <c r="B178" s="12">
        <v>2514</v>
      </c>
      <c r="C178" s="12" t="s">
        <v>20</v>
      </c>
      <c r="D178" s="12" t="s">
        <v>19</v>
      </c>
      <c r="E178" s="12">
        <v>-1098</v>
      </c>
    </row>
    <row r="179" spans="1:5">
      <c r="A179" s="15">
        <v>43478</v>
      </c>
      <c r="B179" s="13">
        <v>2514</v>
      </c>
      <c r="C179" s="13" t="s">
        <v>20</v>
      </c>
      <c r="D179" s="13" t="s">
        <v>19</v>
      </c>
      <c r="E179" s="13">
        <v>-916</v>
      </c>
    </row>
    <row r="180" spans="1:5">
      <c r="A180" s="14">
        <v>43478</v>
      </c>
      <c r="B180" s="12">
        <v>2510</v>
      </c>
      <c r="C180" s="12" t="s">
        <v>24</v>
      </c>
      <c r="D180" s="12" t="s">
        <v>19</v>
      </c>
      <c r="E180" s="12">
        <v>-858</v>
      </c>
    </row>
    <row r="181" spans="1:5">
      <c r="A181" s="15">
        <v>43478</v>
      </c>
      <c r="B181" s="13">
        <v>2510</v>
      </c>
      <c r="C181" s="13" t="s">
        <v>24</v>
      </c>
      <c r="D181" s="13" t="s">
        <v>19</v>
      </c>
      <c r="E181" s="13">
        <v>-790</v>
      </c>
    </row>
    <row r="182" spans="1:5">
      <c r="A182" s="14">
        <v>43478</v>
      </c>
      <c r="B182" s="12">
        <v>2503</v>
      </c>
      <c r="C182" s="12" t="s">
        <v>22</v>
      </c>
      <c r="D182" s="12" t="s">
        <v>19</v>
      </c>
      <c r="E182" s="12">
        <v>-303</v>
      </c>
    </row>
    <row r="183" spans="1:5">
      <c r="A183" s="15">
        <v>43478</v>
      </c>
      <c r="B183" s="13">
        <v>2501</v>
      </c>
      <c r="C183" s="13" t="s">
        <v>5</v>
      </c>
      <c r="D183" s="13" t="s">
        <v>19</v>
      </c>
      <c r="E183" s="13">
        <v>-155</v>
      </c>
    </row>
    <row r="184" spans="1:5">
      <c r="A184" s="14">
        <v>43478</v>
      </c>
      <c r="B184" s="12">
        <v>2501</v>
      </c>
      <c r="C184" s="12" t="s">
        <v>5</v>
      </c>
      <c r="D184" s="12" t="s">
        <v>19</v>
      </c>
      <c r="E184" s="12">
        <v>-79</v>
      </c>
    </row>
    <row r="185" spans="1:5">
      <c r="A185" s="15">
        <v>43479</v>
      </c>
      <c r="B185" s="13">
        <v>2502</v>
      </c>
      <c r="C185" s="13" t="s">
        <v>7</v>
      </c>
      <c r="D185" s="13" t="s">
        <v>12</v>
      </c>
      <c r="E185" s="13">
        <v>-7702</v>
      </c>
    </row>
    <row r="186" spans="1:5">
      <c r="A186" s="14">
        <v>43479</v>
      </c>
      <c r="B186" s="12">
        <v>2502</v>
      </c>
      <c r="C186" s="12" t="s">
        <v>7</v>
      </c>
      <c r="D186" s="12" t="s">
        <v>12</v>
      </c>
      <c r="E186" s="12">
        <v>-5834</v>
      </c>
    </row>
    <row r="187" spans="1:5">
      <c r="A187" s="15">
        <v>43479</v>
      </c>
      <c r="B187" s="13">
        <v>2503</v>
      </c>
      <c r="C187" s="13" t="s">
        <v>22</v>
      </c>
      <c r="D187" s="13" t="s">
        <v>10</v>
      </c>
      <c r="E187" s="13">
        <v>-305</v>
      </c>
    </row>
    <row r="188" spans="1:5">
      <c r="A188" s="14">
        <v>43479</v>
      </c>
      <c r="B188" s="12">
        <v>2505</v>
      </c>
      <c r="C188" s="12" t="s">
        <v>9</v>
      </c>
      <c r="D188" s="12" t="s">
        <v>10</v>
      </c>
      <c r="E188" s="12">
        <v>-680</v>
      </c>
    </row>
    <row r="189" spans="1:5">
      <c r="A189" s="15">
        <v>43479</v>
      </c>
      <c r="B189" s="13">
        <v>2506</v>
      </c>
      <c r="C189" s="13" t="s">
        <v>27</v>
      </c>
      <c r="D189" s="13" t="s">
        <v>8</v>
      </c>
      <c r="E189" s="13">
        <v>-633</v>
      </c>
    </row>
    <row r="190" spans="1:5">
      <c r="A190" s="14">
        <v>43479</v>
      </c>
      <c r="B190" s="12">
        <v>2506</v>
      </c>
      <c r="C190" s="12" t="s">
        <v>27</v>
      </c>
      <c r="D190" s="12" t="s">
        <v>8</v>
      </c>
      <c r="E190" s="12">
        <v>-630</v>
      </c>
    </row>
    <row r="191" spans="1:5">
      <c r="A191" s="15">
        <v>43479</v>
      </c>
      <c r="B191" s="13">
        <v>2512</v>
      </c>
      <c r="C191" s="13" t="s">
        <v>16</v>
      </c>
      <c r="D191" s="13" t="s">
        <v>14</v>
      </c>
      <c r="E191" s="13">
        <v>-2826</v>
      </c>
    </row>
    <row r="192" spans="1:5">
      <c r="A192" s="14">
        <v>43479</v>
      </c>
      <c r="B192" s="12">
        <v>2514</v>
      </c>
      <c r="C192" s="12" t="s">
        <v>20</v>
      </c>
      <c r="D192" s="12" t="s">
        <v>13</v>
      </c>
      <c r="E192" s="12">
        <v>-1153</v>
      </c>
    </row>
    <row r="193" spans="1:5">
      <c r="A193" s="15">
        <v>43479</v>
      </c>
      <c r="B193" s="13">
        <v>2510</v>
      </c>
      <c r="C193" s="13" t="s">
        <v>24</v>
      </c>
      <c r="D193" s="13" t="s">
        <v>13</v>
      </c>
      <c r="E193" s="13">
        <v>-1157</v>
      </c>
    </row>
    <row r="194" spans="1:5">
      <c r="A194" s="14">
        <v>43479</v>
      </c>
      <c r="B194" s="12">
        <v>2510</v>
      </c>
      <c r="C194" s="12" t="s">
        <v>24</v>
      </c>
      <c r="D194" s="12" t="s">
        <v>13</v>
      </c>
      <c r="E194" s="12">
        <v>-964</v>
      </c>
    </row>
    <row r="195" spans="1:5">
      <c r="A195" s="15">
        <v>43479</v>
      </c>
      <c r="B195" s="13">
        <v>2502</v>
      </c>
      <c r="C195" s="13" t="s">
        <v>7</v>
      </c>
      <c r="D195" s="13" t="s">
        <v>19</v>
      </c>
      <c r="E195" s="13">
        <v>-5440</v>
      </c>
    </row>
    <row r="196" spans="1:5">
      <c r="A196" s="14">
        <v>43479</v>
      </c>
      <c r="B196" s="12">
        <v>2502</v>
      </c>
      <c r="C196" s="12" t="s">
        <v>7</v>
      </c>
      <c r="D196" s="12" t="s">
        <v>19</v>
      </c>
      <c r="E196" s="12">
        <v>-3840</v>
      </c>
    </row>
    <row r="197" spans="1:5">
      <c r="A197" s="15">
        <v>43479</v>
      </c>
      <c r="B197" s="13">
        <v>2510</v>
      </c>
      <c r="C197" s="13" t="s">
        <v>24</v>
      </c>
      <c r="D197" s="13" t="s">
        <v>19</v>
      </c>
      <c r="E197" s="13">
        <v>-1180</v>
      </c>
    </row>
    <row r="198" spans="1:5">
      <c r="A198" s="14">
        <v>43479</v>
      </c>
      <c r="B198" s="12">
        <v>2513</v>
      </c>
      <c r="C198" s="12" t="s">
        <v>17</v>
      </c>
      <c r="D198" s="12" t="s">
        <v>19</v>
      </c>
      <c r="E198" s="12">
        <v>-883</v>
      </c>
    </row>
    <row r="199" spans="1:5">
      <c r="A199" s="15">
        <v>43479</v>
      </c>
      <c r="B199" s="13">
        <v>2501</v>
      </c>
      <c r="C199" s="13" t="s">
        <v>5</v>
      </c>
      <c r="D199" s="13" t="s">
        <v>19</v>
      </c>
      <c r="E199" s="13">
        <v>-122</v>
      </c>
    </row>
    <row r="200" spans="1:5">
      <c r="A200" s="14">
        <v>43479</v>
      </c>
      <c r="B200" s="12">
        <v>1000</v>
      </c>
      <c r="C200" s="12" t="s">
        <v>23</v>
      </c>
      <c r="D200" s="12" t="s">
        <v>19</v>
      </c>
      <c r="E200" s="12">
        <v>966955</v>
      </c>
    </row>
    <row r="201" spans="1:5">
      <c r="A201" s="15">
        <v>43480</v>
      </c>
      <c r="B201" s="13">
        <v>2501</v>
      </c>
      <c r="C201" s="13" t="s">
        <v>5</v>
      </c>
      <c r="D201" s="13" t="s">
        <v>8</v>
      </c>
      <c r="E201" s="13">
        <v>-108</v>
      </c>
    </row>
    <row r="202" spans="1:5">
      <c r="A202" s="14">
        <v>43480</v>
      </c>
      <c r="B202" s="12">
        <v>2505</v>
      </c>
      <c r="C202" s="12" t="s">
        <v>9</v>
      </c>
      <c r="D202" s="12" t="s">
        <v>14</v>
      </c>
      <c r="E202" s="12">
        <v>-575</v>
      </c>
    </row>
    <row r="203" spans="1:5">
      <c r="A203" s="15">
        <v>43480</v>
      </c>
      <c r="B203" s="13">
        <v>2505</v>
      </c>
      <c r="C203" s="13" t="s">
        <v>9</v>
      </c>
      <c r="D203" s="13" t="s">
        <v>6</v>
      </c>
      <c r="E203" s="13">
        <v>-565</v>
      </c>
    </row>
    <row r="204" spans="1:5">
      <c r="A204" s="14">
        <v>43480</v>
      </c>
      <c r="B204" s="12">
        <v>2505</v>
      </c>
      <c r="C204" s="12" t="s">
        <v>9</v>
      </c>
      <c r="D204" s="12" t="s">
        <v>10</v>
      </c>
      <c r="E204" s="12">
        <v>-720</v>
      </c>
    </row>
    <row r="205" spans="1:5">
      <c r="A205" s="15">
        <v>43480</v>
      </c>
      <c r="B205" s="13">
        <v>2508</v>
      </c>
      <c r="C205" s="13" t="s">
        <v>15</v>
      </c>
      <c r="D205" s="13" t="s">
        <v>10</v>
      </c>
      <c r="E205" s="13">
        <v>-70947</v>
      </c>
    </row>
    <row r="206" spans="1:5">
      <c r="A206" s="14">
        <v>43480</v>
      </c>
      <c r="B206" s="12">
        <v>2512</v>
      </c>
      <c r="C206" s="12" t="s">
        <v>16</v>
      </c>
      <c r="D206" s="12" t="s">
        <v>14</v>
      </c>
      <c r="E206" s="12">
        <v>-1862</v>
      </c>
    </row>
    <row r="207" spans="1:5">
      <c r="A207" s="15">
        <v>43480</v>
      </c>
      <c r="B207" s="13">
        <v>2514</v>
      </c>
      <c r="C207" s="13" t="s">
        <v>20</v>
      </c>
      <c r="D207" s="13" t="s">
        <v>12</v>
      </c>
      <c r="E207" s="13">
        <v>-2423</v>
      </c>
    </row>
    <row r="208" spans="1:5">
      <c r="A208" s="14">
        <v>43480</v>
      </c>
      <c r="B208" s="12">
        <v>2514</v>
      </c>
      <c r="C208" s="12" t="s">
        <v>20</v>
      </c>
      <c r="D208" s="12" t="s">
        <v>13</v>
      </c>
      <c r="E208" s="12">
        <v>-965</v>
      </c>
    </row>
    <row r="209" spans="1:5">
      <c r="A209" s="15">
        <v>43480</v>
      </c>
      <c r="B209" s="13">
        <v>2508</v>
      </c>
      <c r="C209" s="13" t="s">
        <v>15</v>
      </c>
      <c r="D209" s="13" t="s">
        <v>19</v>
      </c>
      <c r="E209" s="13">
        <v>-62481</v>
      </c>
    </row>
    <row r="210" spans="1:5">
      <c r="A210" s="14">
        <v>43480</v>
      </c>
      <c r="B210" s="12">
        <v>2508</v>
      </c>
      <c r="C210" s="12" t="s">
        <v>15</v>
      </c>
      <c r="D210" s="12" t="s">
        <v>19</v>
      </c>
      <c r="E210" s="12">
        <v>-61361</v>
      </c>
    </row>
    <row r="211" spans="1:5">
      <c r="A211" s="15">
        <v>43480</v>
      </c>
      <c r="B211" s="13">
        <v>2508</v>
      </c>
      <c r="C211" s="13" t="s">
        <v>15</v>
      </c>
      <c r="D211" s="13" t="s">
        <v>19</v>
      </c>
      <c r="E211" s="13">
        <v>-55093</v>
      </c>
    </row>
    <row r="212" spans="1:5">
      <c r="A212" s="14">
        <v>43480</v>
      </c>
      <c r="B212" s="12">
        <v>2508</v>
      </c>
      <c r="C212" s="12" t="s">
        <v>15</v>
      </c>
      <c r="D212" s="12" t="s">
        <v>19</v>
      </c>
      <c r="E212" s="12">
        <v>-44240</v>
      </c>
    </row>
    <row r="213" spans="1:5">
      <c r="A213" s="15">
        <v>43480</v>
      </c>
      <c r="B213" s="13">
        <v>1500</v>
      </c>
      <c r="C213" s="13" t="s">
        <v>26</v>
      </c>
      <c r="D213" s="13" t="s">
        <v>19</v>
      </c>
      <c r="E213" s="13">
        <v>-39069</v>
      </c>
    </row>
    <row r="214" spans="1:5">
      <c r="A214" s="14">
        <v>43480</v>
      </c>
      <c r="B214" s="12">
        <v>2512</v>
      </c>
      <c r="C214" s="12" t="s">
        <v>16</v>
      </c>
      <c r="D214" s="12" t="s">
        <v>19</v>
      </c>
      <c r="E214" s="12">
        <v>-9520</v>
      </c>
    </row>
    <row r="215" spans="1:5">
      <c r="A215" s="15">
        <v>43480</v>
      </c>
      <c r="B215" s="13">
        <v>2510</v>
      </c>
      <c r="C215" s="13" t="s">
        <v>24</v>
      </c>
      <c r="D215" s="13" t="s">
        <v>19</v>
      </c>
      <c r="E215" s="13">
        <v>-1318</v>
      </c>
    </row>
    <row r="216" spans="1:5">
      <c r="A216" s="14">
        <v>43480</v>
      </c>
      <c r="B216" s="12">
        <v>2505</v>
      </c>
      <c r="C216" s="12" t="s">
        <v>9</v>
      </c>
      <c r="D216" s="12" t="s">
        <v>19</v>
      </c>
      <c r="E216" s="12">
        <v>-498</v>
      </c>
    </row>
    <row r="217" spans="1:5">
      <c r="A217" s="15">
        <v>43481</v>
      </c>
      <c r="B217" s="13">
        <v>2501</v>
      </c>
      <c r="C217" s="13" t="s">
        <v>5</v>
      </c>
      <c r="D217" s="13" t="s">
        <v>8</v>
      </c>
      <c r="E217" s="13">
        <v>-159</v>
      </c>
    </row>
    <row r="218" spans="1:5">
      <c r="A218" s="14">
        <v>43481</v>
      </c>
      <c r="B218" s="12">
        <v>2503</v>
      </c>
      <c r="C218" s="12" t="s">
        <v>22</v>
      </c>
      <c r="D218" s="12" t="s">
        <v>12</v>
      </c>
      <c r="E218" s="12">
        <v>-506</v>
      </c>
    </row>
    <row r="219" spans="1:5">
      <c r="A219" s="15">
        <v>43481</v>
      </c>
      <c r="B219" s="13">
        <v>2512</v>
      </c>
      <c r="C219" s="13" t="s">
        <v>16</v>
      </c>
      <c r="D219" s="13" t="s">
        <v>10</v>
      </c>
      <c r="E219" s="13">
        <v>-4323</v>
      </c>
    </row>
    <row r="220" spans="1:5">
      <c r="A220" s="14">
        <v>43481</v>
      </c>
      <c r="B220" s="12">
        <v>2513</v>
      </c>
      <c r="C220" s="12" t="s">
        <v>17</v>
      </c>
      <c r="D220" s="12" t="s">
        <v>6</v>
      </c>
      <c r="E220" s="12">
        <v>-645</v>
      </c>
    </row>
    <row r="221" spans="1:5">
      <c r="A221" s="15">
        <v>43481</v>
      </c>
      <c r="B221" s="13">
        <v>2514</v>
      </c>
      <c r="C221" s="13" t="s">
        <v>20</v>
      </c>
      <c r="D221" s="13" t="s">
        <v>10</v>
      </c>
      <c r="E221" s="13">
        <v>-1496</v>
      </c>
    </row>
    <row r="222" spans="1:5">
      <c r="A222" s="14">
        <v>43481</v>
      </c>
      <c r="B222" s="12">
        <v>2514</v>
      </c>
      <c r="C222" s="12" t="s">
        <v>20</v>
      </c>
      <c r="D222" s="12" t="s">
        <v>13</v>
      </c>
      <c r="E222" s="12">
        <v>-1104</v>
      </c>
    </row>
    <row r="223" spans="1:5">
      <c r="A223" s="15">
        <v>43481</v>
      </c>
      <c r="B223" s="13">
        <v>2510</v>
      </c>
      <c r="C223" s="13" t="s">
        <v>24</v>
      </c>
      <c r="D223" s="13" t="s">
        <v>6</v>
      </c>
      <c r="E223" s="13">
        <v>-983</v>
      </c>
    </row>
    <row r="224" spans="1:5">
      <c r="A224" s="14">
        <v>43481</v>
      </c>
      <c r="B224" s="12">
        <v>1500</v>
      </c>
      <c r="C224" s="12" t="s">
        <v>26</v>
      </c>
      <c r="D224" s="12" t="s">
        <v>19</v>
      </c>
      <c r="E224" s="12">
        <v>-32982</v>
      </c>
    </row>
    <row r="225" spans="1:5">
      <c r="A225" s="15">
        <v>43481</v>
      </c>
      <c r="B225" s="13">
        <v>1500</v>
      </c>
      <c r="C225" s="13" t="s">
        <v>26</v>
      </c>
      <c r="D225" s="13" t="s">
        <v>19</v>
      </c>
      <c r="E225" s="13">
        <v>-26136</v>
      </c>
    </row>
    <row r="226" spans="1:5">
      <c r="A226" s="14">
        <v>43481</v>
      </c>
      <c r="B226" s="12">
        <v>2500</v>
      </c>
      <c r="C226" s="12" t="s">
        <v>25</v>
      </c>
      <c r="D226" s="12" t="s">
        <v>19</v>
      </c>
      <c r="E226" s="12">
        <v>-20856</v>
      </c>
    </row>
    <row r="227" spans="1:5">
      <c r="A227" s="15">
        <v>43481</v>
      </c>
      <c r="B227" s="13">
        <v>2512</v>
      </c>
      <c r="C227" s="13" t="s">
        <v>16</v>
      </c>
      <c r="D227" s="13" t="s">
        <v>19</v>
      </c>
      <c r="E227" s="13">
        <v>-6102</v>
      </c>
    </row>
    <row r="228" spans="1:5">
      <c r="A228" s="14">
        <v>43481</v>
      </c>
      <c r="B228" s="12">
        <v>2502</v>
      </c>
      <c r="C228" s="12" t="s">
        <v>7</v>
      </c>
      <c r="D228" s="12" t="s">
        <v>19</v>
      </c>
      <c r="E228" s="12">
        <v>-6001</v>
      </c>
    </row>
    <row r="229" spans="1:5">
      <c r="A229" s="15">
        <v>43481</v>
      </c>
      <c r="B229" s="13">
        <v>2505</v>
      </c>
      <c r="C229" s="13" t="s">
        <v>9</v>
      </c>
      <c r="D229" s="13" t="s">
        <v>19</v>
      </c>
      <c r="E229" s="13">
        <v>-528</v>
      </c>
    </row>
    <row r="230" spans="1:5">
      <c r="A230" s="14">
        <v>43481</v>
      </c>
      <c r="B230" s="12">
        <v>2501</v>
      </c>
      <c r="C230" s="12" t="s">
        <v>5</v>
      </c>
      <c r="D230" s="12" t="s">
        <v>19</v>
      </c>
      <c r="E230" s="12">
        <v>-120</v>
      </c>
    </row>
    <row r="231" spans="1:5">
      <c r="A231" s="15">
        <v>43482</v>
      </c>
      <c r="B231" s="13">
        <v>2503</v>
      </c>
      <c r="C231" s="13" t="s">
        <v>22</v>
      </c>
      <c r="D231" s="13" t="s">
        <v>6</v>
      </c>
      <c r="E231" s="13">
        <v>-385</v>
      </c>
    </row>
    <row r="232" spans="1:5">
      <c r="A232" s="14">
        <v>43482</v>
      </c>
      <c r="B232" s="12">
        <v>2512</v>
      </c>
      <c r="C232" s="12" t="s">
        <v>16</v>
      </c>
      <c r="D232" s="12" t="s">
        <v>6</v>
      </c>
      <c r="E232" s="12">
        <v>-3732</v>
      </c>
    </row>
    <row r="233" spans="1:5">
      <c r="A233" s="15">
        <v>43482</v>
      </c>
      <c r="B233" s="13">
        <v>2513</v>
      </c>
      <c r="C233" s="13" t="s">
        <v>17</v>
      </c>
      <c r="D233" s="13" t="s">
        <v>10</v>
      </c>
      <c r="E233" s="13">
        <v>-878</v>
      </c>
    </row>
    <row r="234" spans="1:5">
      <c r="A234" s="14">
        <v>43482</v>
      </c>
      <c r="B234" s="12">
        <v>2510</v>
      </c>
      <c r="C234" s="12" t="s">
        <v>24</v>
      </c>
      <c r="D234" s="12" t="s">
        <v>10</v>
      </c>
      <c r="E234" s="12">
        <v>-1516</v>
      </c>
    </row>
    <row r="235" spans="1:5">
      <c r="A235" s="15">
        <v>43482</v>
      </c>
      <c r="B235" s="13">
        <v>2508</v>
      </c>
      <c r="C235" s="13" t="s">
        <v>15</v>
      </c>
      <c r="D235" s="13" t="s">
        <v>19</v>
      </c>
      <c r="E235" s="13">
        <v>-62057</v>
      </c>
    </row>
    <row r="236" spans="1:5">
      <c r="A236" s="14">
        <v>43482</v>
      </c>
      <c r="B236" s="12">
        <v>2500</v>
      </c>
      <c r="C236" s="12" t="s">
        <v>25</v>
      </c>
      <c r="D236" s="12" t="s">
        <v>19</v>
      </c>
      <c r="E236" s="12">
        <v>-26447</v>
      </c>
    </row>
    <row r="237" spans="1:5">
      <c r="A237" s="15">
        <v>43482</v>
      </c>
      <c r="B237" s="13">
        <v>2504</v>
      </c>
      <c r="C237" s="13" t="s">
        <v>21</v>
      </c>
      <c r="D237" s="13" t="s">
        <v>19</v>
      </c>
      <c r="E237" s="13">
        <v>-2462</v>
      </c>
    </row>
    <row r="238" spans="1:5">
      <c r="A238" s="14">
        <v>43482</v>
      </c>
      <c r="B238" s="12">
        <v>2514</v>
      </c>
      <c r="C238" s="12" t="s">
        <v>20</v>
      </c>
      <c r="D238" s="12" t="s">
        <v>19</v>
      </c>
      <c r="E238" s="12">
        <v>-1103</v>
      </c>
    </row>
    <row r="239" spans="1:5">
      <c r="A239" s="15">
        <v>43482</v>
      </c>
      <c r="B239" s="13">
        <v>2505</v>
      </c>
      <c r="C239" s="13" t="s">
        <v>9</v>
      </c>
      <c r="D239" s="13" t="s">
        <v>19</v>
      </c>
      <c r="E239" s="13">
        <v>-591</v>
      </c>
    </row>
    <row r="240" spans="1:5">
      <c r="A240" s="14">
        <v>43482</v>
      </c>
      <c r="B240" s="12">
        <v>2513</v>
      </c>
      <c r="C240" s="12" t="s">
        <v>17</v>
      </c>
      <c r="D240" s="12" t="s">
        <v>19</v>
      </c>
      <c r="E240" s="12">
        <v>-461</v>
      </c>
    </row>
    <row r="241" spans="1:5">
      <c r="A241" s="15">
        <v>43482</v>
      </c>
      <c r="B241" s="13">
        <v>2505</v>
      </c>
      <c r="C241" s="13" t="s">
        <v>9</v>
      </c>
      <c r="D241" s="13" t="s">
        <v>19</v>
      </c>
      <c r="E241" s="13">
        <v>-433</v>
      </c>
    </row>
    <row r="242" spans="1:5">
      <c r="A242" s="14">
        <v>43482</v>
      </c>
      <c r="B242" s="12">
        <v>2505</v>
      </c>
      <c r="C242" s="12" t="s">
        <v>9</v>
      </c>
      <c r="D242" s="12" t="s">
        <v>19</v>
      </c>
      <c r="E242" s="12">
        <v>-329</v>
      </c>
    </row>
    <row r="243" spans="1:5">
      <c r="A243" s="15">
        <v>43482</v>
      </c>
      <c r="B243" s="13">
        <v>2501</v>
      </c>
      <c r="C243" s="13" t="s">
        <v>5</v>
      </c>
      <c r="D243" s="13" t="s">
        <v>19</v>
      </c>
      <c r="E243" s="13">
        <v>-99</v>
      </c>
    </row>
    <row r="244" spans="1:5">
      <c r="A244" s="14">
        <v>43483</v>
      </c>
      <c r="B244" s="12">
        <v>2503</v>
      </c>
      <c r="C244" s="12" t="s">
        <v>22</v>
      </c>
      <c r="D244" s="12" t="s">
        <v>14</v>
      </c>
      <c r="E244" s="12">
        <v>-289</v>
      </c>
    </row>
    <row r="245" spans="1:5">
      <c r="A245" s="15">
        <v>43483</v>
      </c>
      <c r="B245" s="13">
        <v>2503</v>
      </c>
      <c r="C245" s="13" t="s">
        <v>22</v>
      </c>
      <c r="D245" s="13" t="s">
        <v>8</v>
      </c>
      <c r="E245" s="13">
        <v>-304</v>
      </c>
    </row>
    <row r="246" spans="1:5">
      <c r="A246" s="14">
        <v>43483</v>
      </c>
      <c r="B246" s="12">
        <v>2505</v>
      </c>
      <c r="C246" s="12" t="s">
        <v>9</v>
      </c>
      <c r="D246" s="12" t="s">
        <v>6</v>
      </c>
      <c r="E246" s="12">
        <v>-588</v>
      </c>
    </row>
    <row r="247" spans="1:5">
      <c r="A247" s="15">
        <v>43483</v>
      </c>
      <c r="B247" s="13">
        <v>2508</v>
      </c>
      <c r="C247" s="13" t="s">
        <v>15</v>
      </c>
      <c r="D247" s="13" t="s">
        <v>12</v>
      </c>
      <c r="E247" s="13">
        <v>-102574</v>
      </c>
    </row>
    <row r="248" spans="1:5">
      <c r="A248" s="14">
        <v>43483</v>
      </c>
      <c r="B248" s="12">
        <v>2514</v>
      </c>
      <c r="C248" s="12" t="s">
        <v>20</v>
      </c>
      <c r="D248" s="12" t="s">
        <v>8</v>
      </c>
      <c r="E248" s="12">
        <v>-1450</v>
      </c>
    </row>
    <row r="249" spans="1:5">
      <c r="A249" s="15">
        <v>43483</v>
      </c>
      <c r="B249" s="13">
        <v>2500</v>
      </c>
      <c r="C249" s="13" t="s">
        <v>25</v>
      </c>
      <c r="D249" s="13" t="s">
        <v>19</v>
      </c>
      <c r="E249" s="13">
        <v>-48198</v>
      </c>
    </row>
    <row r="250" spans="1:5">
      <c r="A250" s="14">
        <v>43484</v>
      </c>
      <c r="B250" s="12">
        <v>2505</v>
      </c>
      <c r="C250" s="12" t="s">
        <v>9</v>
      </c>
      <c r="D250" s="12" t="s">
        <v>12</v>
      </c>
      <c r="E250" s="12">
        <v>-883</v>
      </c>
    </row>
    <row r="251" spans="1:5">
      <c r="A251" s="15">
        <v>43484</v>
      </c>
      <c r="B251" s="13">
        <v>2505</v>
      </c>
      <c r="C251" s="13" t="s">
        <v>9</v>
      </c>
      <c r="D251" s="13" t="s">
        <v>8</v>
      </c>
      <c r="E251" s="13">
        <v>-772</v>
      </c>
    </row>
    <row r="252" spans="1:5">
      <c r="A252" s="14">
        <v>43484</v>
      </c>
      <c r="B252" s="12">
        <v>2506</v>
      </c>
      <c r="C252" s="12" t="s">
        <v>27</v>
      </c>
      <c r="D252" s="12" t="s">
        <v>8</v>
      </c>
      <c r="E252" s="12">
        <v>-708</v>
      </c>
    </row>
    <row r="253" spans="1:5">
      <c r="A253" s="15">
        <v>43484</v>
      </c>
      <c r="B253" s="13">
        <v>2508</v>
      </c>
      <c r="C253" s="13" t="s">
        <v>15</v>
      </c>
      <c r="D253" s="13" t="s">
        <v>13</v>
      </c>
      <c r="E253" s="13">
        <v>-41796</v>
      </c>
    </row>
    <row r="254" spans="1:5">
      <c r="A254" s="14">
        <v>43484</v>
      </c>
      <c r="B254" s="12">
        <v>2512</v>
      </c>
      <c r="C254" s="12" t="s">
        <v>16</v>
      </c>
      <c r="D254" s="12" t="s">
        <v>13</v>
      </c>
      <c r="E254" s="12">
        <v>-587</v>
      </c>
    </row>
    <row r="255" spans="1:5">
      <c r="A255" s="15">
        <v>43484</v>
      </c>
      <c r="B255" s="13">
        <v>2512</v>
      </c>
      <c r="C255" s="13" t="s">
        <v>16</v>
      </c>
      <c r="D255" s="13" t="s">
        <v>13</v>
      </c>
      <c r="E255" s="13">
        <v>-542</v>
      </c>
    </row>
    <row r="256" spans="1:5">
      <c r="A256" s="14">
        <v>43484</v>
      </c>
      <c r="B256" s="12">
        <v>2514</v>
      </c>
      <c r="C256" s="12" t="s">
        <v>20</v>
      </c>
      <c r="D256" s="12" t="s">
        <v>14</v>
      </c>
      <c r="E256" s="12">
        <v>-1126</v>
      </c>
    </row>
    <row r="257" spans="1:5">
      <c r="A257" s="15">
        <v>43484</v>
      </c>
      <c r="B257" s="13">
        <v>2510</v>
      </c>
      <c r="C257" s="13" t="s">
        <v>24</v>
      </c>
      <c r="D257" s="13" t="s">
        <v>19</v>
      </c>
      <c r="E257" s="13">
        <v>-1415</v>
      </c>
    </row>
    <row r="258" spans="1:5">
      <c r="A258" s="14">
        <v>43484</v>
      </c>
      <c r="B258" s="12">
        <v>2510</v>
      </c>
      <c r="C258" s="12" t="s">
        <v>24</v>
      </c>
      <c r="D258" s="12" t="s">
        <v>19</v>
      </c>
      <c r="E258" s="12">
        <v>-750</v>
      </c>
    </row>
    <row r="259" spans="1:5">
      <c r="A259" s="15">
        <v>43484</v>
      </c>
      <c r="B259" s="13">
        <v>2505</v>
      </c>
      <c r="C259" s="13" t="s">
        <v>9</v>
      </c>
      <c r="D259" s="13" t="s">
        <v>19</v>
      </c>
      <c r="E259" s="13">
        <v>-341</v>
      </c>
    </row>
    <row r="260" spans="1:5">
      <c r="A260" s="14">
        <v>43484</v>
      </c>
      <c r="B260" s="12">
        <v>2501</v>
      </c>
      <c r="C260" s="12" t="s">
        <v>5</v>
      </c>
      <c r="D260" s="12" t="s">
        <v>19</v>
      </c>
      <c r="E260" s="12">
        <v>-121</v>
      </c>
    </row>
    <row r="261" spans="1:5">
      <c r="A261" s="15">
        <v>43485</v>
      </c>
      <c r="B261" s="13">
        <v>2501</v>
      </c>
      <c r="C261" s="13" t="s">
        <v>5</v>
      </c>
      <c r="D261" s="13" t="s">
        <v>10</v>
      </c>
      <c r="E261" s="13">
        <v>-154</v>
      </c>
    </row>
    <row r="262" spans="1:5">
      <c r="A262" s="14">
        <v>43485</v>
      </c>
      <c r="B262" s="12">
        <v>2502</v>
      </c>
      <c r="C262" s="12" t="s">
        <v>7</v>
      </c>
      <c r="D262" s="12" t="s">
        <v>14</v>
      </c>
      <c r="E262" s="12">
        <v>-7479</v>
      </c>
    </row>
    <row r="263" spans="1:5">
      <c r="A263" s="15">
        <v>43485</v>
      </c>
      <c r="B263" s="13">
        <v>2503</v>
      </c>
      <c r="C263" s="13" t="s">
        <v>22</v>
      </c>
      <c r="D263" s="13" t="s">
        <v>13</v>
      </c>
      <c r="E263" s="13">
        <v>-239</v>
      </c>
    </row>
    <row r="264" spans="1:5">
      <c r="A264" s="14">
        <v>43485</v>
      </c>
      <c r="B264" s="12">
        <v>2503</v>
      </c>
      <c r="C264" s="12" t="s">
        <v>22</v>
      </c>
      <c r="D264" s="12" t="s">
        <v>8</v>
      </c>
      <c r="E264" s="12">
        <v>-391</v>
      </c>
    </row>
    <row r="265" spans="1:5">
      <c r="A265" s="15">
        <v>43485</v>
      </c>
      <c r="B265" s="13">
        <v>2503</v>
      </c>
      <c r="C265" s="13" t="s">
        <v>22</v>
      </c>
      <c r="D265" s="13" t="s">
        <v>12</v>
      </c>
      <c r="E265" s="13">
        <v>-541</v>
      </c>
    </row>
    <row r="266" spans="1:5">
      <c r="A266" s="14">
        <v>43485</v>
      </c>
      <c r="B266" s="12">
        <v>1500</v>
      </c>
      <c r="C266" s="12" t="s">
        <v>26</v>
      </c>
      <c r="D266" s="12" t="s">
        <v>19</v>
      </c>
      <c r="E266" s="12">
        <v>-32263</v>
      </c>
    </row>
    <row r="267" spans="1:5">
      <c r="A267" s="15">
        <v>43485</v>
      </c>
      <c r="B267" s="13">
        <v>2502</v>
      </c>
      <c r="C267" s="13" t="s">
        <v>7</v>
      </c>
      <c r="D267" s="13" t="s">
        <v>19</v>
      </c>
      <c r="E267" s="13">
        <v>-4561</v>
      </c>
    </row>
    <row r="268" spans="1:5">
      <c r="A268" s="14">
        <v>43485</v>
      </c>
      <c r="B268" s="12">
        <v>2513</v>
      </c>
      <c r="C268" s="12" t="s">
        <v>17</v>
      </c>
      <c r="D268" s="12" t="s">
        <v>19</v>
      </c>
      <c r="E268" s="12">
        <v>-521</v>
      </c>
    </row>
    <row r="269" spans="1:5">
      <c r="A269" s="15">
        <v>43486</v>
      </c>
      <c r="B269" s="13">
        <v>2503</v>
      </c>
      <c r="C269" s="13" t="s">
        <v>22</v>
      </c>
      <c r="D269" s="13" t="s">
        <v>6</v>
      </c>
      <c r="E269" s="13">
        <v>-385</v>
      </c>
    </row>
    <row r="270" spans="1:5">
      <c r="A270" s="14">
        <v>43486</v>
      </c>
      <c r="B270" s="12">
        <v>2503</v>
      </c>
      <c r="C270" s="12" t="s">
        <v>22</v>
      </c>
      <c r="D270" s="12" t="s">
        <v>10</v>
      </c>
      <c r="E270" s="12">
        <v>-369</v>
      </c>
    </row>
    <row r="271" spans="1:5">
      <c r="A271" s="15">
        <v>43486</v>
      </c>
      <c r="B271" s="13">
        <v>2503</v>
      </c>
      <c r="C271" s="13" t="s">
        <v>22</v>
      </c>
      <c r="D271" s="13" t="s">
        <v>12</v>
      </c>
      <c r="E271" s="13">
        <v>-532</v>
      </c>
    </row>
    <row r="272" spans="1:5">
      <c r="A272" s="14">
        <v>43486</v>
      </c>
      <c r="B272" s="12">
        <v>2513</v>
      </c>
      <c r="C272" s="12" t="s">
        <v>17</v>
      </c>
      <c r="D272" s="12" t="s">
        <v>13</v>
      </c>
      <c r="E272" s="12">
        <v>-541</v>
      </c>
    </row>
    <row r="273" spans="1:5">
      <c r="A273" s="15">
        <v>43486</v>
      </c>
      <c r="B273" s="13">
        <v>2510</v>
      </c>
      <c r="C273" s="13" t="s">
        <v>24</v>
      </c>
      <c r="D273" s="13" t="s">
        <v>8</v>
      </c>
      <c r="E273" s="13">
        <v>-1419</v>
      </c>
    </row>
    <row r="274" spans="1:5">
      <c r="A274" s="14">
        <v>43486</v>
      </c>
      <c r="B274" s="12">
        <v>2510</v>
      </c>
      <c r="C274" s="12" t="s">
        <v>24</v>
      </c>
      <c r="D274" s="12" t="s">
        <v>10</v>
      </c>
      <c r="E274" s="12">
        <v>-1426</v>
      </c>
    </row>
    <row r="275" spans="1:5">
      <c r="A275" s="15">
        <v>43486</v>
      </c>
      <c r="B275" s="13">
        <v>2510</v>
      </c>
      <c r="C275" s="13" t="s">
        <v>24</v>
      </c>
      <c r="D275" s="13" t="s">
        <v>13</v>
      </c>
      <c r="E275" s="13">
        <v>-1570</v>
      </c>
    </row>
    <row r="276" spans="1:5">
      <c r="A276" s="14">
        <v>43486</v>
      </c>
      <c r="B276" s="12">
        <v>2508</v>
      </c>
      <c r="C276" s="12" t="s">
        <v>15</v>
      </c>
      <c r="D276" s="12" t="s">
        <v>19</v>
      </c>
      <c r="E276" s="12">
        <v>-56694</v>
      </c>
    </row>
    <row r="277" spans="1:5">
      <c r="A277" s="15">
        <v>43486</v>
      </c>
      <c r="B277" s="13">
        <v>1500</v>
      </c>
      <c r="C277" s="13" t="s">
        <v>26</v>
      </c>
      <c r="D277" s="13" t="s">
        <v>19</v>
      </c>
      <c r="E277" s="13">
        <v>-8784</v>
      </c>
    </row>
    <row r="278" spans="1:5">
      <c r="A278" s="14">
        <v>43486</v>
      </c>
      <c r="B278" s="12">
        <v>2512</v>
      </c>
      <c r="C278" s="12" t="s">
        <v>16</v>
      </c>
      <c r="D278" s="12" t="s">
        <v>19</v>
      </c>
      <c r="E278" s="12">
        <v>-6351</v>
      </c>
    </row>
    <row r="279" spans="1:5">
      <c r="A279" s="15">
        <v>43486</v>
      </c>
      <c r="B279" s="13">
        <v>2504</v>
      </c>
      <c r="C279" s="13" t="s">
        <v>21</v>
      </c>
      <c r="D279" s="13" t="s">
        <v>19</v>
      </c>
      <c r="E279" s="13">
        <v>-1536</v>
      </c>
    </row>
    <row r="280" spans="1:5">
      <c r="A280" s="14">
        <v>43486</v>
      </c>
      <c r="B280" s="12">
        <v>2514</v>
      </c>
      <c r="C280" s="12" t="s">
        <v>20</v>
      </c>
      <c r="D280" s="12" t="s">
        <v>19</v>
      </c>
      <c r="E280" s="12">
        <v>-1021</v>
      </c>
    </row>
    <row r="281" spans="1:5">
      <c r="A281" s="15">
        <v>43486</v>
      </c>
      <c r="B281" s="13">
        <v>1000</v>
      </c>
      <c r="C281" s="13" t="s">
        <v>23</v>
      </c>
      <c r="D281" s="13" t="s">
        <v>19</v>
      </c>
      <c r="E281" s="13">
        <v>754770</v>
      </c>
    </row>
    <row r="282" spans="1:5">
      <c r="A282" s="14">
        <v>43487</v>
      </c>
      <c r="B282" s="12">
        <v>2000</v>
      </c>
      <c r="C282" s="12" t="s">
        <v>18</v>
      </c>
      <c r="D282" s="12" t="s">
        <v>19</v>
      </c>
      <c r="E282" s="12">
        <v>-278047</v>
      </c>
    </row>
    <row r="283" spans="1:5">
      <c r="A283" s="15">
        <v>43487</v>
      </c>
      <c r="B283" s="13">
        <v>2000</v>
      </c>
      <c r="C283" s="13" t="s">
        <v>18</v>
      </c>
      <c r="D283" s="13" t="s">
        <v>19</v>
      </c>
      <c r="E283" s="13">
        <v>-228885</v>
      </c>
    </row>
    <row r="284" spans="1:5">
      <c r="A284" s="14">
        <v>43487</v>
      </c>
      <c r="B284" s="12">
        <v>2502</v>
      </c>
      <c r="C284" s="12" t="s">
        <v>7</v>
      </c>
      <c r="D284" s="12" t="s">
        <v>6</v>
      </c>
      <c r="E284" s="12">
        <v>-6796</v>
      </c>
    </row>
    <row r="285" spans="1:5">
      <c r="A285" s="15">
        <v>43487</v>
      </c>
      <c r="B285" s="13">
        <v>2503</v>
      </c>
      <c r="C285" s="13" t="s">
        <v>22</v>
      </c>
      <c r="D285" s="13" t="s">
        <v>8</v>
      </c>
      <c r="E285" s="13">
        <v>-288</v>
      </c>
    </row>
    <row r="286" spans="1:5">
      <c r="A286" s="14">
        <v>43487</v>
      </c>
      <c r="B286" s="12">
        <v>2506</v>
      </c>
      <c r="C286" s="12" t="s">
        <v>27</v>
      </c>
      <c r="D286" s="12" t="s">
        <v>14</v>
      </c>
      <c r="E286" s="12">
        <v>-430</v>
      </c>
    </row>
    <row r="287" spans="1:5">
      <c r="A287" s="15">
        <v>43487</v>
      </c>
      <c r="B287" s="13">
        <v>2508</v>
      </c>
      <c r="C287" s="13" t="s">
        <v>15</v>
      </c>
      <c r="D287" s="13" t="s">
        <v>6</v>
      </c>
      <c r="E287" s="13">
        <v>-55802</v>
      </c>
    </row>
    <row r="288" spans="1:5">
      <c r="A288" s="14">
        <v>43487</v>
      </c>
      <c r="B288" s="12">
        <v>2512</v>
      </c>
      <c r="C288" s="12" t="s">
        <v>16</v>
      </c>
      <c r="D288" s="12" t="s">
        <v>10</v>
      </c>
      <c r="E288" s="12">
        <v>-2161</v>
      </c>
    </row>
    <row r="289" spans="1:5">
      <c r="A289" s="15">
        <v>43487</v>
      </c>
      <c r="B289" s="13">
        <v>2513</v>
      </c>
      <c r="C289" s="13" t="s">
        <v>17</v>
      </c>
      <c r="D289" s="13" t="s">
        <v>8</v>
      </c>
      <c r="E289" s="13">
        <v>-554</v>
      </c>
    </row>
    <row r="290" spans="1:5">
      <c r="A290" s="14">
        <v>43487</v>
      </c>
      <c r="B290" s="12">
        <v>2514</v>
      </c>
      <c r="C290" s="12" t="s">
        <v>20</v>
      </c>
      <c r="D290" s="12" t="s">
        <v>13</v>
      </c>
      <c r="E290" s="12">
        <v>-851</v>
      </c>
    </row>
    <row r="291" spans="1:5">
      <c r="A291" s="15">
        <v>43487</v>
      </c>
      <c r="B291" s="13">
        <v>2514</v>
      </c>
      <c r="C291" s="13" t="s">
        <v>20</v>
      </c>
      <c r="D291" s="13" t="s">
        <v>10</v>
      </c>
      <c r="E291" s="13">
        <v>-1112</v>
      </c>
    </row>
    <row r="292" spans="1:5">
      <c r="A292" s="14">
        <v>43487</v>
      </c>
      <c r="B292" s="12">
        <v>2508</v>
      </c>
      <c r="C292" s="12" t="s">
        <v>15</v>
      </c>
      <c r="D292" s="12" t="s">
        <v>19</v>
      </c>
      <c r="E292" s="12">
        <v>-54027</v>
      </c>
    </row>
    <row r="293" spans="1:5">
      <c r="A293" s="15">
        <v>43487</v>
      </c>
      <c r="B293" s="13">
        <v>2512</v>
      </c>
      <c r="C293" s="13" t="s">
        <v>16</v>
      </c>
      <c r="D293" s="13" t="s">
        <v>19</v>
      </c>
      <c r="E293" s="13">
        <v>-9140</v>
      </c>
    </row>
    <row r="294" spans="1:5">
      <c r="A294" s="14">
        <v>43487</v>
      </c>
      <c r="B294" s="12">
        <v>2512</v>
      </c>
      <c r="C294" s="12" t="s">
        <v>16</v>
      </c>
      <c r="D294" s="12" t="s">
        <v>19</v>
      </c>
      <c r="E294" s="12">
        <v>-9133</v>
      </c>
    </row>
    <row r="295" spans="1:5">
      <c r="A295" s="15">
        <v>43487</v>
      </c>
      <c r="B295" s="13">
        <v>2503</v>
      </c>
      <c r="C295" s="13" t="s">
        <v>22</v>
      </c>
      <c r="D295" s="13" t="s">
        <v>19</v>
      </c>
      <c r="E295" s="13">
        <v>-221</v>
      </c>
    </row>
    <row r="296" spans="1:5">
      <c r="A296" s="14">
        <v>43487</v>
      </c>
      <c r="B296" s="12">
        <v>2503</v>
      </c>
      <c r="C296" s="12" t="s">
        <v>22</v>
      </c>
      <c r="D296" s="12" t="s">
        <v>19</v>
      </c>
      <c r="E296" s="12">
        <v>-203</v>
      </c>
    </row>
    <row r="297" spans="1:5">
      <c r="A297" s="15">
        <v>43487</v>
      </c>
      <c r="B297" s="13">
        <v>1000</v>
      </c>
      <c r="C297" s="13" t="s">
        <v>23</v>
      </c>
      <c r="D297" s="13" t="s">
        <v>19</v>
      </c>
      <c r="E297" s="13">
        <v>628584</v>
      </c>
    </row>
    <row r="298" spans="1:5">
      <c r="A298" s="14">
        <v>43487</v>
      </c>
      <c r="B298" s="12">
        <v>1000</v>
      </c>
      <c r="C298" s="12" t="s">
        <v>23</v>
      </c>
      <c r="D298" s="12" t="s">
        <v>19</v>
      </c>
      <c r="E298" s="12">
        <v>782843</v>
      </c>
    </row>
    <row r="299" spans="1:5">
      <c r="A299" s="15">
        <v>43488</v>
      </c>
      <c r="B299" s="13">
        <v>2503</v>
      </c>
      <c r="C299" s="13" t="s">
        <v>22</v>
      </c>
      <c r="D299" s="13" t="s">
        <v>13</v>
      </c>
      <c r="E299" s="13">
        <v>-311</v>
      </c>
    </row>
    <row r="300" spans="1:5">
      <c r="A300" s="14">
        <v>43488</v>
      </c>
      <c r="B300" s="12">
        <v>2505</v>
      </c>
      <c r="C300" s="12" t="s">
        <v>9</v>
      </c>
      <c r="D300" s="12" t="s">
        <v>14</v>
      </c>
      <c r="E300" s="12">
        <v>-588</v>
      </c>
    </row>
    <row r="301" spans="1:5">
      <c r="A301" s="15">
        <v>43488</v>
      </c>
      <c r="B301" s="13">
        <v>2505</v>
      </c>
      <c r="C301" s="13" t="s">
        <v>9</v>
      </c>
      <c r="D301" s="13" t="s">
        <v>14</v>
      </c>
      <c r="E301" s="13">
        <v>-550</v>
      </c>
    </row>
    <row r="302" spans="1:5">
      <c r="A302" s="14">
        <v>43488</v>
      </c>
      <c r="B302" s="12">
        <v>2505</v>
      </c>
      <c r="C302" s="12" t="s">
        <v>9</v>
      </c>
      <c r="D302" s="12" t="s">
        <v>12</v>
      </c>
      <c r="E302" s="12">
        <v>-1118</v>
      </c>
    </row>
    <row r="303" spans="1:5">
      <c r="A303" s="15">
        <v>43488</v>
      </c>
      <c r="B303" s="13">
        <v>2513</v>
      </c>
      <c r="C303" s="13" t="s">
        <v>17</v>
      </c>
      <c r="D303" s="13" t="s">
        <v>8</v>
      </c>
      <c r="E303" s="13">
        <v>-1137</v>
      </c>
    </row>
    <row r="304" spans="1:5">
      <c r="A304" s="14">
        <v>43488</v>
      </c>
      <c r="B304" s="12">
        <v>2514</v>
      </c>
      <c r="C304" s="12" t="s">
        <v>20</v>
      </c>
      <c r="D304" s="12" t="s">
        <v>10</v>
      </c>
      <c r="E304" s="12">
        <v>-1543</v>
      </c>
    </row>
    <row r="305" spans="1:5">
      <c r="A305" s="15">
        <v>43488</v>
      </c>
      <c r="B305" s="13">
        <v>2514</v>
      </c>
      <c r="C305" s="13" t="s">
        <v>20</v>
      </c>
      <c r="D305" s="13" t="s">
        <v>8</v>
      </c>
      <c r="E305" s="13">
        <v>-1036</v>
      </c>
    </row>
    <row r="306" spans="1:5">
      <c r="A306" s="14">
        <v>43488</v>
      </c>
      <c r="B306" s="12">
        <v>2514</v>
      </c>
      <c r="C306" s="12" t="s">
        <v>20</v>
      </c>
      <c r="D306" s="12" t="s">
        <v>10</v>
      </c>
      <c r="E306" s="12">
        <v>-1324</v>
      </c>
    </row>
    <row r="307" spans="1:5">
      <c r="A307" s="15">
        <v>43488</v>
      </c>
      <c r="B307" s="13">
        <v>2510</v>
      </c>
      <c r="C307" s="13" t="s">
        <v>24</v>
      </c>
      <c r="D307" s="13" t="s">
        <v>8</v>
      </c>
      <c r="E307" s="13">
        <v>-1000</v>
      </c>
    </row>
    <row r="308" spans="1:5">
      <c r="A308" s="14">
        <v>43488</v>
      </c>
      <c r="B308" s="12">
        <v>2510</v>
      </c>
      <c r="C308" s="12" t="s">
        <v>24</v>
      </c>
      <c r="D308" s="12" t="s">
        <v>10</v>
      </c>
      <c r="E308" s="12">
        <v>-1797</v>
      </c>
    </row>
    <row r="309" spans="1:5">
      <c r="A309" s="15">
        <v>43488</v>
      </c>
      <c r="B309" s="13">
        <v>2502</v>
      </c>
      <c r="C309" s="13" t="s">
        <v>7</v>
      </c>
      <c r="D309" s="13" t="s">
        <v>19</v>
      </c>
      <c r="E309" s="13">
        <v>-2591</v>
      </c>
    </row>
    <row r="310" spans="1:5">
      <c r="A310" s="14">
        <v>43488</v>
      </c>
      <c r="B310" s="12">
        <v>2504</v>
      </c>
      <c r="C310" s="12" t="s">
        <v>21</v>
      </c>
      <c r="D310" s="12" t="s">
        <v>19</v>
      </c>
      <c r="E310" s="12">
        <v>-1593</v>
      </c>
    </row>
    <row r="311" spans="1:5">
      <c r="A311" s="15">
        <v>43488</v>
      </c>
      <c r="B311" s="13">
        <v>2503</v>
      </c>
      <c r="C311" s="13" t="s">
        <v>22</v>
      </c>
      <c r="D311" s="13" t="s">
        <v>19</v>
      </c>
      <c r="E311" s="13">
        <v>-291</v>
      </c>
    </row>
    <row r="312" spans="1:5">
      <c r="A312" s="14">
        <v>43488</v>
      </c>
      <c r="B312" s="12">
        <v>2503</v>
      </c>
      <c r="C312" s="12" t="s">
        <v>22</v>
      </c>
      <c r="D312" s="12" t="s">
        <v>19</v>
      </c>
      <c r="E312" s="12">
        <v>-206</v>
      </c>
    </row>
    <row r="313" spans="1:5">
      <c r="A313" s="15">
        <v>43488</v>
      </c>
      <c r="B313" s="13">
        <v>2501</v>
      </c>
      <c r="C313" s="13" t="s">
        <v>5</v>
      </c>
      <c r="D313" s="13" t="s">
        <v>19</v>
      </c>
      <c r="E313" s="13">
        <v>-133</v>
      </c>
    </row>
    <row r="314" spans="1:5">
      <c r="A314" s="14">
        <v>43488</v>
      </c>
      <c r="B314" s="12">
        <v>2501</v>
      </c>
      <c r="C314" s="12" t="s">
        <v>5</v>
      </c>
      <c r="D314" s="12" t="s">
        <v>19</v>
      </c>
      <c r="E314" s="12">
        <v>-132</v>
      </c>
    </row>
    <row r="315" spans="1:5">
      <c r="A315" s="15">
        <v>43489</v>
      </c>
      <c r="B315" s="13">
        <v>2502</v>
      </c>
      <c r="C315" s="13" t="s">
        <v>7</v>
      </c>
      <c r="D315" s="13" t="s">
        <v>6</v>
      </c>
      <c r="E315" s="13">
        <v>-7412</v>
      </c>
    </row>
    <row r="316" spans="1:5">
      <c r="A316" s="14">
        <v>43489</v>
      </c>
      <c r="B316" s="12">
        <v>2503</v>
      </c>
      <c r="C316" s="12" t="s">
        <v>22</v>
      </c>
      <c r="D316" s="12" t="s">
        <v>12</v>
      </c>
      <c r="E316" s="12">
        <v>-587</v>
      </c>
    </row>
    <row r="317" spans="1:5">
      <c r="A317" s="15">
        <v>43489</v>
      </c>
      <c r="B317" s="13">
        <v>2503</v>
      </c>
      <c r="C317" s="13" t="s">
        <v>22</v>
      </c>
      <c r="D317" s="13" t="s">
        <v>12</v>
      </c>
      <c r="E317" s="13">
        <v>-627</v>
      </c>
    </row>
    <row r="318" spans="1:5">
      <c r="A318" s="14">
        <v>43489</v>
      </c>
      <c r="B318" s="12">
        <v>2503</v>
      </c>
      <c r="C318" s="12" t="s">
        <v>22</v>
      </c>
      <c r="D318" s="12" t="s">
        <v>14</v>
      </c>
      <c r="E318" s="12">
        <v>-367</v>
      </c>
    </row>
    <row r="319" spans="1:5">
      <c r="A319" s="15">
        <v>43489</v>
      </c>
      <c r="B319" s="13">
        <v>2505</v>
      </c>
      <c r="C319" s="13" t="s">
        <v>9</v>
      </c>
      <c r="D319" s="13" t="s">
        <v>12</v>
      </c>
      <c r="E319" s="13">
        <v>-995</v>
      </c>
    </row>
    <row r="320" spans="1:5">
      <c r="A320" s="14">
        <v>43489</v>
      </c>
      <c r="B320" s="12">
        <v>2508</v>
      </c>
      <c r="C320" s="12" t="s">
        <v>15</v>
      </c>
      <c r="D320" s="12" t="s">
        <v>14</v>
      </c>
      <c r="E320" s="12">
        <v>-81046</v>
      </c>
    </row>
    <row r="321" spans="1:5">
      <c r="A321" s="15">
        <v>43489</v>
      </c>
      <c r="B321" s="13">
        <v>2508</v>
      </c>
      <c r="C321" s="13" t="s">
        <v>15</v>
      </c>
      <c r="D321" s="13" t="s">
        <v>8</v>
      </c>
      <c r="E321" s="13">
        <v>-56143</v>
      </c>
    </row>
    <row r="322" spans="1:5">
      <c r="A322" s="14">
        <v>43489</v>
      </c>
      <c r="B322" s="12">
        <v>2512</v>
      </c>
      <c r="C322" s="12" t="s">
        <v>16</v>
      </c>
      <c r="D322" s="12" t="s">
        <v>6</v>
      </c>
      <c r="E322" s="12">
        <v>-3585</v>
      </c>
    </row>
    <row r="323" spans="1:5">
      <c r="A323" s="15">
        <v>43489</v>
      </c>
      <c r="B323" s="13">
        <v>2514</v>
      </c>
      <c r="C323" s="13" t="s">
        <v>20</v>
      </c>
      <c r="D323" s="13" t="s">
        <v>10</v>
      </c>
      <c r="E323" s="13">
        <v>-1376</v>
      </c>
    </row>
    <row r="324" spans="1:5">
      <c r="A324" s="14">
        <v>43489</v>
      </c>
      <c r="B324" s="12">
        <v>2514</v>
      </c>
      <c r="C324" s="12" t="s">
        <v>20</v>
      </c>
      <c r="D324" s="12" t="s">
        <v>6</v>
      </c>
      <c r="E324" s="12">
        <v>-1058</v>
      </c>
    </row>
    <row r="325" spans="1:5">
      <c r="A325" s="15">
        <v>43489</v>
      </c>
      <c r="B325" s="13">
        <v>2500</v>
      </c>
      <c r="C325" s="13" t="s">
        <v>25</v>
      </c>
      <c r="D325" s="13" t="s">
        <v>19</v>
      </c>
      <c r="E325" s="13">
        <v>-34434</v>
      </c>
    </row>
    <row r="326" spans="1:5">
      <c r="A326" s="14">
        <v>43489</v>
      </c>
      <c r="B326" s="12">
        <v>1500</v>
      </c>
      <c r="C326" s="12" t="s">
        <v>26</v>
      </c>
      <c r="D326" s="12" t="s">
        <v>19</v>
      </c>
      <c r="E326" s="12">
        <v>-33066</v>
      </c>
    </row>
    <row r="327" spans="1:5">
      <c r="A327" s="15">
        <v>43489</v>
      </c>
      <c r="B327" s="13">
        <v>2513</v>
      </c>
      <c r="C327" s="13" t="s">
        <v>17</v>
      </c>
      <c r="D327" s="13" t="s">
        <v>19</v>
      </c>
      <c r="E327" s="13">
        <v>-777</v>
      </c>
    </row>
    <row r="328" spans="1:5">
      <c r="A328" s="14">
        <v>43489</v>
      </c>
      <c r="B328" s="12">
        <v>2513</v>
      </c>
      <c r="C328" s="12" t="s">
        <v>17</v>
      </c>
      <c r="D328" s="12" t="s">
        <v>19</v>
      </c>
      <c r="E328" s="12">
        <v>-571</v>
      </c>
    </row>
    <row r="329" spans="1:5">
      <c r="A329" s="15">
        <v>43489</v>
      </c>
      <c r="B329" s="13">
        <v>1000</v>
      </c>
      <c r="C329" s="13" t="s">
        <v>23</v>
      </c>
      <c r="D329" s="13" t="s">
        <v>19</v>
      </c>
      <c r="E329" s="13">
        <v>1037792</v>
      </c>
    </row>
    <row r="330" spans="1:5">
      <c r="A330" s="14">
        <v>43490</v>
      </c>
      <c r="B330" s="12">
        <v>2000</v>
      </c>
      <c r="C330" s="12" t="s">
        <v>18</v>
      </c>
      <c r="D330" s="12" t="s">
        <v>19</v>
      </c>
      <c r="E330" s="12">
        <v>-192912</v>
      </c>
    </row>
    <row r="331" spans="1:5">
      <c r="A331" s="15">
        <v>43490</v>
      </c>
      <c r="B331" s="13">
        <v>2505</v>
      </c>
      <c r="C331" s="13" t="s">
        <v>9</v>
      </c>
      <c r="D331" s="13" t="s">
        <v>14</v>
      </c>
      <c r="E331" s="13">
        <v>-495</v>
      </c>
    </row>
    <row r="332" spans="1:5">
      <c r="A332" s="14">
        <v>43490</v>
      </c>
      <c r="B332" s="12">
        <v>2505</v>
      </c>
      <c r="C332" s="12" t="s">
        <v>9</v>
      </c>
      <c r="D332" s="12" t="s">
        <v>10</v>
      </c>
      <c r="E332" s="12">
        <v>-605</v>
      </c>
    </row>
    <row r="333" spans="1:5">
      <c r="A333" s="15">
        <v>43490</v>
      </c>
      <c r="B333" s="13">
        <v>2508</v>
      </c>
      <c r="C333" s="13" t="s">
        <v>15</v>
      </c>
      <c r="D333" s="13" t="s">
        <v>6</v>
      </c>
      <c r="E333" s="13">
        <v>-59982</v>
      </c>
    </row>
    <row r="334" spans="1:5">
      <c r="A334" s="14">
        <v>43490</v>
      </c>
      <c r="B334" s="12">
        <v>2512</v>
      </c>
      <c r="C334" s="12" t="s">
        <v>16</v>
      </c>
      <c r="D334" s="12" t="s">
        <v>10</v>
      </c>
      <c r="E334" s="12">
        <v>-4847</v>
      </c>
    </row>
    <row r="335" spans="1:5">
      <c r="A335" s="15">
        <v>43490</v>
      </c>
      <c r="B335" s="13">
        <v>2513</v>
      </c>
      <c r="C335" s="13" t="s">
        <v>17</v>
      </c>
      <c r="D335" s="13" t="s">
        <v>10</v>
      </c>
      <c r="E335" s="13">
        <v>-762</v>
      </c>
    </row>
    <row r="336" spans="1:5">
      <c r="A336" s="14">
        <v>43490</v>
      </c>
      <c r="B336" s="12">
        <v>1500</v>
      </c>
      <c r="C336" s="12" t="s">
        <v>26</v>
      </c>
      <c r="D336" s="12" t="s">
        <v>19</v>
      </c>
      <c r="E336" s="12">
        <v>-54298</v>
      </c>
    </row>
    <row r="337" spans="1:5">
      <c r="A337" s="15">
        <v>43490</v>
      </c>
      <c r="B337" s="13">
        <v>2512</v>
      </c>
      <c r="C337" s="13" t="s">
        <v>16</v>
      </c>
      <c r="D337" s="13" t="s">
        <v>19</v>
      </c>
      <c r="E337" s="13">
        <v>-12544</v>
      </c>
    </row>
    <row r="338" spans="1:5">
      <c r="A338" s="14">
        <v>43490</v>
      </c>
      <c r="B338" s="12">
        <v>2504</v>
      </c>
      <c r="C338" s="12" t="s">
        <v>21</v>
      </c>
      <c r="D338" s="12" t="s">
        <v>19</v>
      </c>
      <c r="E338" s="12">
        <v>-1486</v>
      </c>
    </row>
    <row r="339" spans="1:5">
      <c r="A339" s="15">
        <v>43490</v>
      </c>
      <c r="B339" s="13">
        <v>2501</v>
      </c>
      <c r="C339" s="13" t="s">
        <v>5</v>
      </c>
      <c r="D339" s="13" t="s">
        <v>19</v>
      </c>
      <c r="E339" s="13">
        <v>-91</v>
      </c>
    </row>
    <row r="340" spans="1:5">
      <c r="A340" s="14">
        <v>43490</v>
      </c>
      <c r="B340" s="12">
        <v>2501</v>
      </c>
      <c r="C340" s="12" t="s">
        <v>5</v>
      </c>
      <c r="D340" s="12" t="s">
        <v>19</v>
      </c>
      <c r="E340" s="12">
        <v>-88</v>
      </c>
    </row>
    <row r="341" spans="1:5">
      <c r="A341" s="15">
        <v>43491</v>
      </c>
      <c r="B341" s="13">
        <v>2000</v>
      </c>
      <c r="C341" s="13" t="s">
        <v>18</v>
      </c>
      <c r="D341" s="13" t="s">
        <v>19</v>
      </c>
      <c r="E341" s="13">
        <v>-289395</v>
      </c>
    </row>
    <row r="342" spans="1:5">
      <c r="A342" s="14">
        <v>43491</v>
      </c>
      <c r="B342" s="12">
        <v>2501</v>
      </c>
      <c r="C342" s="12" t="s">
        <v>5</v>
      </c>
      <c r="D342" s="12" t="s">
        <v>12</v>
      </c>
      <c r="E342" s="12">
        <v>-177</v>
      </c>
    </row>
    <row r="343" spans="1:5">
      <c r="A343" s="15">
        <v>43491</v>
      </c>
      <c r="B343" s="13">
        <v>2501</v>
      </c>
      <c r="C343" s="13" t="s">
        <v>5</v>
      </c>
      <c r="D343" s="13" t="s">
        <v>13</v>
      </c>
      <c r="E343" s="13">
        <v>-88</v>
      </c>
    </row>
    <row r="344" spans="1:5">
      <c r="A344" s="14">
        <v>43491</v>
      </c>
      <c r="B344" s="12">
        <v>2503</v>
      </c>
      <c r="C344" s="12" t="s">
        <v>22</v>
      </c>
      <c r="D344" s="12" t="s">
        <v>10</v>
      </c>
      <c r="E344" s="12">
        <v>-381</v>
      </c>
    </row>
    <row r="345" spans="1:5">
      <c r="A345" s="15">
        <v>43491</v>
      </c>
      <c r="B345" s="13">
        <v>2505</v>
      </c>
      <c r="C345" s="13" t="s">
        <v>9</v>
      </c>
      <c r="D345" s="13" t="s">
        <v>12</v>
      </c>
      <c r="E345" s="13">
        <v>-1229</v>
      </c>
    </row>
    <row r="346" spans="1:5">
      <c r="A346" s="14">
        <v>43491</v>
      </c>
      <c r="B346" s="12">
        <v>2506</v>
      </c>
      <c r="C346" s="12" t="s">
        <v>27</v>
      </c>
      <c r="D346" s="12" t="s">
        <v>8</v>
      </c>
      <c r="E346" s="12">
        <v>-629</v>
      </c>
    </row>
    <row r="347" spans="1:5">
      <c r="A347" s="15">
        <v>43491</v>
      </c>
      <c r="B347" s="13">
        <v>2512</v>
      </c>
      <c r="C347" s="13" t="s">
        <v>16</v>
      </c>
      <c r="D347" s="13" t="s">
        <v>14</v>
      </c>
      <c r="E347" s="13">
        <v>-3866</v>
      </c>
    </row>
    <row r="348" spans="1:5">
      <c r="A348" s="14">
        <v>43491</v>
      </c>
      <c r="B348" s="12">
        <v>2514</v>
      </c>
      <c r="C348" s="12" t="s">
        <v>20</v>
      </c>
      <c r="D348" s="12" t="s">
        <v>13</v>
      </c>
      <c r="E348" s="12">
        <v>-794</v>
      </c>
    </row>
    <row r="349" spans="1:5">
      <c r="A349" s="15">
        <v>43491</v>
      </c>
      <c r="B349" s="13">
        <v>2514</v>
      </c>
      <c r="C349" s="13" t="s">
        <v>20</v>
      </c>
      <c r="D349" s="13" t="s">
        <v>14</v>
      </c>
      <c r="E349" s="13">
        <v>-1537</v>
      </c>
    </row>
    <row r="350" spans="1:5">
      <c r="A350" s="14">
        <v>43491</v>
      </c>
      <c r="B350" s="12">
        <v>2508</v>
      </c>
      <c r="C350" s="12" t="s">
        <v>15</v>
      </c>
      <c r="D350" s="12" t="s">
        <v>19</v>
      </c>
      <c r="E350" s="12">
        <v>-57819</v>
      </c>
    </row>
    <row r="351" spans="1:5">
      <c r="A351" s="15">
        <v>43491</v>
      </c>
      <c r="B351" s="13">
        <v>2500</v>
      </c>
      <c r="C351" s="13" t="s">
        <v>25</v>
      </c>
      <c r="D351" s="13" t="s">
        <v>19</v>
      </c>
      <c r="E351" s="13">
        <v>-45460</v>
      </c>
    </row>
    <row r="352" spans="1:5">
      <c r="A352" s="14">
        <v>43491</v>
      </c>
      <c r="B352" s="12">
        <v>2512</v>
      </c>
      <c r="C352" s="12" t="s">
        <v>16</v>
      </c>
      <c r="D352" s="12" t="s">
        <v>19</v>
      </c>
      <c r="E352" s="12">
        <v>-12666</v>
      </c>
    </row>
    <row r="353" spans="1:5">
      <c r="A353" s="15">
        <v>43491</v>
      </c>
      <c r="B353" s="13">
        <v>2502</v>
      </c>
      <c r="C353" s="13" t="s">
        <v>7</v>
      </c>
      <c r="D353" s="13" t="s">
        <v>19</v>
      </c>
      <c r="E353" s="13">
        <v>-4144</v>
      </c>
    </row>
    <row r="354" spans="1:5">
      <c r="A354" s="14">
        <v>43491</v>
      </c>
      <c r="B354" s="12">
        <v>2504</v>
      </c>
      <c r="C354" s="12" t="s">
        <v>21</v>
      </c>
      <c r="D354" s="12" t="s">
        <v>19</v>
      </c>
      <c r="E354" s="12">
        <v>-2014</v>
      </c>
    </row>
    <row r="355" spans="1:5">
      <c r="A355" s="15">
        <v>43491</v>
      </c>
      <c r="B355" s="13">
        <v>2514</v>
      </c>
      <c r="C355" s="13" t="s">
        <v>20</v>
      </c>
      <c r="D355" s="13" t="s">
        <v>19</v>
      </c>
      <c r="E355" s="13">
        <v>-884</v>
      </c>
    </row>
    <row r="356" spans="1:5">
      <c r="A356" s="14">
        <v>43491</v>
      </c>
      <c r="B356" s="12">
        <v>2503</v>
      </c>
      <c r="C356" s="12" t="s">
        <v>22</v>
      </c>
      <c r="D356" s="12" t="s">
        <v>19</v>
      </c>
      <c r="E356" s="12">
        <v>-319</v>
      </c>
    </row>
    <row r="357" spans="1:5">
      <c r="A357" s="15">
        <v>43491</v>
      </c>
      <c r="B357" s="13">
        <v>2501</v>
      </c>
      <c r="C357" s="13" t="s">
        <v>5</v>
      </c>
      <c r="D357" s="13" t="s">
        <v>19</v>
      </c>
      <c r="E357" s="13">
        <v>-72</v>
      </c>
    </row>
    <row r="358" spans="1:5">
      <c r="A358" s="14">
        <v>43492</v>
      </c>
      <c r="B358" s="12">
        <v>2501</v>
      </c>
      <c r="C358" s="12" t="s">
        <v>5</v>
      </c>
      <c r="D358" s="12" t="s">
        <v>14</v>
      </c>
      <c r="E358" s="12">
        <v>-110</v>
      </c>
    </row>
    <row r="359" spans="1:5">
      <c r="A359" s="15">
        <v>43492</v>
      </c>
      <c r="B359" s="13">
        <v>2505</v>
      </c>
      <c r="C359" s="13" t="s">
        <v>9</v>
      </c>
      <c r="D359" s="13" t="s">
        <v>14</v>
      </c>
      <c r="E359" s="13">
        <v>-697</v>
      </c>
    </row>
    <row r="360" spans="1:5">
      <c r="A360" s="14">
        <v>43492</v>
      </c>
      <c r="B360" s="12">
        <v>2510</v>
      </c>
      <c r="C360" s="12" t="s">
        <v>24</v>
      </c>
      <c r="D360" s="12" t="s">
        <v>14</v>
      </c>
      <c r="E360" s="12">
        <v>-1718</v>
      </c>
    </row>
    <row r="361" spans="1:5">
      <c r="A361" s="15">
        <v>43492</v>
      </c>
      <c r="B361" s="13">
        <v>2508</v>
      </c>
      <c r="C361" s="13" t="s">
        <v>15</v>
      </c>
      <c r="D361" s="13" t="s">
        <v>19</v>
      </c>
      <c r="E361" s="13">
        <v>-42270</v>
      </c>
    </row>
    <row r="362" spans="1:5">
      <c r="A362" s="14">
        <v>43492</v>
      </c>
      <c r="B362" s="12">
        <v>1500</v>
      </c>
      <c r="C362" s="12" t="s">
        <v>26</v>
      </c>
      <c r="D362" s="12" t="s">
        <v>19</v>
      </c>
      <c r="E362" s="12">
        <v>-33681</v>
      </c>
    </row>
    <row r="363" spans="1:5">
      <c r="A363" s="15">
        <v>43492</v>
      </c>
      <c r="B363" s="13">
        <v>2512</v>
      </c>
      <c r="C363" s="13" t="s">
        <v>16</v>
      </c>
      <c r="D363" s="13" t="s">
        <v>19</v>
      </c>
      <c r="E363" s="13">
        <v>-6883</v>
      </c>
    </row>
    <row r="364" spans="1:5">
      <c r="A364" s="14">
        <v>43492</v>
      </c>
      <c r="B364" s="12">
        <v>2514</v>
      </c>
      <c r="C364" s="12" t="s">
        <v>20</v>
      </c>
      <c r="D364" s="12" t="s">
        <v>19</v>
      </c>
      <c r="E364" s="12">
        <v>-1192</v>
      </c>
    </row>
    <row r="365" spans="1:5">
      <c r="A365" s="15">
        <v>43492</v>
      </c>
      <c r="B365" s="13">
        <v>2514</v>
      </c>
      <c r="C365" s="13" t="s">
        <v>20</v>
      </c>
      <c r="D365" s="13" t="s">
        <v>19</v>
      </c>
      <c r="E365" s="13">
        <v>-1107</v>
      </c>
    </row>
    <row r="366" spans="1:5">
      <c r="A366" s="14">
        <v>43493</v>
      </c>
      <c r="B366" s="12">
        <v>2508</v>
      </c>
      <c r="C366" s="12" t="s">
        <v>15</v>
      </c>
      <c r="D366" s="12" t="s">
        <v>19</v>
      </c>
      <c r="E366" s="12">
        <v>-61179</v>
      </c>
    </row>
    <row r="367" spans="1:5">
      <c r="A367" s="15">
        <v>43493</v>
      </c>
      <c r="B367" s="13">
        <v>2501</v>
      </c>
      <c r="C367" s="13" t="s">
        <v>5</v>
      </c>
      <c r="D367" s="13" t="s">
        <v>10</v>
      </c>
      <c r="E367" s="13">
        <v>-155</v>
      </c>
    </row>
    <row r="368" spans="1:5">
      <c r="A368" s="14">
        <v>43493</v>
      </c>
      <c r="B368" s="12">
        <v>2502</v>
      </c>
      <c r="C368" s="12" t="s">
        <v>7</v>
      </c>
      <c r="D368" s="12" t="s">
        <v>14</v>
      </c>
      <c r="E368" s="12">
        <v>-7165</v>
      </c>
    </row>
    <row r="369" spans="1:5">
      <c r="A369" s="15">
        <v>43493</v>
      </c>
      <c r="B369" s="13">
        <v>2503</v>
      </c>
      <c r="C369" s="13" t="s">
        <v>22</v>
      </c>
      <c r="D369" s="13" t="s">
        <v>8</v>
      </c>
      <c r="E369" s="13">
        <v>-283</v>
      </c>
    </row>
    <row r="370" spans="1:5">
      <c r="A370" s="14">
        <v>43493</v>
      </c>
      <c r="B370" s="12">
        <v>2505</v>
      </c>
      <c r="C370" s="12" t="s">
        <v>9</v>
      </c>
      <c r="D370" s="12" t="s">
        <v>12</v>
      </c>
      <c r="E370" s="12">
        <v>-778</v>
      </c>
    </row>
    <row r="371" spans="1:5">
      <c r="A371" s="15">
        <v>43493</v>
      </c>
      <c r="B371" s="13">
        <v>2508</v>
      </c>
      <c r="C371" s="13" t="s">
        <v>15</v>
      </c>
      <c r="D371" s="13" t="s">
        <v>14</v>
      </c>
      <c r="E371" s="13">
        <v>-74473</v>
      </c>
    </row>
    <row r="372" spans="1:5">
      <c r="A372" s="14">
        <v>43493</v>
      </c>
      <c r="B372" s="12">
        <v>2512</v>
      </c>
      <c r="C372" s="12" t="s">
        <v>16</v>
      </c>
      <c r="D372" s="12" t="s">
        <v>12</v>
      </c>
      <c r="E372" s="12">
        <v>-1142</v>
      </c>
    </row>
    <row r="373" spans="1:5">
      <c r="A373" s="15">
        <v>43493</v>
      </c>
      <c r="B373" s="13">
        <v>2514</v>
      </c>
      <c r="C373" s="13" t="s">
        <v>20</v>
      </c>
      <c r="D373" s="13" t="s">
        <v>14</v>
      </c>
      <c r="E373" s="13">
        <v>-1155</v>
      </c>
    </row>
    <row r="374" spans="1:5">
      <c r="A374" s="14">
        <v>43493</v>
      </c>
      <c r="B374" s="12">
        <v>2514</v>
      </c>
      <c r="C374" s="12" t="s">
        <v>20</v>
      </c>
      <c r="D374" s="12" t="s">
        <v>8</v>
      </c>
      <c r="E374" s="12">
        <v>-1343</v>
      </c>
    </row>
    <row r="375" spans="1:5">
      <c r="A375" s="15">
        <v>43493</v>
      </c>
      <c r="B375" s="13">
        <v>1500</v>
      </c>
      <c r="C375" s="13" t="s">
        <v>26</v>
      </c>
      <c r="D375" s="13" t="s">
        <v>19</v>
      </c>
      <c r="E375" s="13">
        <v>-29866</v>
      </c>
    </row>
    <row r="376" spans="1:5">
      <c r="A376" s="14">
        <v>43493</v>
      </c>
      <c r="B376" s="12">
        <v>2500</v>
      </c>
      <c r="C376" s="12" t="s">
        <v>25</v>
      </c>
      <c r="D376" s="12" t="s">
        <v>19</v>
      </c>
      <c r="E376" s="12">
        <v>-25656</v>
      </c>
    </row>
    <row r="377" spans="1:5">
      <c r="A377" s="15">
        <v>43493</v>
      </c>
      <c r="B377" s="13">
        <v>2513</v>
      </c>
      <c r="C377" s="13" t="s">
        <v>17</v>
      </c>
      <c r="D377" s="13" t="s">
        <v>19</v>
      </c>
      <c r="E377" s="13">
        <v>-607</v>
      </c>
    </row>
    <row r="378" spans="1:5">
      <c r="A378" s="14">
        <v>43493</v>
      </c>
      <c r="B378" s="12">
        <v>2513</v>
      </c>
      <c r="C378" s="12" t="s">
        <v>17</v>
      </c>
      <c r="D378" s="12" t="s">
        <v>19</v>
      </c>
      <c r="E378" s="12">
        <v>-506</v>
      </c>
    </row>
    <row r="379" spans="1:5">
      <c r="A379" s="15">
        <v>43493</v>
      </c>
      <c r="B379" s="13">
        <v>1000</v>
      </c>
      <c r="C379" s="13" t="s">
        <v>23</v>
      </c>
      <c r="D379" s="13" t="s">
        <v>19</v>
      </c>
      <c r="E379" s="13">
        <v>1214536</v>
      </c>
    </row>
    <row r="380" spans="1:5">
      <c r="A380" s="14">
        <v>43494</v>
      </c>
      <c r="B380" s="12">
        <v>2508</v>
      </c>
      <c r="C380" s="12" t="s">
        <v>15</v>
      </c>
      <c r="D380" s="12" t="s">
        <v>19</v>
      </c>
      <c r="E380" s="12">
        <v>-62997</v>
      </c>
    </row>
    <row r="381" spans="1:5">
      <c r="A381" s="15">
        <v>43494</v>
      </c>
      <c r="B381" s="13">
        <v>2508</v>
      </c>
      <c r="C381" s="13" t="s">
        <v>15</v>
      </c>
      <c r="D381" s="13" t="s">
        <v>19</v>
      </c>
      <c r="E381" s="13">
        <v>-60120</v>
      </c>
    </row>
    <row r="382" spans="1:5">
      <c r="A382" s="14">
        <v>43494</v>
      </c>
      <c r="B382" s="12">
        <v>2503</v>
      </c>
      <c r="C382" s="12" t="s">
        <v>22</v>
      </c>
      <c r="D382" s="12" t="s">
        <v>12</v>
      </c>
      <c r="E382" s="12">
        <v>-494</v>
      </c>
    </row>
    <row r="383" spans="1:5">
      <c r="A383" s="15">
        <v>43494</v>
      </c>
      <c r="B383" s="13">
        <v>2503</v>
      </c>
      <c r="C383" s="13" t="s">
        <v>22</v>
      </c>
      <c r="D383" s="13" t="s">
        <v>14</v>
      </c>
      <c r="E383" s="13">
        <v>-342</v>
      </c>
    </row>
    <row r="384" spans="1:5">
      <c r="A384" s="14">
        <v>43494</v>
      </c>
      <c r="B384" s="12">
        <v>2503</v>
      </c>
      <c r="C384" s="12" t="s">
        <v>22</v>
      </c>
      <c r="D384" s="12" t="s">
        <v>8</v>
      </c>
      <c r="E384" s="12">
        <v>-384</v>
      </c>
    </row>
    <row r="385" spans="1:5">
      <c r="A385" s="15">
        <v>43494</v>
      </c>
      <c r="B385" s="13">
        <v>2505</v>
      </c>
      <c r="C385" s="13" t="s">
        <v>9</v>
      </c>
      <c r="D385" s="13" t="s">
        <v>12</v>
      </c>
      <c r="E385" s="13">
        <v>-1193</v>
      </c>
    </row>
    <row r="386" spans="1:5">
      <c r="A386" s="14">
        <v>43494</v>
      </c>
      <c r="B386" s="12">
        <v>2505</v>
      </c>
      <c r="C386" s="12" t="s">
        <v>9</v>
      </c>
      <c r="D386" s="12" t="s">
        <v>13</v>
      </c>
      <c r="E386" s="12">
        <v>-408</v>
      </c>
    </row>
    <row r="387" spans="1:5">
      <c r="A387" s="15">
        <v>43494</v>
      </c>
      <c r="B387" s="13">
        <v>2508</v>
      </c>
      <c r="C387" s="13" t="s">
        <v>15</v>
      </c>
      <c r="D387" s="13" t="s">
        <v>8</v>
      </c>
      <c r="E387" s="13">
        <v>-76281</v>
      </c>
    </row>
    <row r="388" spans="1:5">
      <c r="A388" s="14">
        <v>43494</v>
      </c>
      <c r="B388" s="12">
        <v>2512</v>
      </c>
      <c r="C388" s="12" t="s">
        <v>16</v>
      </c>
      <c r="D388" s="12" t="s">
        <v>14</v>
      </c>
      <c r="E388" s="12">
        <v>-4479</v>
      </c>
    </row>
    <row r="389" spans="1:5">
      <c r="A389" s="15">
        <v>43494</v>
      </c>
      <c r="B389" s="13">
        <v>2513</v>
      </c>
      <c r="C389" s="13" t="s">
        <v>17</v>
      </c>
      <c r="D389" s="13" t="s">
        <v>6</v>
      </c>
      <c r="E389" s="13">
        <v>-833</v>
      </c>
    </row>
    <row r="390" spans="1:5">
      <c r="A390" s="14">
        <v>43494</v>
      </c>
      <c r="B390" s="12">
        <v>1500</v>
      </c>
      <c r="C390" s="12" t="s">
        <v>26</v>
      </c>
      <c r="D390" s="12" t="s">
        <v>19</v>
      </c>
      <c r="E390" s="12">
        <v>-18529</v>
      </c>
    </row>
    <row r="391" spans="1:5">
      <c r="A391" s="15">
        <v>43494</v>
      </c>
      <c r="B391" s="13">
        <v>2504</v>
      </c>
      <c r="C391" s="13" t="s">
        <v>21</v>
      </c>
      <c r="D391" s="13" t="s">
        <v>19</v>
      </c>
      <c r="E391" s="13">
        <v>-1055</v>
      </c>
    </row>
    <row r="392" spans="1:5">
      <c r="A392" s="14">
        <v>43494</v>
      </c>
      <c r="B392" s="12">
        <v>2514</v>
      </c>
      <c r="C392" s="12" t="s">
        <v>20</v>
      </c>
      <c r="D392" s="12" t="s">
        <v>19</v>
      </c>
      <c r="E392" s="12">
        <v>-872</v>
      </c>
    </row>
    <row r="393" spans="1:5">
      <c r="A393" s="15">
        <v>43494</v>
      </c>
      <c r="B393" s="13">
        <v>2505</v>
      </c>
      <c r="C393" s="13" t="s">
        <v>9</v>
      </c>
      <c r="D393" s="13" t="s">
        <v>19</v>
      </c>
      <c r="E393" s="13">
        <v>-479</v>
      </c>
    </row>
    <row r="394" spans="1:5">
      <c r="A394" s="14">
        <v>43494</v>
      </c>
      <c r="B394" s="12">
        <v>2503</v>
      </c>
      <c r="C394" s="12" t="s">
        <v>22</v>
      </c>
      <c r="D394" s="12" t="s">
        <v>19</v>
      </c>
      <c r="E394" s="12">
        <v>-307</v>
      </c>
    </row>
    <row r="395" spans="1:5">
      <c r="A395" s="15">
        <v>43495</v>
      </c>
      <c r="B395" s="13">
        <v>2505</v>
      </c>
      <c r="C395" s="13" t="s">
        <v>9</v>
      </c>
      <c r="D395" s="13" t="s">
        <v>10</v>
      </c>
      <c r="E395" s="13">
        <v>-686</v>
      </c>
    </row>
    <row r="396" spans="1:5">
      <c r="A396" s="14">
        <v>43495</v>
      </c>
      <c r="B396" s="12">
        <v>2506</v>
      </c>
      <c r="C396" s="12" t="s">
        <v>27</v>
      </c>
      <c r="D396" s="12" t="s">
        <v>14</v>
      </c>
      <c r="E396" s="12">
        <v>-574</v>
      </c>
    </row>
    <row r="397" spans="1:5">
      <c r="A397" s="15">
        <v>43495</v>
      </c>
      <c r="B397" s="13">
        <v>2513</v>
      </c>
      <c r="C397" s="13" t="s">
        <v>17</v>
      </c>
      <c r="D397" s="13" t="s">
        <v>8</v>
      </c>
      <c r="E397" s="13">
        <v>-840</v>
      </c>
    </row>
    <row r="398" spans="1:5">
      <c r="A398" s="14">
        <v>43495</v>
      </c>
      <c r="B398" s="12">
        <v>2513</v>
      </c>
      <c r="C398" s="12" t="s">
        <v>17</v>
      </c>
      <c r="D398" s="12" t="s">
        <v>14</v>
      </c>
      <c r="E398" s="12">
        <v>-942</v>
      </c>
    </row>
    <row r="399" spans="1:5">
      <c r="A399" s="15">
        <v>43495</v>
      </c>
      <c r="B399" s="13">
        <v>2510</v>
      </c>
      <c r="C399" s="13" t="s">
        <v>24</v>
      </c>
      <c r="D399" s="13" t="s">
        <v>13</v>
      </c>
      <c r="E399" s="13">
        <v>-1025</v>
      </c>
    </row>
    <row r="400" spans="1:5">
      <c r="A400" s="14">
        <v>43495</v>
      </c>
      <c r="B400" s="12">
        <v>2510</v>
      </c>
      <c r="C400" s="12" t="s">
        <v>24</v>
      </c>
      <c r="D400" s="12" t="s">
        <v>19</v>
      </c>
      <c r="E400" s="12">
        <v>-891</v>
      </c>
    </row>
    <row r="401" spans="1:5">
      <c r="A401" s="15">
        <v>43495</v>
      </c>
      <c r="B401" s="13">
        <v>2505</v>
      </c>
      <c r="C401" s="13" t="s">
        <v>9</v>
      </c>
      <c r="D401" s="13" t="s">
        <v>19</v>
      </c>
      <c r="E401" s="13">
        <v>-287</v>
      </c>
    </row>
    <row r="402" spans="1:5">
      <c r="A402" s="14">
        <v>43495</v>
      </c>
      <c r="B402" s="12">
        <v>1000</v>
      </c>
      <c r="C402" s="12" t="s">
        <v>23</v>
      </c>
      <c r="D402" s="12" t="s">
        <v>19</v>
      </c>
      <c r="E402" s="12">
        <v>677227</v>
      </c>
    </row>
    <row r="403" spans="1:5">
      <c r="A403" s="15">
        <v>43495</v>
      </c>
      <c r="B403" s="13">
        <v>1000</v>
      </c>
      <c r="C403" s="13" t="s">
        <v>23</v>
      </c>
      <c r="D403" s="13" t="s">
        <v>19</v>
      </c>
      <c r="E403" s="13">
        <v>771655</v>
      </c>
    </row>
    <row r="404" spans="1:5">
      <c r="A404" s="14">
        <v>43496</v>
      </c>
      <c r="B404" s="12">
        <v>2000</v>
      </c>
      <c r="C404" s="12" t="s">
        <v>18</v>
      </c>
      <c r="D404" s="12" t="s">
        <v>19</v>
      </c>
      <c r="E404" s="12">
        <v>-287821</v>
      </c>
    </row>
    <row r="405" spans="1:5">
      <c r="A405" s="15">
        <v>43496</v>
      </c>
      <c r="B405" s="13">
        <v>2502</v>
      </c>
      <c r="C405" s="13" t="s">
        <v>7</v>
      </c>
      <c r="D405" s="13" t="s">
        <v>8</v>
      </c>
      <c r="E405" s="13">
        <v>-3706</v>
      </c>
    </row>
    <row r="406" spans="1:5">
      <c r="A406" s="14">
        <v>43496</v>
      </c>
      <c r="B406" s="12">
        <v>2503</v>
      </c>
      <c r="C406" s="12" t="s">
        <v>22</v>
      </c>
      <c r="D406" s="12" t="s">
        <v>13</v>
      </c>
      <c r="E406" s="12">
        <v>-262</v>
      </c>
    </row>
    <row r="407" spans="1:5">
      <c r="A407" s="15">
        <v>43496</v>
      </c>
      <c r="B407" s="13">
        <v>2505</v>
      </c>
      <c r="C407" s="13" t="s">
        <v>9</v>
      </c>
      <c r="D407" s="13" t="s">
        <v>14</v>
      </c>
      <c r="E407" s="13">
        <v>-790</v>
      </c>
    </row>
    <row r="408" spans="1:5">
      <c r="A408" s="14">
        <v>43496</v>
      </c>
      <c r="B408" s="12">
        <v>2512</v>
      </c>
      <c r="C408" s="12" t="s">
        <v>16</v>
      </c>
      <c r="D408" s="12" t="s">
        <v>14</v>
      </c>
      <c r="E408" s="12">
        <v>-2135</v>
      </c>
    </row>
    <row r="409" spans="1:5">
      <c r="A409" s="15">
        <v>43496</v>
      </c>
      <c r="B409" s="13">
        <v>2513</v>
      </c>
      <c r="C409" s="13" t="s">
        <v>17</v>
      </c>
      <c r="D409" s="13" t="s">
        <v>14</v>
      </c>
      <c r="E409" s="13">
        <v>-870</v>
      </c>
    </row>
    <row r="410" spans="1:5">
      <c r="A410" s="14">
        <v>43496</v>
      </c>
      <c r="B410" s="12">
        <v>2514</v>
      </c>
      <c r="C410" s="12" t="s">
        <v>20</v>
      </c>
      <c r="D410" s="12" t="s">
        <v>13</v>
      </c>
      <c r="E410" s="12">
        <v>-1024</v>
      </c>
    </row>
    <row r="411" spans="1:5">
      <c r="A411" s="15">
        <v>43496</v>
      </c>
      <c r="B411" s="13">
        <v>2514</v>
      </c>
      <c r="C411" s="13" t="s">
        <v>20</v>
      </c>
      <c r="D411" s="13" t="s">
        <v>14</v>
      </c>
      <c r="E411" s="13">
        <v>-1318</v>
      </c>
    </row>
    <row r="412" spans="1:5">
      <c r="A412" s="14">
        <v>43496</v>
      </c>
      <c r="B412" s="12">
        <v>2508</v>
      </c>
      <c r="C412" s="12" t="s">
        <v>15</v>
      </c>
      <c r="D412" s="12" t="s">
        <v>19</v>
      </c>
      <c r="E412" s="12">
        <v>-51113</v>
      </c>
    </row>
    <row r="413" spans="1:5">
      <c r="A413" s="15">
        <v>43496</v>
      </c>
      <c r="B413" s="13">
        <v>2500</v>
      </c>
      <c r="C413" s="13" t="s">
        <v>25</v>
      </c>
      <c r="D413" s="13" t="s">
        <v>19</v>
      </c>
      <c r="E413" s="13">
        <v>-13469</v>
      </c>
    </row>
    <row r="414" spans="1:5">
      <c r="A414" s="14">
        <v>43496</v>
      </c>
      <c r="B414" s="12">
        <v>2502</v>
      </c>
      <c r="C414" s="12" t="s">
        <v>7</v>
      </c>
      <c r="D414" s="12" t="s">
        <v>19</v>
      </c>
      <c r="E414" s="12">
        <v>-4010</v>
      </c>
    </row>
    <row r="415" spans="1:5">
      <c r="A415" s="15">
        <v>43496</v>
      </c>
      <c r="B415" s="13">
        <v>2504</v>
      </c>
      <c r="C415" s="13" t="s">
        <v>21</v>
      </c>
      <c r="D415" s="13" t="s">
        <v>19</v>
      </c>
      <c r="E415" s="13">
        <v>-2338</v>
      </c>
    </row>
    <row r="416" spans="1:5">
      <c r="A416" s="14">
        <v>43496</v>
      </c>
      <c r="B416" s="12">
        <v>2503</v>
      </c>
      <c r="C416" s="12" t="s">
        <v>22</v>
      </c>
      <c r="D416" s="12" t="s">
        <v>19</v>
      </c>
      <c r="E416" s="12">
        <v>-240</v>
      </c>
    </row>
    <row r="417" spans="1:5">
      <c r="A417" s="15">
        <v>43497</v>
      </c>
      <c r="B417" s="13">
        <v>2000</v>
      </c>
      <c r="C417" s="13" t="s">
        <v>18</v>
      </c>
      <c r="D417" s="13" t="s">
        <v>19</v>
      </c>
      <c r="E417" s="13">
        <v>-225363</v>
      </c>
    </row>
    <row r="418" spans="1:5">
      <c r="A418" s="14">
        <v>43497</v>
      </c>
      <c r="B418" s="12">
        <v>2505</v>
      </c>
      <c r="C418" s="12" t="s">
        <v>9</v>
      </c>
      <c r="D418" s="12" t="s">
        <v>8</v>
      </c>
      <c r="E418" s="12">
        <v>-431</v>
      </c>
    </row>
    <row r="419" spans="1:5">
      <c r="A419" s="15">
        <v>43497</v>
      </c>
      <c r="B419" s="13">
        <v>2505</v>
      </c>
      <c r="C419" s="13" t="s">
        <v>9</v>
      </c>
      <c r="D419" s="13" t="s">
        <v>13</v>
      </c>
      <c r="E419" s="13">
        <v>-371</v>
      </c>
    </row>
    <row r="420" spans="1:5">
      <c r="A420" s="14">
        <v>43497</v>
      </c>
      <c r="B420" s="12">
        <v>2505</v>
      </c>
      <c r="C420" s="12" t="s">
        <v>9</v>
      </c>
      <c r="D420" s="12" t="s">
        <v>8</v>
      </c>
      <c r="E420" s="12">
        <v>-765</v>
      </c>
    </row>
    <row r="421" spans="1:5">
      <c r="A421" s="15">
        <v>43497</v>
      </c>
      <c r="B421" s="13">
        <v>2506</v>
      </c>
      <c r="C421" s="13" t="s">
        <v>27</v>
      </c>
      <c r="D421" s="13" t="s">
        <v>14</v>
      </c>
      <c r="E421" s="13">
        <v>-505</v>
      </c>
    </row>
    <row r="422" spans="1:5">
      <c r="A422" s="14">
        <v>43497</v>
      </c>
      <c r="B422" s="12">
        <v>2507</v>
      </c>
      <c r="C422" s="12" t="s">
        <v>11</v>
      </c>
      <c r="D422" s="12" t="s">
        <v>12</v>
      </c>
      <c r="E422" s="12">
        <v>-2320</v>
      </c>
    </row>
    <row r="423" spans="1:5">
      <c r="A423" s="15">
        <v>43497</v>
      </c>
      <c r="B423" s="13">
        <v>2507</v>
      </c>
      <c r="C423" s="13" t="s">
        <v>11</v>
      </c>
      <c r="D423" s="13" t="s">
        <v>13</v>
      </c>
      <c r="E423" s="13">
        <v>-2080</v>
      </c>
    </row>
    <row r="424" spans="1:5">
      <c r="A424" s="14">
        <v>43497</v>
      </c>
      <c r="B424" s="12">
        <v>2507</v>
      </c>
      <c r="C424" s="12" t="s">
        <v>11</v>
      </c>
      <c r="D424" s="12" t="s">
        <v>8</v>
      </c>
      <c r="E424" s="12">
        <v>-1920</v>
      </c>
    </row>
    <row r="425" spans="1:5">
      <c r="A425" s="15">
        <v>43497</v>
      </c>
      <c r="B425" s="13">
        <v>2507</v>
      </c>
      <c r="C425" s="13" t="s">
        <v>11</v>
      </c>
      <c r="D425" s="13" t="s">
        <v>10</v>
      </c>
      <c r="E425" s="13">
        <v>-1550</v>
      </c>
    </row>
    <row r="426" spans="1:5">
      <c r="A426" s="14">
        <v>43497</v>
      </c>
      <c r="B426" s="12">
        <v>2507</v>
      </c>
      <c r="C426" s="12" t="s">
        <v>11</v>
      </c>
      <c r="D426" s="12" t="s">
        <v>6</v>
      </c>
      <c r="E426" s="12">
        <v>-1720</v>
      </c>
    </row>
    <row r="427" spans="1:5">
      <c r="A427" s="15">
        <v>43497</v>
      </c>
      <c r="B427" s="13">
        <v>2507</v>
      </c>
      <c r="C427" s="13" t="s">
        <v>11</v>
      </c>
      <c r="D427" s="13" t="s">
        <v>14</v>
      </c>
      <c r="E427" s="13">
        <v>-1140</v>
      </c>
    </row>
    <row r="428" spans="1:5">
      <c r="A428" s="14">
        <v>43497</v>
      </c>
      <c r="B428" s="12">
        <v>2514</v>
      </c>
      <c r="C428" s="12" t="s">
        <v>20</v>
      </c>
      <c r="D428" s="12" t="s">
        <v>10</v>
      </c>
      <c r="E428" s="12">
        <v>-1327</v>
      </c>
    </row>
    <row r="429" spans="1:5">
      <c r="A429" s="15">
        <v>43497</v>
      </c>
      <c r="B429" s="13">
        <v>2514</v>
      </c>
      <c r="C429" s="13" t="s">
        <v>20</v>
      </c>
      <c r="D429" s="13" t="s">
        <v>14</v>
      </c>
      <c r="E429" s="13">
        <v>-1134</v>
      </c>
    </row>
    <row r="430" spans="1:5">
      <c r="A430" s="14">
        <v>43497</v>
      </c>
      <c r="B430" s="12">
        <v>2510</v>
      </c>
      <c r="C430" s="12" t="s">
        <v>24</v>
      </c>
      <c r="D430" s="12" t="s">
        <v>13</v>
      </c>
      <c r="E430" s="12">
        <v>-1329</v>
      </c>
    </row>
    <row r="431" spans="1:5">
      <c r="A431" s="15">
        <v>43497</v>
      </c>
      <c r="B431" s="13">
        <v>2507</v>
      </c>
      <c r="C431" s="13" t="s">
        <v>11</v>
      </c>
      <c r="D431" s="13" t="s">
        <v>19</v>
      </c>
      <c r="E431" s="13">
        <v>-2160</v>
      </c>
    </row>
    <row r="432" spans="1:5">
      <c r="A432" s="14">
        <v>43497</v>
      </c>
      <c r="B432" s="12">
        <v>2504</v>
      </c>
      <c r="C432" s="12" t="s">
        <v>21</v>
      </c>
      <c r="D432" s="12" t="s">
        <v>19</v>
      </c>
      <c r="E432" s="12">
        <v>-1952</v>
      </c>
    </row>
    <row r="433" spans="1:5">
      <c r="A433" s="15">
        <v>43497</v>
      </c>
      <c r="B433" s="13">
        <v>2510</v>
      </c>
      <c r="C433" s="13" t="s">
        <v>24</v>
      </c>
      <c r="D433" s="13" t="s">
        <v>19</v>
      </c>
      <c r="E433" s="13">
        <v>-1197</v>
      </c>
    </row>
    <row r="434" spans="1:5">
      <c r="A434" s="14">
        <v>43497</v>
      </c>
      <c r="B434" s="12">
        <v>2510</v>
      </c>
      <c r="C434" s="12" t="s">
        <v>24</v>
      </c>
      <c r="D434" s="12" t="s">
        <v>19</v>
      </c>
      <c r="E434" s="12">
        <v>-877</v>
      </c>
    </row>
    <row r="435" spans="1:5">
      <c r="A435" s="15">
        <v>43498</v>
      </c>
      <c r="B435" s="13">
        <v>2503</v>
      </c>
      <c r="C435" s="13" t="s">
        <v>22</v>
      </c>
      <c r="D435" s="13" t="s">
        <v>8</v>
      </c>
      <c r="E435" s="13">
        <v>-361</v>
      </c>
    </row>
    <row r="436" spans="1:5">
      <c r="A436" s="14">
        <v>43498</v>
      </c>
      <c r="B436" s="12">
        <v>2508</v>
      </c>
      <c r="C436" s="12" t="s">
        <v>15</v>
      </c>
      <c r="D436" s="12" t="s">
        <v>13</v>
      </c>
      <c r="E436" s="12">
        <v>-53449</v>
      </c>
    </row>
    <row r="437" spans="1:5">
      <c r="A437" s="15">
        <v>43498</v>
      </c>
      <c r="B437" s="13">
        <v>2512</v>
      </c>
      <c r="C437" s="13" t="s">
        <v>16</v>
      </c>
      <c r="D437" s="13" t="s">
        <v>10</v>
      </c>
      <c r="E437" s="13">
        <v>-2891</v>
      </c>
    </row>
    <row r="438" spans="1:5">
      <c r="A438" s="14">
        <v>43498</v>
      </c>
      <c r="B438" s="12">
        <v>2512</v>
      </c>
      <c r="C438" s="12" t="s">
        <v>16</v>
      </c>
      <c r="D438" s="12" t="s">
        <v>14</v>
      </c>
      <c r="E438" s="12">
        <v>-2163</v>
      </c>
    </row>
    <row r="439" spans="1:5">
      <c r="A439" s="15">
        <v>43498</v>
      </c>
      <c r="B439" s="13">
        <v>2513</v>
      </c>
      <c r="C439" s="13" t="s">
        <v>17</v>
      </c>
      <c r="D439" s="13" t="s">
        <v>6</v>
      </c>
      <c r="E439" s="13">
        <v>-1077</v>
      </c>
    </row>
    <row r="440" spans="1:5">
      <c r="A440" s="14">
        <v>43498</v>
      </c>
      <c r="B440" s="12">
        <v>2513</v>
      </c>
      <c r="C440" s="12" t="s">
        <v>17</v>
      </c>
      <c r="D440" s="12" t="s">
        <v>12</v>
      </c>
      <c r="E440" s="12">
        <v>-1007</v>
      </c>
    </row>
    <row r="441" spans="1:5">
      <c r="A441" s="15">
        <v>43498</v>
      </c>
      <c r="B441" s="13">
        <v>2513</v>
      </c>
      <c r="C441" s="13" t="s">
        <v>17</v>
      </c>
      <c r="D441" s="13" t="s">
        <v>6</v>
      </c>
      <c r="E441" s="13">
        <v>-1172</v>
      </c>
    </row>
    <row r="442" spans="1:5">
      <c r="A442" s="14">
        <v>43498</v>
      </c>
      <c r="B442" s="12">
        <v>2508</v>
      </c>
      <c r="C442" s="12" t="s">
        <v>15</v>
      </c>
      <c r="D442" s="12" t="s">
        <v>19</v>
      </c>
      <c r="E442" s="12">
        <v>-48641</v>
      </c>
    </row>
    <row r="443" spans="1:5">
      <c r="A443" s="15">
        <v>43498</v>
      </c>
      <c r="B443" s="13">
        <v>2502</v>
      </c>
      <c r="C443" s="13" t="s">
        <v>7</v>
      </c>
      <c r="D443" s="13" t="s">
        <v>19</v>
      </c>
      <c r="E443" s="13">
        <v>-5291</v>
      </c>
    </row>
    <row r="444" spans="1:5">
      <c r="A444" s="14">
        <v>43498</v>
      </c>
      <c r="B444" s="12">
        <v>2510</v>
      </c>
      <c r="C444" s="12" t="s">
        <v>24</v>
      </c>
      <c r="D444" s="12" t="s">
        <v>19</v>
      </c>
      <c r="E444" s="12">
        <v>-1363</v>
      </c>
    </row>
    <row r="445" spans="1:5">
      <c r="A445" s="15">
        <v>43498</v>
      </c>
      <c r="B445" s="13">
        <v>2513</v>
      </c>
      <c r="C445" s="13" t="s">
        <v>17</v>
      </c>
      <c r="D445" s="13" t="s">
        <v>19</v>
      </c>
      <c r="E445" s="13">
        <v>-893</v>
      </c>
    </row>
    <row r="446" spans="1:5">
      <c r="A446" s="14">
        <v>43498</v>
      </c>
      <c r="B446" s="12">
        <v>2514</v>
      </c>
      <c r="C446" s="12" t="s">
        <v>20</v>
      </c>
      <c r="D446" s="12" t="s">
        <v>19</v>
      </c>
      <c r="E446" s="12">
        <v>-843</v>
      </c>
    </row>
    <row r="447" spans="1:5">
      <c r="A447" s="15">
        <v>43498</v>
      </c>
      <c r="B447" s="13">
        <v>2513</v>
      </c>
      <c r="C447" s="13" t="s">
        <v>17</v>
      </c>
      <c r="D447" s="13" t="s">
        <v>19</v>
      </c>
      <c r="E447" s="13">
        <v>-824</v>
      </c>
    </row>
    <row r="448" spans="1:5">
      <c r="A448" s="14">
        <v>43498</v>
      </c>
      <c r="B448" s="12">
        <v>2513</v>
      </c>
      <c r="C448" s="12" t="s">
        <v>17</v>
      </c>
      <c r="D448" s="12" t="s">
        <v>19</v>
      </c>
      <c r="E448" s="12">
        <v>-501</v>
      </c>
    </row>
    <row r="449" spans="1:5">
      <c r="A449" s="15">
        <v>43499</v>
      </c>
      <c r="B449" s="13">
        <v>2508</v>
      </c>
      <c r="C449" s="13" t="s">
        <v>15</v>
      </c>
      <c r="D449" s="13" t="s">
        <v>19</v>
      </c>
      <c r="E449" s="13">
        <v>-63767</v>
      </c>
    </row>
    <row r="450" spans="1:5">
      <c r="A450" s="14">
        <v>43499</v>
      </c>
      <c r="B450" s="12">
        <v>2503</v>
      </c>
      <c r="C450" s="12" t="s">
        <v>22</v>
      </c>
      <c r="D450" s="12" t="s">
        <v>12</v>
      </c>
      <c r="E450" s="12">
        <v>-400</v>
      </c>
    </row>
    <row r="451" spans="1:5">
      <c r="A451" s="15">
        <v>43499</v>
      </c>
      <c r="B451" s="13">
        <v>2513</v>
      </c>
      <c r="C451" s="13" t="s">
        <v>17</v>
      </c>
      <c r="D451" s="13" t="s">
        <v>6</v>
      </c>
      <c r="E451" s="13">
        <v>-610</v>
      </c>
    </row>
    <row r="452" spans="1:5">
      <c r="A452" s="14">
        <v>43499</v>
      </c>
      <c r="B452" s="12">
        <v>2510</v>
      </c>
      <c r="C452" s="12" t="s">
        <v>24</v>
      </c>
      <c r="D452" s="12" t="s">
        <v>8</v>
      </c>
      <c r="E452" s="12">
        <v>-1634</v>
      </c>
    </row>
    <row r="453" spans="1:5">
      <c r="A453" s="15">
        <v>43499</v>
      </c>
      <c r="B453" s="13">
        <v>2508</v>
      </c>
      <c r="C453" s="13" t="s">
        <v>15</v>
      </c>
      <c r="D453" s="13" t="s">
        <v>19</v>
      </c>
      <c r="E453" s="13">
        <v>-42272</v>
      </c>
    </row>
    <row r="454" spans="1:5">
      <c r="A454" s="14">
        <v>43499</v>
      </c>
      <c r="B454" s="12">
        <v>2500</v>
      </c>
      <c r="C454" s="12" t="s">
        <v>25</v>
      </c>
      <c r="D454" s="12" t="s">
        <v>19</v>
      </c>
      <c r="E454" s="12">
        <v>-31810</v>
      </c>
    </row>
    <row r="455" spans="1:5">
      <c r="A455" s="15">
        <v>43499</v>
      </c>
      <c r="B455" s="13">
        <v>2500</v>
      </c>
      <c r="C455" s="13" t="s">
        <v>25</v>
      </c>
      <c r="D455" s="13" t="s">
        <v>19</v>
      </c>
      <c r="E455" s="13">
        <v>-21557</v>
      </c>
    </row>
    <row r="456" spans="1:5">
      <c r="A456" s="14">
        <v>43499</v>
      </c>
      <c r="B456" s="12">
        <v>1500</v>
      </c>
      <c r="C456" s="12" t="s">
        <v>26</v>
      </c>
      <c r="D456" s="12" t="s">
        <v>19</v>
      </c>
      <c r="E456" s="12">
        <v>-5950</v>
      </c>
    </row>
    <row r="457" spans="1:5">
      <c r="A457" s="15">
        <v>43499</v>
      </c>
      <c r="B457" s="13">
        <v>2502</v>
      </c>
      <c r="C457" s="13" t="s">
        <v>7</v>
      </c>
      <c r="D457" s="13" t="s">
        <v>19</v>
      </c>
      <c r="E457" s="13">
        <v>-5626</v>
      </c>
    </row>
    <row r="458" spans="1:5">
      <c r="A458" s="14">
        <v>43499</v>
      </c>
      <c r="B458" s="12">
        <v>2513</v>
      </c>
      <c r="C458" s="12" t="s">
        <v>17</v>
      </c>
      <c r="D458" s="12" t="s">
        <v>19</v>
      </c>
      <c r="E458" s="12">
        <v>-896</v>
      </c>
    </row>
    <row r="459" spans="1:5">
      <c r="A459" s="15">
        <v>43499</v>
      </c>
      <c r="B459" s="13">
        <v>2513</v>
      </c>
      <c r="C459" s="13" t="s">
        <v>17</v>
      </c>
      <c r="D459" s="13" t="s">
        <v>19</v>
      </c>
      <c r="E459" s="13">
        <v>-717</v>
      </c>
    </row>
    <row r="460" spans="1:5">
      <c r="A460" s="14">
        <v>43499</v>
      </c>
      <c r="B460" s="12">
        <v>2505</v>
      </c>
      <c r="C460" s="12" t="s">
        <v>9</v>
      </c>
      <c r="D460" s="12" t="s">
        <v>19</v>
      </c>
      <c r="E460" s="12">
        <v>-375</v>
      </c>
    </row>
    <row r="461" spans="1:5">
      <c r="A461" s="15">
        <v>43500</v>
      </c>
      <c r="B461" s="13">
        <v>2501</v>
      </c>
      <c r="C461" s="13" t="s">
        <v>5</v>
      </c>
      <c r="D461" s="13" t="s">
        <v>10</v>
      </c>
      <c r="E461" s="13">
        <v>-156</v>
      </c>
    </row>
    <row r="462" spans="1:5">
      <c r="A462" s="14">
        <v>43500</v>
      </c>
      <c r="B462" s="12">
        <v>2502</v>
      </c>
      <c r="C462" s="12" t="s">
        <v>7</v>
      </c>
      <c r="D462" s="12" t="s">
        <v>8</v>
      </c>
      <c r="E462" s="12">
        <v>-5188</v>
      </c>
    </row>
    <row r="463" spans="1:5">
      <c r="A463" s="15">
        <v>43500</v>
      </c>
      <c r="B463" s="13">
        <v>2505</v>
      </c>
      <c r="C463" s="13" t="s">
        <v>9</v>
      </c>
      <c r="D463" s="13" t="s">
        <v>10</v>
      </c>
      <c r="E463" s="13">
        <v>-446</v>
      </c>
    </row>
    <row r="464" spans="1:5">
      <c r="A464" s="14">
        <v>43500</v>
      </c>
      <c r="B464" s="12">
        <v>2505</v>
      </c>
      <c r="C464" s="12" t="s">
        <v>9</v>
      </c>
      <c r="D464" s="12" t="s">
        <v>10</v>
      </c>
      <c r="E464" s="12">
        <v>-797</v>
      </c>
    </row>
    <row r="465" spans="1:5">
      <c r="A465" s="15">
        <v>43500</v>
      </c>
      <c r="B465" s="13">
        <v>2514</v>
      </c>
      <c r="C465" s="13" t="s">
        <v>20</v>
      </c>
      <c r="D465" s="13" t="s">
        <v>8</v>
      </c>
      <c r="E465" s="13">
        <v>-1247</v>
      </c>
    </row>
    <row r="466" spans="1:5">
      <c r="A466" s="14">
        <v>43500</v>
      </c>
      <c r="B466" s="12">
        <v>2514</v>
      </c>
      <c r="C466" s="12" t="s">
        <v>20</v>
      </c>
      <c r="D466" s="12" t="s">
        <v>8</v>
      </c>
      <c r="E466" s="12">
        <v>-1539</v>
      </c>
    </row>
    <row r="467" spans="1:5">
      <c r="A467" s="15">
        <v>43500</v>
      </c>
      <c r="B467" s="13">
        <v>2514</v>
      </c>
      <c r="C467" s="13" t="s">
        <v>20</v>
      </c>
      <c r="D467" s="13" t="s">
        <v>13</v>
      </c>
      <c r="E467" s="13">
        <v>-789</v>
      </c>
    </row>
    <row r="468" spans="1:5">
      <c r="A468" s="14">
        <v>43500</v>
      </c>
      <c r="B468" s="12">
        <v>2510</v>
      </c>
      <c r="C468" s="12" t="s">
        <v>24</v>
      </c>
      <c r="D468" s="12" t="s">
        <v>6</v>
      </c>
      <c r="E468" s="12">
        <v>-1773</v>
      </c>
    </row>
    <row r="469" spans="1:5">
      <c r="A469" s="15">
        <v>43500</v>
      </c>
      <c r="B469" s="13">
        <v>2504</v>
      </c>
      <c r="C469" s="13" t="s">
        <v>21</v>
      </c>
      <c r="D469" s="13" t="s">
        <v>19</v>
      </c>
      <c r="E469" s="13">
        <v>-2546</v>
      </c>
    </row>
    <row r="470" spans="1:5">
      <c r="A470" s="14">
        <v>43500</v>
      </c>
      <c r="B470" s="12">
        <v>2514</v>
      </c>
      <c r="C470" s="12" t="s">
        <v>20</v>
      </c>
      <c r="D470" s="12" t="s">
        <v>19</v>
      </c>
      <c r="E470" s="12">
        <v>-1141</v>
      </c>
    </row>
    <row r="471" spans="1:5">
      <c r="A471" s="15">
        <v>43500</v>
      </c>
      <c r="B471" s="13">
        <v>2505</v>
      </c>
      <c r="C471" s="13" t="s">
        <v>9</v>
      </c>
      <c r="D471" s="13" t="s">
        <v>19</v>
      </c>
      <c r="E471" s="13">
        <v>-549</v>
      </c>
    </row>
    <row r="472" spans="1:5">
      <c r="A472" s="14">
        <v>43500</v>
      </c>
      <c r="B472" s="12">
        <v>2505</v>
      </c>
      <c r="C472" s="12" t="s">
        <v>9</v>
      </c>
      <c r="D472" s="12" t="s">
        <v>19</v>
      </c>
      <c r="E472" s="12">
        <v>-524</v>
      </c>
    </row>
    <row r="473" spans="1:5">
      <c r="A473" s="15">
        <v>43500</v>
      </c>
      <c r="B473" s="13">
        <v>2505</v>
      </c>
      <c r="C473" s="13" t="s">
        <v>9</v>
      </c>
      <c r="D473" s="13" t="s">
        <v>19</v>
      </c>
      <c r="E473" s="13">
        <v>-492</v>
      </c>
    </row>
    <row r="474" spans="1:5">
      <c r="A474" s="14">
        <v>43500</v>
      </c>
      <c r="B474" s="12">
        <v>2501</v>
      </c>
      <c r="C474" s="12" t="s">
        <v>5</v>
      </c>
      <c r="D474" s="12" t="s">
        <v>19</v>
      </c>
      <c r="E474" s="12">
        <v>-140</v>
      </c>
    </row>
    <row r="475" spans="1:5">
      <c r="A475" s="15">
        <v>43501</v>
      </c>
      <c r="B475" s="13">
        <v>2502</v>
      </c>
      <c r="C475" s="13" t="s">
        <v>7</v>
      </c>
      <c r="D475" s="13" t="s">
        <v>13</v>
      </c>
      <c r="E475" s="13">
        <v>-3598</v>
      </c>
    </row>
    <row r="476" spans="1:5">
      <c r="A476" s="14">
        <v>43501</v>
      </c>
      <c r="B476" s="12">
        <v>2502</v>
      </c>
      <c r="C476" s="12" t="s">
        <v>7</v>
      </c>
      <c r="D476" s="12" t="s">
        <v>8</v>
      </c>
      <c r="E476" s="12">
        <v>-4717</v>
      </c>
    </row>
    <row r="477" spans="1:5">
      <c r="A477" s="15">
        <v>43501</v>
      </c>
      <c r="B477" s="13">
        <v>2500</v>
      </c>
      <c r="C477" s="13" t="s">
        <v>25</v>
      </c>
      <c r="D477" s="13" t="s">
        <v>19</v>
      </c>
      <c r="E477" s="13">
        <v>-54901</v>
      </c>
    </row>
    <row r="478" spans="1:5">
      <c r="A478" s="14">
        <v>43501</v>
      </c>
      <c r="B478" s="12">
        <v>2508</v>
      </c>
      <c r="C478" s="12" t="s">
        <v>15</v>
      </c>
      <c r="D478" s="12" t="s">
        <v>8</v>
      </c>
      <c r="E478" s="12">
        <v>-78694</v>
      </c>
    </row>
    <row r="479" spans="1:5">
      <c r="A479" s="15">
        <v>43501</v>
      </c>
      <c r="B479" s="13">
        <v>2508</v>
      </c>
      <c r="C479" s="13" t="s">
        <v>15</v>
      </c>
      <c r="D479" s="13" t="s">
        <v>13</v>
      </c>
      <c r="E479" s="13">
        <v>-55487</v>
      </c>
    </row>
    <row r="480" spans="1:5">
      <c r="A480" s="14">
        <v>43501</v>
      </c>
      <c r="B480" s="12">
        <v>2513</v>
      </c>
      <c r="C480" s="12" t="s">
        <v>17</v>
      </c>
      <c r="D480" s="12" t="s">
        <v>10</v>
      </c>
      <c r="E480" s="12">
        <v>-962</v>
      </c>
    </row>
    <row r="481" spans="1:5">
      <c r="A481" s="15">
        <v>43501</v>
      </c>
      <c r="B481" s="13">
        <v>2513</v>
      </c>
      <c r="C481" s="13" t="s">
        <v>17</v>
      </c>
      <c r="D481" s="13" t="s">
        <v>8</v>
      </c>
      <c r="E481" s="13">
        <v>-962</v>
      </c>
    </row>
    <row r="482" spans="1:5">
      <c r="A482" s="14">
        <v>43501</v>
      </c>
      <c r="B482" s="12">
        <v>2514</v>
      </c>
      <c r="C482" s="12" t="s">
        <v>20</v>
      </c>
      <c r="D482" s="12" t="s">
        <v>10</v>
      </c>
      <c r="E482" s="12">
        <v>-1032</v>
      </c>
    </row>
    <row r="483" spans="1:5">
      <c r="A483" s="15">
        <v>43501</v>
      </c>
      <c r="B483" s="13">
        <v>2510</v>
      </c>
      <c r="C483" s="13" t="s">
        <v>24</v>
      </c>
      <c r="D483" s="13" t="s">
        <v>8</v>
      </c>
      <c r="E483" s="13">
        <v>-1718</v>
      </c>
    </row>
    <row r="484" spans="1:5">
      <c r="A484" s="14">
        <v>43501</v>
      </c>
      <c r="B484" s="12">
        <v>2512</v>
      </c>
      <c r="C484" s="12" t="s">
        <v>16</v>
      </c>
      <c r="D484" s="12" t="s">
        <v>19</v>
      </c>
      <c r="E484" s="12">
        <v>-10493</v>
      </c>
    </row>
    <row r="485" spans="1:5">
      <c r="A485" s="15">
        <v>43501</v>
      </c>
      <c r="B485" s="13">
        <v>2512</v>
      </c>
      <c r="C485" s="13" t="s">
        <v>16</v>
      </c>
      <c r="D485" s="13" t="s">
        <v>19</v>
      </c>
      <c r="E485" s="13">
        <v>-6695</v>
      </c>
    </row>
    <row r="486" spans="1:5">
      <c r="A486" s="14">
        <v>43501</v>
      </c>
      <c r="B486" s="12">
        <v>2502</v>
      </c>
      <c r="C486" s="12" t="s">
        <v>7</v>
      </c>
      <c r="D486" s="12" t="s">
        <v>19</v>
      </c>
      <c r="E486" s="12">
        <v>-4043</v>
      </c>
    </row>
    <row r="487" spans="1:5">
      <c r="A487" s="15">
        <v>43501</v>
      </c>
      <c r="B487" s="13">
        <v>1500</v>
      </c>
      <c r="C487" s="13" t="s">
        <v>26</v>
      </c>
      <c r="D487" s="13" t="s">
        <v>19</v>
      </c>
      <c r="E487" s="13">
        <v>-2696</v>
      </c>
    </row>
    <row r="488" spans="1:5">
      <c r="A488" s="14">
        <v>43501</v>
      </c>
      <c r="B488" s="12">
        <v>2503</v>
      </c>
      <c r="C488" s="12" t="s">
        <v>22</v>
      </c>
      <c r="D488" s="12" t="s">
        <v>19</v>
      </c>
      <c r="E488" s="12">
        <v>-294</v>
      </c>
    </row>
    <row r="489" spans="1:5">
      <c r="A489" s="15">
        <v>43502</v>
      </c>
      <c r="B489" s="13">
        <v>2501</v>
      </c>
      <c r="C489" s="13" t="s">
        <v>5</v>
      </c>
      <c r="D489" s="13" t="s">
        <v>8</v>
      </c>
      <c r="E489" s="13">
        <v>-89</v>
      </c>
    </row>
    <row r="490" spans="1:5">
      <c r="A490" s="14">
        <v>43502</v>
      </c>
      <c r="B490" s="12">
        <v>2501</v>
      </c>
      <c r="C490" s="12" t="s">
        <v>5</v>
      </c>
      <c r="D490" s="12" t="s">
        <v>12</v>
      </c>
      <c r="E490" s="12">
        <v>-308</v>
      </c>
    </row>
    <row r="491" spans="1:5">
      <c r="A491" s="15">
        <v>43502</v>
      </c>
      <c r="B491" s="13">
        <v>2501</v>
      </c>
      <c r="C491" s="13" t="s">
        <v>5</v>
      </c>
      <c r="D491" s="13" t="s">
        <v>13</v>
      </c>
      <c r="E491" s="13">
        <v>-78</v>
      </c>
    </row>
    <row r="492" spans="1:5">
      <c r="A492" s="14">
        <v>43502</v>
      </c>
      <c r="B492" s="12">
        <v>2503</v>
      </c>
      <c r="C492" s="12" t="s">
        <v>22</v>
      </c>
      <c r="D492" s="12" t="s">
        <v>10</v>
      </c>
      <c r="E492" s="12">
        <v>-397</v>
      </c>
    </row>
    <row r="493" spans="1:5">
      <c r="A493" s="15">
        <v>43502</v>
      </c>
      <c r="B493" s="13">
        <v>2503</v>
      </c>
      <c r="C493" s="13" t="s">
        <v>22</v>
      </c>
      <c r="D493" s="13" t="s">
        <v>8</v>
      </c>
      <c r="E493" s="13">
        <v>-313</v>
      </c>
    </row>
    <row r="494" spans="1:5">
      <c r="A494" s="14">
        <v>43502</v>
      </c>
      <c r="B494" s="12">
        <v>2513</v>
      </c>
      <c r="C494" s="12" t="s">
        <v>17</v>
      </c>
      <c r="D494" s="12" t="s">
        <v>6</v>
      </c>
      <c r="E494" s="12">
        <v>-1057</v>
      </c>
    </row>
    <row r="495" spans="1:5">
      <c r="A495" s="15">
        <v>43502</v>
      </c>
      <c r="B495" s="13">
        <v>2514</v>
      </c>
      <c r="C495" s="13" t="s">
        <v>20</v>
      </c>
      <c r="D495" s="13" t="s">
        <v>8</v>
      </c>
      <c r="E495" s="13">
        <v>-1312</v>
      </c>
    </row>
    <row r="496" spans="1:5">
      <c r="A496" s="14">
        <v>43502</v>
      </c>
      <c r="B496" s="12">
        <v>1500</v>
      </c>
      <c r="C496" s="12" t="s">
        <v>26</v>
      </c>
      <c r="D496" s="12" t="s">
        <v>19</v>
      </c>
      <c r="E496" s="12">
        <v>-2978</v>
      </c>
    </row>
    <row r="497" spans="1:5">
      <c r="A497" s="15">
        <v>43502</v>
      </c>
      <c r="B497" s="13">
        <v>2504</v>
      </c>
      <c r="C497" s="13" t="s">
        <v>21</v>
      </c>
      <c r="D497" s="13" t="s">
        <v>19</v>
      </c>
      <c r="E497" s="13">
        <v>-1489</v>
      </c>
    </row>
    <row r="498" spans="1:5">
      <c r="A498" s="14">
        <v>43502</v>
      </c>
      <c r="B498" s="12">
        <v>2514</v>
      </c>
      <c r="C498" s="12" t="s">
        <v>20</v>
      </c>
      <c r="D498" s="12" t="s">
        <v>19</v>
      </c>
      <c r="E498" s="12">
        <v>-822</v>
      </c>
    </row>
    <row r="499" spans="1:5">
      <c r="A499" s="15">
        <v>43502</v>
      </c>
      <c r="B499" s="13">
        <v>2505</v>
      </c>
      <c r="C499" s="13" t="s">
        <v>9</v>
      </c>
      <c r="D499" s="13" t="s">
        <v>19</v>
      </c>
      <c r="E499" s="13">
        <v>-507</v>
      </c>
    </row>
    <row r="500" spans="1:5">
      <c r="A500" s="14">
        <v>43502</v>
      </c>
      <c r="B500" s="12">
        <v>2501</v>
      </c>
      <c r="C500" s="12" t="s">
        <v>5</v>
      </c>
      <c r="D500" s="12" t="s">
        <v>19</v>
      </c>
      <c r="E500" s="12">
        <v>-88</v>
      </c>
    </row>
    <row r="501" spans="1:5">
      <c r="A501" s="15">
        <v>43503</v>
      </c>
      <c r="B501" s="13">
        <v>2512</v>
      </c>
      <c r="C501" s="13" t="s">
        <v>16</v>
      </c>
      <c r="D501" s="13" t="s">
        <v>14</v>
      </c>
      <c r="E501" s="13">
        <v>-2514</v>
      </c>
    </row>
    <row r="502" spans="1:5">
      <c r="A502" s="14">
        <v>43503</v>
      </c>
      <c r="B502" s="12">
        <v>2510</v>
      </c>
      <c r="C502" s="12" t="s">
        <v>24</v>
      </c>
      <c r="D502" s="12" t="s">
        <v>12</v>
      </c>
      <c r="E502" s="12">
        <v>-1981</v>
      </c>
    </row>
    <row r="503" spans="1:5">
      <c r="A503" s="15">
        <v>43503</v>
      </c>
      <c r="B503" s="13">
        <v>2510</v>
      </c>
      <c r="C503" s="13" t="s">
        <v>24</v>
      </c>
      <c r="D503" s="13" t="s">
        <v>14</v>
      </c>
      <c r="E503" s="13">
        <v>-1233</v>
      </c>
    </row>
    <row r="504" spans="1:5">
      <c r="A504" s="14">
        <v>43503</v>
      </c>
      <c r="B504" s="12">
        <v>2512</v>
      </c>
      <c r="C504" s="12" t="s">
        <v>16</v>
      </c>
      <c r="D504" s="12" t="s">
        <v>19</v>
      </c>
      <c r="E504" s="12">
        <v>-4947</v>
      </c>
    </row>
    <row r="505" spans="1:5">
      <c r="A505" s="15">
        <v>43503</v>
      </c>
      <c r="B505" s="13">
        <v>2505</v>
      </c>
      <c r="C505" s="13" t="s">
        <v>9</v>
      </c>
      <c r="D505" s="13" t="s">
        <v>19</v>
      </c>
      <c r="E505" s="13">
        <v>-328</v>
      </c>
    </row>
    <row r="506" spans="1:5">
      <c r="A506" s="14">
        <v>43503</v>
      </c>
      <c r="B506" s="12">
        <v>2505</v>
      </c>
      <c r="C506" s="12" t="s">
        <v>9</v>
      </c>
      <c r="D506" s="12" t="s">
        <v>19</v>
      </c>
      <c r="E506" s="12">
        <v>-292</v>
      </c>
    </row>
    <row r="507" spans="1:5">
      <c r="A507" s="15">
        <v>43504</v>
      </c>
      <c r="B507" s="13">
        <v>2000</v>
      </c>
      <c r="C507" s="13" t="s">
        <v>18</v>
      </c>
      <c r="D507" s="13" t="s">
        <v>19</v>
      </c>
      <c r="E507" s="13">
        <v>-167168</v>
      </c>
    </row>
    <row r="508" spans="1:5">
      <c r="A508" s="14">
        <v>43504</v>
      </c>
      <c r="B508" s="12">
        <v>1500</v>
      </c>
      <c r="C508" s="12" t="s">
        <v>26</v>
      </c>
      <c r="D508" s="12" t="s">
        <v>19</v>
      </c>
      <c r="E508" s="12">
        <v>-56851</v>
      </c>
    </row>
    <row r="509" spans="1:5">
      <c r="A509" s="15">
        <v>43504</v>
      </c>
      <c r="B509" s="13">
        <v>2502</v>
      </c>
      <c r="C509" s="13" t="s">
        <v>7</v>
      </c>
      <c r="D509" s="13" t="s">
        <v>12</v>
      </c>
      <c r="E509" s="13">
        <v>-10759</v>
      </c>
    </row>
    <row r="510" spans="1:5">
      <c r="A510" s="14">
        <v>43504</v>
      </c>
      <c r="B510" s="12">
        <v>2502</v>
      </c>
      <c r="C510" s="12" t="s">
        <v>7</v>
      </c>
      <c r="D510" s="12" t="s">
        <v>14</v>
      </c>
      <c r="E510" s="12">
        <v>-4339</v>
      </c>
    </row>
    <row r="511" spans="1:5">
      <c r="A511" s="15">
        <v>43504</v>
      </c>
      <c r="B511" s="13">
        <v>2505</v>
      </c>
      <c r="C511" s="13" t="s">
        <v>9</v>
      </c>
      <c r="D511" s="13" t="s">
        <v>14</v>
      </c>
      <c r="E511" s="13">
        <v>-596</v>
      </c>
    </row>
    <row r="512" spans="1:5">
      <c r="A512" s="14">
        <v>43504</v>
      </c>
      <c r="B512" s="12">
        <v>2512</v>
      </c>
      <c r="C512" s="12" t="s">
        <v>16</v>
      </c>
      <c r="D512" s="12" t="s">
        <v>19</v>
      </c>
      <c r="E512" s="12">
        <v>-10710</v>
      </c>
    </row>
    <row r="513" spans="1:5">
      <c r="A513" s="15">
        <v>43504</v>
      </c>
      <c r="B513" s="13">
        <v>2502</v>
      </c>
      <c r="C513" s="13" t="s">
        <v>7</v>
      </c>
      <c r="D513" s="13" t="s">
        <v>19</v>
      </c>
      <c r="E513" s="13">
        <v>-4515</v>
      </c>
    </row>
    <row r="514" spans="1:5">
      <c r="A514" s="14">
        <v>43504</v>
      </c>
      <c r="B514" s="12">
        <v>2502</v>
      </c>
      <c r="C514" s="12" t="s">
        <v>7</v>
      </c>
      <c r="D514" s="12" t="s">
        <v>19</v>
      </c>
      <c r="E514" s="12">
        <v>-3538</v>
      </c>
    </row>
    <row r="515" spans="1:5">
      <c r="A515" s="15">
        <v>43504</v>
      </c>
      <c r="B515" s="13">
        <v>2504</v>
      </c>
      <c r="C515" s="13" t="s">
        <v>21</v>
      </c>
      <c r="D515" s="13" t="s">
        <v>19</v>
      </c>
      <c r="E515" s="13">
        <v>-1017</v>
      </c>
    </row>
    <row r="516" spans="1:5">
      <c r="A516" s="14">
        <v>43504</v>
      </c>
      <c r="B516" s="12">
        <v>2513</v>
      </c>
      <c r="C516" s="12" t="s">
        <v>17</v>
      </c>
      <c r="D516" s="12" t="s">
        <v>19</v>
      </c>
      <c r="E516" s="12">
        <v>-795</v>
      </c>
    </row>
    <row r="517" spans="1:5">
      <c r="A517" s="15">
        <v>43504</v>
      </c>
      <c r="B517" s="13">
        <v>2510</v>
      </c>
      <c r="C517" s="13" t="s">
        <v>24</v>
      </c>
      <c r="D517" s="13" t="s">
        <v>19</v>
      </c>
      <c r="E517" s="13">
        <v>-593</v>
      </c>
    </row>
    <row r="518" spans="1:5">
      <c r="A518" s="14">
        <v>43504</v>
      </c>
      <c r="B518" s="12">
        <v>2501</v>
      </c>
      <c r="C518" s="12" t="s">
        <v>5</v>
      </c>
      <c r="D518" s="12" t="s">
        <v>19</v>
      </c>
      <c r="E518" s="12">
        <v>-146</v>
      </c>
    </row>
    <row r="519" spans="1:5">
      <c r="A519" s="15">
        <v>43505</v>
      </c>
      <c r="B519" s="13">
        <v>2501</v>
      </c>
      <c r="C519" s="13" t="s">
        <v>5</v>
      </c>
      <c r="D519" s="13" t="s">
        <v>6</v>
      </c>
      <c r="E519" s="13">
        <v>-124</v>
      </c>
    </row>
    <row r="520" spans="1:5">
      <c r="A520" s="14">
        <v>43505</v>
      </c>
      <c r="B520" s="12">
        <v>2501</v>
      </c>
      <c r="C520" s="12" t="s">
        <v>5</v>
      </c>
      <c r="D520" s="12" t="s">
        <v>8</v>
      </c>
      <c r="E520" s="12">
        <v>-156</v>
      </c>
    </row>
    <row r="521" spans="1:5">
      <c r="A521" s="15">
        <v>43505</v>
      </c>
      <c r="B521" s="13">
        <v>2502</v>
      </c>
      <c r="C521" s="13" t="s">
        <v>7</v>
      </c>
      <c r="D521" s="13" t="s">
        <v>8</v>
      </c>
      <c r="E521" s="13">
        <v>-3647</v>
      </c>
    </row>
    <row r="522" spans="1:5">
      <c r="A522" s="14">
        <v>43505</v>
      </c>
      <c r="B522" s="12">
        <v>2505</v>
      </c>
      <c r="C522" s="12" t="s">
        <v>9</v>
      </c>
      <c r="D522" s="12" t="s">
        <v>13</v>
      </c>
      <c r="E522" s="12">
        <v>-385</v>
      </c>
    </row>
    <row r="523" spans="1:5">
      <c r="A523" s="15">
        <v>43505</v>
      </c>
      <c r="B523" s="13">
        <v>2505</v>
      </c>
      <c r="C523" s="13" t="s">
        <v>9</v>
      </c>
      <c r="D523" s="13" t="s">
        <v>12</v>
      </c>
      <c r="E523" s="13">
        <v>-898</v>
      </c>
    </row>
    <row r="524" spans="1:5">
      <c r="A524" s="14">
        <v>43505</v>
      </c>
      <c r="B524" s="12">
        <v>2505</v>
      </c>
      <c r="C524" s="12" t="s">
        <v>9</v>
      </c>
      <c r="D524" s="12" t="s">
        <v>10</v>
      </c>
      <c r="E524" s="12">
        <v>-509</v>
      </c>
    </row>
    <row r="525" spans="1:5">
      <c r="A525" s="15">
        <v>43505</v>
      </c>
      <c r="B525" s="13">
        <v>2508</v>
      </c>
      <c r="C525" s="13" t="s">
        <v>15</v>
      </c>
      <c r="D525" s="13" t="s">
        <v>14</v>
      </c>
      <c r="E525" s="13">
        <v>-72048</v>
      </c>
    </row>
    <row r="526" spans="1:5">
      <c r="A526" s="14">
        <v>43505</v>
      </c>
      <c r="B526" s="12">
        <v>2512</v>
      </c>
      <c r="C526" s="12" t="s">
        <v>16</v>
      </c>
      <c r="D526" s="12" t="s">
        <v>8</v>
      </c>
      <c r="E526" s="12">
        <v>-1755</v>
      </c>
    </row>
    <row r="527" spans="1:5">
      <c r="A527" s="15">
        <v>43505</v>
      </c>
      <c r="B527" s="13">
        <v>2512</v>
      </c>
      <c r="C527" s="13" t="s">
        <v>16</v>
      </c>
      <c r="D527" s="13" t="s">
        <v>6</v>
      </c>
      <c r="E527" s="13">
        <v>-2657</v>
      </c>
    </row>
    <row r="528" spans="1:5">
      <c r="A528" s="14">
        <v>43505</v>
      </c>
      <c r="B528" s="12">
        <v>2512</v>
      </c>
      <c r="C528" s="12" t="s">
        <v>16</v>
      </c>
      <c r="D528" s="12" t="s">
        <v>10</v>
      </c>
      <c r="E528" s="12">
        <v>-2819</v>
      </c>
    </row>
    <row r="529" spans="1:5">
      <c r="A529" s="15">
        <v>43505</v>
      </c>
      <c r="B529" s="13">
        <v>2512</v>
      </c>
      <c r="C529" s="13" t="s">
        <v>16</v>
      </c>
      <c r="D529" s="13" t="s">
        <v>13</v>
      </c>
      <c r="E529" s="13">
        <v>-599</v>
      </c>
    </row>
    <row r="530" spans="1:5">
      <c r="A530" s="14">
        <v>43505</v>
      </c>
      <c r="B530" s="12">
        <v>2504</v>
      </c>
      <c r="C530" s="12" t="s">
        <v>21</v>
      </c>
      <c r="D530" s="12" t="s">
        <v>19</v>
      </c>
      <c r="E530" s="12">
        <v>-2182</v>
      </c>
    </row>
    <row r="531" spans="1:5">
      <c r="A531" s="15">
        <v>43505</v>
      </c>
      <c r="B531" s="13">
        <v>2514</v>
      </c>
      <c r="C531" s="13" t="s">
        <v>20</v>
      </c>
      <c r="D531" s="13" t="s">
        <v>19</v>
      </c>
      <c r="E531" s="13">
        <v>-1041</v>
      </c>
    </row>
    <row r="532" spans="1:5">
      <c r="A532" s="14">
        <v>43505</v>
      </c>
      <c r="B532" s="12">
        <v>2510</v>
      </c>
      <c r="C532" s="12" t="s">
        <v>24</v>
      </c>
      <c r="D532" s="12" t="s">
        <v>19</v>
      </c>
      <c r="E532" s="12">
        <v>-590</v>
      </c>
    </row>
    <row r="533" spans="1:5">
      <c r="A533" s="15">
        <v>43505</v>
      </c>
      <c r="B533" s="13">
        <v>2505</v>
      </c>
      <c r="C533" s="13" t="s">
        <v>9</v>
      </c>
      <c r="D533" s="13" t="s">
        <v>19</v>
      </c>
      <c r="E533" s="13">
        <v>-484</v>
      </c>
    </row>
    <row r="534" spans="1:5">
      <c r="A534" s="14">
        <v>43505</v>
      </c>
      <c r="B534" s="12">
        <v>2505</v>
      </c>
      <c r="C534" s="12" t="s">
        <v>9</v>
      </c>
      <c r="D534" s="12" t="s">
        <v>19</v>
      </c>
      <c r="E534" s="12">
        <v>-354</v>
      </c>
    </row>
    <row r="535" spans="1:5">
      <c r="A535" s="15">
        <v>43505</v>
      </c>
      <c r="B535" s="13">
        <v>2503</v>
      </c>
      <c r="C535" s="13" t="s">
        <v>22</v>
      </c>
      <c r="D535" s="13" t="s">
        <v>19</v>
      </c>
      <c r="E535" s="13">
        <v>-261</v>
      </c>
    </row>
    <row r="536" spans="1:5">
      <c r="A536" s="14">
        <v>43505</v>
      </c>
      <c r="B536" s="12">
        <v>1000</v>
      </c>
      <c r="C536" s="12" t="s">
        <v>23</v>
      </c>
      <c r="D536" s="12" t="s">
        <v>19</v>
      </c>
      <c r="E536" s="12">
        <v>1200419</v>
      </c>
    </row>
    <row r="537" spans="1:5">
      <c r="A537" s="15">
        <v>43506</v>
      </c>
      <c r="B537" s="13">
        <v>2000</v>
      </c>
      <c r="C537" s="13" t="s">
        <v>18</v>
      </c>
      <c r="D537" s="13" t="s">
        <v>19</v>
      </c>
      <c r="E537" s="13">
        <v>-149405</v>
      </c>
    </row>
    <row r="538" spans="1:5">
      <c r="A538" s="14">
        <v>43506</v>
      </c>
      <c r="B538" s="12">
        <v>2505</v>
      </c>
      <c r="C538" s="12" t="s">
        <v>9</v>
      </c>
      <c r="D538" s="12" t="s">
        <v>8</v>
      </c>
      <c r="E538" s="12">
        <v>-648</v>
      </c>
    </row>
    <row r="539" spans="1:5">
      <c r="A539" s="15">
        <v>43506</v>
      </c>
      <c r="B539" s="13">
        <v>2506</v>
      </c>
      <c r="C539" s="13" t="s">
        <v>27</v>
      </c>
      <c r="D539" s="13" t="s">
        <v>8</v>
      </c>
      <c r="E539" s="13">
        <v>-618</v>
      </c>
    </row>
    <row r="540" spans="1:5">
      <c r="A540" s="14">
        <v>43506</v>
      </c>
      <c r="B540" s="12">
        <v>2508</v>
      </c>
      <c r="C540" s="12" t="s">
        <v>15</v>
      </c>
      <c r="D540" s="12" t="s">
        <v>10</v>
      </c>
      <c r="E540" s="12">
        <v>-69760</v>
      </c>
    </row>
    <row r="541" spans="1:5">
      <c r="A541" s="15">
        <v>43506</v>
      </c>
      <c r="B541" s="13">
        <v>2512</v>
      </c>
      <c r="C541" s="13" t="s">
        <v>16</v>
      </c>
      <c r="D541" s="13" t="s">
        <v>10</v>
      </c>
      <c r="E541" s="13">
        <v>-3190</v>
      </c>
    </row>
    <row r="542" spans="1:5">
      <c r="A542" s="14">
        <v>43506</v>
      </c>
      <c r="B542" s="12">
        <v>2513</v>
      </c>
      <c r="C542" s="12" t="s">
        <v>17</v>
      </c>
      <c r="D542" s="12" t="s">
        <v>14</v>
      </c>
      <c r="E542" s="12">
        <v>-1319</v>
      </c>
    </row>
    <row r="543" spans="1:5">
      <c r="A543" s="15">
        <v>43506</v>
      </c>
      <c r="B543" s="13">
        <v>2514</v>
      </c>
      <c r="C543" s="13" t="s">
        <v>20</v>
      </c>
      <c r="D543" s="13" t="s">
        <v>13</v>
      </c>
      <c r="E543" s="13">
        <v>-1035</v>
      </c>
    </row>
    <row r="544" spans="1:5">
      <c r="A544" s="14">
        <v>43506</v>
      </c>
      <c r="B544" s="12">
        <v>2514</v>
      </c>
      <c r="C544" s="12" t="s">
        <v>20</v>
      </c>
      <c r="D544" s="12" t="s">
        <v>14</v>
      </c>
      <c r="E544" s="12">
        <v>-1517</v>
      </c>
    </row>
    <row r="545" spans="1:5">
      <c r="A545" s="15">
        <v>43506</v>
      </c>
      <c r="B545" s="13">
        <v>2510</v>
      </c>
      <c r="C545" s="13" t="s">
        <v>24</v>
      </c>
      <c r="D545" s="13" t="s">
        <v>12</v>
      </c>
      <c r="E545" s="13">
        <v>-2702</v>
      </c>
    </row>
    <row r="546" spans="1:5">
      <c r="A546" s="14">
        <v>43506</v>
      </c>
      <c r="B546" s="12">
        <v>2500</v>
      </c>
      <c r="C546" s="12" t="s">
        <v>25</v>
      </c>
      <c r="D546" s="12" t="s">
        <v>19</v>
      </c>
      <c r="E546" s="12">
        <v>-45451</v>
      </c>
    </row>
    <row r="547" spans="1:5">
      <c r="A547" s="15">
        <v>43506</v>
      </c>
      <c r="B547" s="13">
        <v>2512</v>
      </c>
      <c r="C547" s="13" t="s">
        <v>16</v>
      </c>
      <c r="D547" s="13" t="s">
        <v>19</v>
      </c>
      <c r="E547" s="13">
        <v>-12102</v>
      </c>
    </row>
    <row r="548" spans="1:5">
      <c r="A548" s="14">
        <v>43506</v>
      </c>
      <c r="B548" s="12">
        <v>2513</v>
      </c>
      <c r="C548" s="12" t="s">
        <v>17</v>
      </c>
      <c r="D548" s="12" t="s">
        <v>19</v>
      </c>
      <c r="E548" s="12">
        <v>-892</v>
      </c>
    </row>
    <row r="549" spans="1:5">
      <c r="A549" s="15">
        <v>43506</v>
      </c>
      <c r="B549" s="13">
        <v>2501</v>
      </c>
      <c r="C549" s="13" t="s">
        <v>5</v>
      </c>
      <c r="D549" s="13" t="s">
        <v>19</v>
      </c>
      <c r="E549" s="13">
        <v>-89</v>
      </c>
    </row>
    <row r="550" spans="1:5">
      <c r="A550" s="14">
        <v>43506</v>
      </c>
      <c r="B550" s="12">
        <v>2501</v>
      </c>
      <c r="C550" s="12" t="s">
        <v>5</v>
      </c>
      <c r="D550" s="12" t="s">
        <v>19</v>
      </c>
      <c r="E550" s="12">
        <v>-59</v>
      </c>
    </row>
    <row r="551" spans="1:5">
      <c r="A551" s="15">
        <v>43507</v>
      </c>
      <c r="B551" s="13">
        <v>2501</v>
      </c>
      <c r="C551" s="13" t="s">
        <v>5</v>
      </c>
      <c r="D551" s="13" t="s">
        <v>8</v>
      </c>
      <c r="E551" s="13">
        <v>-163</v>
      </c>
    </row>
    <row r="552" spans="1:5">
      <c r="A552" s="14">
        <v>43507</v>
      </c>
      <c r="B552" s="12">
        <v>2505</v>
      </c>
      <c r="C552" s="12" t="s">
        <v>9</v>
      </c>
      <c r="D552" s="12" t="s">
        <v>8</v>
      </c>
      <c r="E552" s="12">
        <v>-693</v>
      </c>
    </row>
    <row r="553" spans="1:5">
      <c r="A553" s="15">
        <v>43507</v>
      </c>
      <c r="B553" s="13">
        <v>2508</v>
      </c>
      <c r="C553" s="13" t="s">
        <v>15</v>
      </c>
      <c r="D553" s="13" t="s">
        <v>10</v>
      </c>
      <c r="E553" s="13">
        <v>-64845</v>
      </c>
    </row>
    <row r="554" spans="1:5">
      <c r="A554" s="14">
        <v>43507</v>
      </c>
      <c r="B554" s="12">
        <v>2514</v>
      </c>
      <c r="C554" s="12" t="s">
        <v>20</v>
      </c>
      <c r="D554" s="12" t="s">
        <v>12</v>
      </c>
      <c r="E554" s="12">
        <v>-1828</v>
      </c>
    </row>
    <row r="555" spans="1:5">
      <c r="A555" s="15">
        <v>43507</v>
      </c>
      <c r="B555" s="13">
        <v>2510</v>
      </c>
      <c r="C555" s="13" t="s">
        <v>24</v>
      </c>
      <c r="D555" s="13" t="s">
        <v>13</v>
      </c>
      <c r="E555" s="13">
        <v>-1462</v>
      </c>
    </row>
    <row r="556" spans="1:5">
      <c r="A556" s="14">
        <v>43507</v>
      </c>
      <c r="B556" s="12">
        <v>2510</v>
      </c>
      <c r="C556" s="12" t="s">
        <v>24</v>
      </c>
      <c r="D556" s="12" t="s">
        <v>13</v>
      </c>
      <c r="E556" s="12">
        <v>-1243</v>
      </c>
    </row>
    <row r="557" spans="1:5">
      <c r="A557" s="15">
        <v>43507</v>
      </c>
      <c r="B557" s="13">
        <v>2504</v>
      </c>
      <c r="C557" s="13" t="s">
        <v>21</v>
      </c>
      <c r="D557" s="13" t="s">
        <v>19</v>
      </c>
      <c r="E557" s="13">
        <v>-852</v>
      </c>
    </row>
    <row r="558" spans="1:5">
      <c r="A558" s="14">
        <v>43507</v>
      </c>
      <c r="B558" s="12">
        <v>2503</v>
      </c>
      <c r="C558" s="12" t="s">
        <v>22</v>
      </c>
      <c r="D558" s="12" t="s">
        <v>19</v>
      </c>
      <c r="E558" s="12">
        <v>-292</v>
      </c>
    </row>
    <row r="559" spans="1:5">
      <c r="A559" s="15">
        <v>43507</v>
      </c>
      <c r="B559" s="13">
        <v>2501</v>
      </c>
      <c r="C559" s="13" t="s">
        <v>5</v>
      </c>
      <c r="D559" s="13" t="s">
        <v>19</v>
      </c>
      <c r="E559" s="13">
        <v>-83</v>
      </c>
    </row>
    <row r="560" spans="1:5">
      <c r="A560" s="14">
        <v>43508</v>
      </c>
      <c r="B560" s="12">
        <v>2501</v>
      </c>
      <c r="C560" s="12" t="s">
        <v>5</v>
      </c>
      <c r="D560" s="12" t="s">
        <v>8</v>
      </c>
      <c r="E560" s="12">
        <v>-135</v>
      </c>
    </row>
    <row r="561" spans="1:5">
      <c r="A561" s="15">
        <v>43508</v>
      </c>
      <c r="B561" s="13">
        <v>2501</v>
      </c>
      <c r="C561" s="13" t="s">
        <v>5</v>
      </c>
      <c r="D561" s="13" t="s">
        <v>13</v>
      </c>
      <c r="E561" s="13">
        <v>-109</v>
      </c>
    </row>
    <row r="562" spans="1:5">
      <c r="A562" s="14">
        <v>43508</v>
      </c>
      <c r="B562" s="12">
        <v>2505</v>
      </c>
      <c r="C562" s="12" t="s">
        <v>9</v>
      </c>
      <c r="D562" s="12" t="s">
        <v>10</v>
      </c>
      <c r="E562" s="12">
        <v>-696</v>
      </c>
    </row>
    <row r="563" spans="1:5">
      <c r="A563" s="15">
        <v>43508</v>
      </c>
      <c r="B563" s="13">
        <v>2505</v>
      </c>
      <c r="C563" s="13" t="s">
        <v>9</v>
      </c>
      <c r="D563" s="13" t="s">
        <v>6</v>
      </c>
      <c r="E563" s="13">
        <v>-796</v>
      </c>
    </row>
    <row r="564" spans="1:5">
      <c r="A564" s="14">
        <v>43508</v>
      </c>
      <c r="B564" s="12">
        <v>2505</v>
      </c>
      <c r="C564" s="12" t="s">
        <v>9</v>
      </c>
      <c r="D564" s="12" t="s">
        <v>6</v>
      </c>
      <c r="E564" s="12">
        <v>-765</v>
      </c>
    </row>
    <row r="565" spans="1:5">
      <c r="A565" s="15">
        <v>43508</v>
      </c>
      <c r="B565" s="13">
        <v>2512</v>
      </c>
      <c r="C565" s="13" t="s">
        <v>16</v>
      </c>
      <c r="D565" s="13" t="s">
        <v>13</v>
      </c>
      <c r="E565" s="13">
        <v>-582</v>
      </c>
    </row>
    <row r="566" spans="1:5">
      <c r="A566" s="14">
        <v>43508</v>
      </c>
      <c r="B566" s="12">
        <v>2514</v>
      </c>
      <c r="C566" s="12" t="s">
        <v>20</v>
      </c>
      <c r="D566" s="12" t="s">
        <v>12</v>
      </c>
      <c r="E566" s="12">
        <v>-2095</v>
      </c>
    </row>
    <row r="567" spans="1:5">
      <c r="A567" s="15">
        <v>43508</v>
      </c>
      <c r="B567" s="13">
        <v>1500</v>
      </c>
      <c r="C567" s="13" t="s">
        <v>26</v>
      </c>
      <c r="D567" s="13" t="s">
        <v>19</v>
      </c>
      <c r="E567" s="13">
        <v>-39045</v>
      </c>
    </row>
    <row r="568" spans="1:5">
      <c r="A568" s="14">
        <v>43508</v>
      </c>
      <c r="B568" s="12">
        <v>2512</v>
      </c>
      <c r="C568" s="12" t="s">
        <v>16</v>
      </c>
      <c r="D568" s="12" t="s">
        <v>19</v>
      </c>
      <c r="E568" s="12">
        <v>-5726</v>
      </c>
    </row>
    <row r="569" spans="1:5">
      <c r="A569" s="15">
        <v>43508</v>
      </c>
      <c r="B569" s="13">
        <v>2510</v>
      </c>
      <c r="C569" s="13" t="s">
        <v>24</v>
      </c>
      <c r="D569" s="13" t="s">
        <v>19</v>
      </c>
      <c r="E569" s="13">
        <v>-1031</v>
      </c>
    </row>
    <row r="570" spans="1:5">
      <c r="A570" s="14">
        <v>43508</v>
      </c>
      <c r="B570" s="12">
        <v>2513</v>
      </c>
      <c r="C570" s="12" t="s">
        <v>17</v>
      </c>
      <c r="D570" s="12" t="s">
        <v>19</v>
      </c>
      <c r="E570" s="12">
        <v>-842</v>
      </c>
    </row>
    <row r="571" spans="1:5">
      <c r="A571" s="15">
        <v>43508</v>
      </c>
      <c r="B571" s="13">
        <v>2501</v>
      </c>
      <c r="C571" s="13" t="s">
        <v>5</v>
      </c>
      <c r="D571" s="13" t="s">
        <v>19</v>
      </c>
      <c r="E571" s="13">
        <v>-86</v>
      </c>
    </row>
    <row r="572" spans="1:5">
      <c r="A572" s="14">
        <v>43509</v>
      </c>
      <c r="B572" s="12">
        <v>2000</v>
      </c>
      <c r="C572" s="12" t="s">
        <v>18</v>
      </c>
      <c r="D572" s="12" t="s">
        <v>19</v>
      </c>
      <c r="E572" s="12">
        <v>-223188</v>
      </c>
    </row>
    <row r="573" spans="1:5">
      <c r="A573" s="15">
        <v>43509</v>
      </c>
      <c r="B573" s="13">
        <v>2508</v>
      </c>
      <c r="C573" s="13" t="s">
        <v>15</v>
      </c>
      <c r="D573" s="13" t="s">
        <v>19</v>
      </c>
      <c r="E573" s="13">
        <v>-53091</v>
      </c>
    </row>
    <row r="574" spans="1:5">
      <c r="A574" s="14">
        <v>43509</v>
      </c>
      <c r="B574" s="12">
        <v>2503</v>
      </c>
      <c r="C574" s="12" t="s">
        <v>22</v>
      </c>
      <c r="D574" s="12" t="s">
        <v>10</v>
      </c>
      <c r="E574" s="12">
        <v>-267</v>
      </c>
    </row>
    <row r="575" spans="1:5">
      <c r="A575" s="15">
        <v>43509</v>
      </c>
      <c r="B575" s="13">
        <v>2505</v>
      </c>
      <c r="C575" s="13" t="s">
        <v>9</v>
      </c>
      <c r="D575" s="13" t="s">
        <v>8</v>
      </c>
      <c r="E575" s="13">
        <v>-662</v>
      </c>
    </row>
    <row r="576" spans="1:5">
      <c r="A576" s="14">
        <v>43509</v>
      </c>
      <c r="B576" s="12">
        <v>2506</v>
      </c>
      <c r="C576" s="12" t="s">
        <v>27</v>
      </c>
      <c r="D576" s="12" t="s">
        <v>8</v>
      </c>
      <c r="E576" s="12">
        <v>-634</v>
      </c>
    </row>
    <row r="577" spans="1:5">
      <c r="A577" s="15">
        <v>43509</v>
      </c>
      <c r="B577" s="13">
        <v>2513</v>
      </c>
      <c r="C577" s="13" t="s">
        <v>17</v>
      </c>
      <c r="D577" s="13" t="s">
        <v>10</v>
      </c>
      <c r="E577" s="13">
        <v>-1131</v>
      </c>
    </row>
    <row r="578" spans="1:5">
      <c r="A578" s="14">
        <v>43509</v>
      </c>
      <c r="B578" s="12">
        <v>2514</v>
      </c>
      <c r="C578" s="12" t="s">
        <v>20</v>
      </c>
      <c r="D578" s="12" t="s">
        <v>13</v>
      </c>
      <c r="E578" s="12">
        <v>-852</v>
      </c>
    </row>
    <row r="579" spans="1:5">
      <c r="A579" s="15">
        <v>43509</v>
      </c>
      <c r="B579" s="13">
        <v>2510</v>
      </c>
      <c r="C579" s="13" t="s">
        <v>24</v>
      </c>
      <c r="D579" s="13" t="s">
        <v>10</v>
      </c>
      <c r="E579" s="13">
        <v>-1355</v>
      </c>
    </row>
    <row r="580" spans="1:5">
      <c r="A580" s="14">
        <v>43509</v>
      </c>
      <c r="B580" s="12">
        <v>2512</v>
      </c>
      <c r="C580" s="12" t="s">
        <v>16</v>
      </c>
      <c r="D580" s="12" t="s">
        <v>19</v>
      </c>
      <c r="E580" s="12">
        <v>-9079</v>
      </c>
    </row>
    <row r="581" spans="1:5">
      <c r="A581" s="15">
        <v>43509</v>
      </c>
      <c r="B581" s="13">
        <v>2512</v>
      </c>
      <c r="C581" s="13" t="s">
        <v>16</v>
      </c>
      <c r="D581" s="13" t="s">
        <v>19</v>
      </c>
      <c r="E581" s="13">
        <v>-3940</v>
      </c>
    </row>
    <row r="582" spans="1:5">
      <c r="A582" s="14">
        <v>43509</v>
      </c>
      <c r="B582" s="12">
        <v>2510</v>
      </c>
      <c r="C582" s="12" t="s">
        <v>24</v>
      </c>
      <c r="D582" s="12" t="s">
        <v>19</v>
      </c>
      <c r="E582" s="12">
        <v>-965</v>
      </c>
    </row>
    <row r="583" spans="1:5">
      <c r="A583" s="15">
        <v>43509</v>
      </c>
      <c r="B583" s="13">
        <v>2513</v>
      </c>
      <c r="C583" s="13" t="s">
        <v>17</v>
      </c>
      <c r="D583" s="13" t="s">
        <v>19</v>
      </c>
      <c r="E583" s="13">
        <v>-366</v>
      </c>
    </row>
    <row r="584" spans="1:5">
      <c r="A584" s="14">
        <v>43509</v>
      </c>
      <c r="B584" s="12">
        <v>1000</v>
      </c>
      <c r="C584" s="12" t="s">
        <v>23</v>
      </c>
      <c r="D584" s="12" t="s">
        <v>19</v>
      </c>
      <c r="E584" s="12">
        <v>991906</v>
      </c>
    </row>
    <row r="585" spans="1:5">
      <c r="A585" s="15">
        <v>43509</v>
      </c>
      <c r="B585" s="13">
        <v>1000</v>
      </c>
      <c r="C585" s="13" t="s">
        <v>23</v>
      </c>
      <c r="D585" s="13" t="s">
        <v>19</v>
      </c>
      <c r="E585" s="13">
        <v>1080357</v>
      </c>
    </row>
    <row r="586" spans="1:5">
      <c r="A586" s="14">
        <v>43509</v>
      </c>
      <c r="B586" s="12">
        <v>1000</v>
      </c>
      <c r="C586" s="12" t="s">
        <v>23</v>
      </c>
      <c r="D586" s="12" t="s">
        <v>19</v>
      </c>
      <c r="E586" s="12">
        <v>1175061</v>
      </c>
    </row>
    <row r="587" spans="1:5">
      <c r="A587" s="15">
        <v>43510</v>
      </c>
      <c r="B587" s="13">
        <v>2000</v>
      </c>
      <c r="C587" s="13" t="s">
        <v>18</v>
      </c>
      <c r="D587" s="13" t="s">
        <v>19</v>
      </c>
      <c r="E587" s="13">
        <v>-270044</v>
      </c>
    </row>
    <row r="588" spans="1:5">
      <c r="A588" s="14">
        <v>43510</v>
      </c>
      <c r="B588" s="12">
        <v>2502</v>
      </c>
      <c r="C588" s="12" t="s">
        <v>7</v>
      </c>
      <c r="D588" s="12" t="s">
        <v>10</v>
      </c>
      <c r="E588" s="12">
        <v>-2983</v>
      </c>
    </row>
    <row r="589" spans="1:5">
      <c r="A589" s="15">
        <v>43510</v>
      </c>
      <c r="B589" s="13">
        <v>2502</v>
      </c>
      <c r="C589" s="13" t="s">
        <v>7</v>
      </c>
      <c r="D589" s="13" t="s">
        <v>8</v>
      </c>
      <c r="E589" s="13">
        <v>-7448</v>
      </c>
    </row>
    <row r="590" spans="1:5">
      <c r="A590" s="14">
        <v>43510</v>
      </c>
      <c r="B590" s="12">
        <v>2503</v>
      </c>
      <c r="C590" s="12" t="s">
        <v>22</v>
      </c>
      <c r="D590" s="12" t="s">
        <v>13</v>
      </c>
      <c r="E590" s="12">
        <v>-218</v>
      </c>
    </row>
    <row r="591" spans="1:5">
      <c r="A591" s="15">
        <v>43510</v>
      </c>
      <c r="B591" s="13">
        <v>2503</v>
      </c>
      <c r="C591" s="13" t="s">
        <v>22</v>
      </c>
      <c r="D591" s="13" t="s">
        <v>13</v>
      </c>
      <c r="E591" s="13">
        <v>-214</v>
      </c>
    </row>
    <row r="592" spans="1:5">
      <c r="A592" s="14">
        <v>43510</v>
      </c>
      <c r="B592" s="12">
        <v>2505</v>
      </c>
      <c r="C592" s="12" t="s">
        <v>9</v>
      </c>
      <c r="D592" s="12" t="s">
        <v>14</v>
      </c>
      <c r="E592" s="12">
        <v>-604</v>
      </c>
    </row>
    <row r="593" spans="1:5">
      <c r="A593" s="15">
        <v>43510</v>
      </c>
      <c r="B593" s="13">
        <v>2508</v>
      </c>
      <c r="C593" s="13" t="s">
        <v>15</v>
      </c>
      <c r="D593" s="13" t="s">
        <v>13</v>
      </c>
      <c r="E593" s="13">
        <v>-48501</v>
      </c>
    </row>
    <row r="594" spans="1:5">
      <c r="A594" s="14">
        <v>43510</v>
      </c>
      <c r="B594" s="12">
        <v>2513</v>
      </c>
      <c r="C594" s="12" t="s">
        <v>17</v>
      </c>
      <c r="D594" s="12" t="s">
        <v>8</v>
      </c>
      <c r="E594" s="12">
        <v>-579</v>
      </c>
    </row>
    <row r="595" spans="1:5">
      <c r="A595" s="15">
        <v>43510</v>
      </c>
      <c r="B595" s="13">
        <v>2514</v>
      </c>
      <c r="C595" s="13" t="s">
        <v>20</v>
      </c>
      <c r="D595" s="13" t="s">
        <v>13</v>
      </c>
      <c r="E595" s="13">
        <v>-816</v>
      </c>
    </row>
    <row r="596" spans="1:5">
      <c r="A596" s="14">
        <v>43510</v>
      </c>
      <c r="B596" s="12">
        <v>2510</v>
      </c>
      <c r="C596" s="12" t="s">
        <v>24</v>
      </c>
      <c r="D596" s="12" t="s">
        <v>13</v>
      </c>
      <c r="E596" s="12">
        <v>-1557</v>
      </c>
    </row>
    <row r="597" spans="1:5">
      <c r="A597" s="15">
        <v>43510</v>
      </c>
      <c r="B597" s="13">
        <v>1500</v>
      </c>
      <c r="C597" s="13" t="s">
        <v>26</v>
      </c>
      <c r="D597" s="13" t="s">
        <v>19</v>
      </c>
      <c r="E597" s="13">
        <v>-34498</v>
      </c>
    </row>
    <row r="598" spans="1:5">
      <c r="A598" s="14">
        <v>43510</v>
      </c>
      <c r="B598" s="12">
        <v>2500</v>
      </c>
      <c r="C598" s="12" t="s">
        <v>25</v>
      </c>
      <c r="D598" s="12" t="s">
        <v>19</v>
      </c>
      <c r="E598" s="12">
        <v>-22310</v>
      </c>
    </row>
    <row r="599" spans="1:5">
      <c r="A599" s="15">
        <v>43511</v>
      </c>
      <c r="B599" s="13">
        <v>2000</v>
      </c>
      <c r="C599" s="13" t="s">
        <v>18</v>
      </c>
      <c r="D599" s="13" t="s">
        <v>19</v>
      </c>
      <c r="E599" s="13">
        <v>-241595</v>
      </c>
    </row>
    <row r="600" spans="1:5">
      <c r="A600" s="14">
        <v>43511</v>
      </c>
      <c r="B600" s="12">
        <v>2501</v>
      </c>
      <c r="C600" s="12" t="s">
        <v>5</v>
      </c>
      <c r="D600" s="12" t="s">
        <v>10</v>
      </c>
      <c r="E600" s="12">
        <v>-86</v>
      </c>
    </row>
    <row r="601" spans="1:5">
      <c r="A601" s="15">
        <v>43511</v>
      </c>
      <c r="B601" s="13">
        <v>2502</v>
      </c>
      <c r="C601" s="13" t="s">
        <v>7</v>
      </c>
      <c r="D601" s="13" t="s">
        <v>13</v>
      </c>
      <c r="E601" s="13">
        <v>-3882</v>
      </c>
    </row>
    <row r="602" spans="1:5">
      <c r="A602" s="14">
        <v>43511</v>
      </c>
      <c r="B602" s="12">
        <v>2503</v>
      </c>
      <c r="C602" s="12" t="s">
        <v>22</v>
      </c>
      <c r="D602" s="12" t="s">
        <v>13</v>
      </c>
      <c r="E602" s="12">
        <v>-267</v>
      </c>
    </row>
    <row r="603" spans="1:5">
      <c r="A603" s="15">
        <v>43511</v>
      </c>
      <c r="B603" s="13">
        <v>2512</v>
      </c>
      <c r="C603" s="13" t="s">
        <v>16</v>
      </c>
      <c r="D603" s="13" t="s">
        <v>12</v>
      </c>
      <c r="E603" s="13">
        <v>-1153</v>
      </c>
    </row>
    <row r="604" spans="1:5">
      <c r="A604" s="14">
        <v>43511</v>
      </c>
      <c r="B604" s="12">
        <v>2514</v>
      </c>
      <c r="C604" s="12" t="s">
        <v>20</v>
      </c>
      <c r="D604" s="12" t="s">
        <v>13</v>
      </c>
      <c r="E604" s="12">
        <v>-1136</v>
      </c>
    </row>
    <row r="605" spans="1:5">
      <c r="A605" s="15">
        <v>43511</v>
      </c>
      <c r="B605" s="13">
        <v>1500</v>
      </c>
      <c r="C605" s="13" t="s">
        <v>26</v>
      </c>
      <c r="D605" s="13" t="s">
        <v>19</v>
      </c>
      <c r="E605" s="13">
        <v>-41416</v>
      </c>
    </row>
    <row r="606" spans="1:5">
      <c r="A606" s="14">
        <v>43511</v>
      </c>
      <c r="B606" s="12">
        <v>2500</v>
      </c>
      <c r="C606" s="12" t="s">
        <v>25</v>
      </c>
      <c r="D606" s="12" t="s">
        <v>19</v>
      </c>
      <c r="E606" s="12">
        <v>-29897</v>
      </c>
    </row>
    <row r="607" spans="1:5">
      <c r="A607" s="15">
        <v>43511</v>
      </c>
      <c r="B607" s="13">
        <v>1500</v>
      </c>
      <c r="C607" s="13" t="s">
        <v>26</v>
      </c>
      <c r="D607" s="13" t="s">
        <v>19</v>
      </c>
      <c r="E607" s="13">
        <v>-23031</v>
      </c>
    </row>
    <row r="608" spans="1:5">
      <c r="A608" s="14">
        <v>43511</v>
      </c>
      <c r="B608" s="12">
        <v>2510</v>
      </c>
      <c r="C608" s="12" t="s">
        <v>24</v>
      </c>
      <c r="D608" s="12" t="s">
        <v>19</v>
      </c>
      <c r="E608" s="12">
        <v>-1117</v>
      </c>
    </row>
    <row r="609" spans="1:5">
      <c r="A609" s="15">
        <v>43511</v>
      </c>
      <c r="B609" s="13">
        <v>2504</v>
      </c>
      <c r="C609" s="13" t="s">
        <v>21</v>
      </c>
      <c r="D609" s="13" t="s">
        <v>19</v>
      </c>
      <c r="E609" s="13">
        <v>-1020</v>
      </c>
    </row>
    <row r="610" spans="1:5">
      <c r="A610" s="14">
        <v>43511</v>
      </c>
      <c r="B610" s="12">
        <v>2510</v>
      </c>
      <c r="C610" s="12" t="s">
        <v>24</v>
      </c>
      <c r="D610" s="12" t="s">
        <v>19</v>
      </c>
      <c r="E610" s="12">
        <v>-926</v>
      </c>
    </row>
    <row r="611" spans="1:5">
      <c r="A611" s="15">
        <v>43512</v>
      </c>
      <c r="B611" s="13">
        <v>2000</v>
      </c>
      <c r="C611" s="13" t="s">
        <v>18</v>
      </c>
      <c r="D611" s="13" t="s">
        <v>19</v>
      </c>
      <c r="E611" s="13">
        <v>-220641</v>
      </c>
    </row>
    <row r="612" spans="1:5">
      <c r="A612" s="14">
        <v>43512</v>
      </c>
      <c r="B612" s="12">
        <v>2505</v>
      </c>
      <c r="C612" s="12" t="s">
        <v>9</v>
      </c>
      <c r="D612" s="12" t="s">
        <v>12</v>
      </c>
      <c r="E612" s="12">
        <v>-652</v>
      </c>
    </row>
    <row r="613" spans="1:5">
      <c r="A613" s="15">
        <v>43512</v>
      </c>
      <c r="B613" s="13">
        <v>2506</v>
      </c>
      <c r="C613" s="13" t="s">
        <v>27</v>
      </c>
      <c r="D613" s="13" t="s">
        <v>14</v>
      </c>
      <c r="E613" s="13">
        <v>-491</v>
      </c>
    </row>
    <row r="614" spans="1:5">
      <c r="A614" s="14">
        <v>43512</v>
      </c>
      <c r="B614" s="12">
        <v>2508</v>
      </c>
      <c r="C614" s="12" t="s">
        <v>15</v>
      </c>
      <c r="D614" s="12" t="s">
        <v>10</v>
      </c>
      <c r="E614" s="12">
        <v>-71074</v>
      </c>
    </row>
    <row r="615" spans="1:5">
      <c r="A615" s="15">
        <v>43512</v>
      </c>
      <c r="B615" s="13">
        <v>2500</v>
      </c>
      <c r="C615" s="13" t="s">
        <v>25</v>
      </c>
      <c r="D615" s="13" t="s">
        <v>19</v>
      </c>
      <c r="E615" s="13">
        <v>-48069</v>
      </c>
    </row>
    <row r="616" spans="1:5">
      <c r="A616" s="14">
        <v>43512</v>
      </c>
      <c r="B616" s="12">
        <v>2513</v>
      </c>
      <c r="C616" s="12" t="s">
        <v>17</v>
      </c>
      <c r="D616" s="12" t="s">
        <v>19</v>
      </c>
      <c r="E616" s="12">
        <v>-965</v>
      </c>
    </row>
    <row r="617" spans="1:5">
      <c r="A617" s="15">
        <v>43512</v>
      </c>
      <c r="B617" s="13">
        <v>2513</v>
      </c>
      <c r="C617" s="13" t="s">
        <v>17</v>
      </c>
      <c r="D617" s="13" t="s">
        <v>19</v>
      </c>
      <c r="E617" s="13">
        <v>-682</v>
      </c>
    </row>
    <row r="618" spans="1:5">
      <c r="A618" s="14">
        <v>43512</v>
      </c>
      <c r="B618" s="12">
        <v>2513</v>
      </c>
      <c r="C618" s="12" t="s">
        <v>17</v>
      </c>
      <c r="D618" s="12" t="s">
        <v>19</v>
      </c>
      <c r="E618" s="12">
        <v>-353</v>
      </c>
    </row>
    <row r="619" spans="1:5">
      <c r="A619" s="15">
        <v>43513</v>
      </c>
      <c r="B619" s="13">
        <v>2501</v>
      </c>
      <c r="C619" s="13" t="s">
        <v>5</v>
      </c>
      <c r="D619" s="13" t="s">
        <v>13</v>
      </c>
      <c r="E619" s="13">
        <v>-83</v>
      </c>
    </row>
    <row r="620" spans="1:5">
      <c r="A620" s="14">
        <v>43513</v>
      </c>
      <c r="B620" s="12">
        <v>2501</v>
      </c>
      <c r="C620" s="12" t="s">
        <v>5</v>
      </c>
      <c r="D620" s="12" t="s">
        <v>12</v>
      </c>
      <c r="E620" s="12">
        <v>-240</v>
      </c>
    </row>
    <row r="621" spans="1:5">
      <c r="A621" s="15">
        <v>43513</v>
      </c>
      <c r="B621" s="13">
        <v>2503</v>
      </c>
      <c r="C621" s="13" t="s">
        <v>22</v>
      </c>
      <c r="D621" s="13" t="s">
        <v>13</v>
      </c>
      <c r="E621" s="13">
        <v>-297</v>
      </c>
    </row>
    <row r="622" spans="1:5">
      <c r="A622" s="14">
        <v>43513</v>
      </c>
      <c r="B622" s="12">
        <v>2505</v>
      </c>
      <c r="C622" s="12" t="s">
        <v>9</v>
      </c>
      <c r="D622" s="12" t="s">
        <v>14</v>
      </c>
      <c r="E622" s="12">
        <v>-605</v>
      </c>
    </row>
    <row r="623" spans="1:5">
      <c r="A623" s="15">
        <v>43513</v>
      </c>
      <c r="B623" s="13">
        <v>2513</v>
      </c>
      <c r="C623" s="13" t="s">
        <v>17</v>
      </c>
      <c r="D623" s="13" t="s">
        <v>8</v>
      </c>
      <c r="E623" s="13">
        <v>-843</v>
      </c>
    </row>
    <row r="624" spans="1:5">
      <c r="A624" s="14">
        <v>43513</v>
      </c>
      <c r="B624" s="12">
        <v>2514</v>
      </c>
      <c r="C624" s="12" t="s">
        <v>20</v>
      </c>
      <c r="D624" s="12" t="s">
        <v>6</v>
      </c>
      <c r="E624" s="12">
        <v>-1221</v>
      </c>
    </row>
    <row r="625" spans="1:5">
      <c r="A625" s="15">
        <v>43513</v>
      </c>
      <c r="B625" s="13">
        <v>2514</v>
      </c>
      <c r="C625" s="13" t="s">
        <v>20</v>
      </c>
      <c r="D625" s="13" t="s">
        <v>12</v>
      </c>
      <c r="E625" s="13">
        <v>-2418</v>
      </c>
    </row>
    <row r="626" spans="1:5">
      <c r="A626" s="14">
        <v>43513</v>
      </c>
      <c r="B626" s="12">
        <v>2510</v>
      </c>
      <c r="C626" s="12" t="s">
        <v>24</v>
      </c>
      <c r="D626" s="12" t="s">
        <v>14</v>
      </c>
      <c r="E626" s="12">
        <v>-1455</v>
      </c>
    </row>
    <row r="627" spans="1:5">
      <c r="A627" s="15">
        <v>43513</v>
      </c>
      <c r="B627" s="13">
        <v>2500</v>
      </c>
      <c r="C627" s="13" t="s">
        <v>25</v>
      </c>
      <c r="D627" s="13" t="s">
        <v>19</v>
      </c>
      <c r="E627" s="13">
        <v>-36581</v>
      </c>
    </row>
    <row r="628" spans="1:5">
      <c r="A628" s="14">
        <v>43513</v>
      </c>
      <c r="B628" s="12">
        <v>2504</v>
      </c>
      <c r="C628" s="12" t="s">
        <v>21</v>
      </c>
      <c r="D628" s="12" t="s">
        <v>19</v>
      </c>
      <c r="E628" s="12">
        <v>-1640</v>
      </c>
    </row>
    <row r="629" spans="1:5">
      <c r="A629" s="15">
        <v>43513</v>
      </c>
      <c r="B629" s="13">
        <v>2514</v>
      </c>
      <c r="C629" s="13" t="s">
        <v>20</v>
      </c>
      <c r="D629" s="13" t="s">
        <v>19</v>
      </c>
      <c r="E629" s="13">
        <v>-958</v>
      </c>
    </row>
    <row r="630" spans="1:5">
      <c r="A630" s="14">
        <v>43513</v>
      </c>
      <c r="B630" s="12">
        <v>2514</v>
      </c>
      <c r="C630" s="12" t="s">
        <v>20</v>
      </c>
      <c r="D630" s="12" t="s">
        <v>19</v>
      </c>
      <c r="E630" s="12">
        <v>-846</v>
      </c>
    </row>
    <row r="631" spans="1:5">
      <c r="A631" s="15">
        <v>43513</v>
      </c>
      <c r="B631" s="13">
        <v>2510</v>
      </c>
      <c r="C631" s="13" t="s">
        <v>24</v>
      </c>
      <c r="D631" s="13" t="s">
        <v>19</v>
      </c>
      <c r="E631" s="13">
        <v>-791</v>
      </c>
    </row>
    <row r="632" spans="1:5">
      <c r="A632" s="14">
        <v>43513</v>
      </c>
      <c r="B632" s="12">
        <v>2505</v>
      </c>
      <c r="C632" s="12" t="s">
        <v>9</v>
      </c>
      <c r="D632" s="12" t="s">
        <v>19</v>
      </c>
      <c r="E632" s="12">
        <v>-610</v>
      </c>
    </row>
    <row r="633" spans="1:5">
      <c r="A633" s="15">
        <v>43513</v>
      </c>
      <c r="B633" s="13">
        <v>2503</v>
      </c>
      <c r="C633" s="13" t="s">
        <v>22</v>
      </c>
      <c r="D633" s="13" t="s">
        <v>19</v>
      </c>
      <c r="E633" s="13">
        <v>-257</v>
      </c>
    </row>
    <row r="634" spans="1:5">
      <c r="A634" s="14">
        <v>43513</v>
      </c>
      <c r="B634" s="12">
        <v>1000</v>
      </c>
      <c r="C634" s="12" t="s">
        <v>23</v>
      </c>
      <c r="D634" s="12" t="s">
        <v>19</v>
      </c>
      <c r="E634" s="12">
        <v>921296</v>
      </c>
    </row>
    <row r="635" spans="1:5">
      <c r="A635" s="15">
        <v>43514</v>
      </c>
      <c r="B635" s="13">
        <v>2000</v>
      </c>
      <c r="C635" s="13" t="s">
        <v>18</v>
      </c>
      <c r="D635" s="13" t="s">
        <v>19</v>
      </c>
      <c r="E635" s="13">
        <v>-173434</v>
      </c>
    </row>
    <row r="636" spans="1:5">
      <c r="A636" s="14">
        <v>43514</v>
      </c>
      <c r="B636" s="12">
        <v>2501</v>
      </c>
      <c r="C636" s="12" t="s">
        <v>5</v>
      </c>
      <c r="D636" s="12" t="s">
        <v>10</v>
      </c>
      <c r="E636" s="12">
        <v>-190</v>
      </c>
    </row>
    <row r="637" spans="1:5">
      <c r="A637" s="15">
        <v>43514</v>
      </c>
      <c r="B637" s="13">
        <v>2505</v>
      </c>
      <c r="C637" s="13" t="s">
        <v>9</v>
      </c>
      <c r="D637" s="13" t="s">
        <v>8</v>
      </c>
      <c r="E637" s="13">
        <v>-699</v>
      </c>
    </row>
    <row r="638" spans="1:5">
      <c r="A638" s="14">
        <v>43514</v>
      </c>
      <c r="B638" s="12">
        <v>2508</v>
      </c>
      <c r="C638" s="12" t="s">
        <v>15</v>
      </c>
      <c r="D638" s="12" t="s">
        <v>8</v>
      </c>
      <c r="E638" s="12">
        <v>-78901</v>
      </c>
    </row>
    <row r="639" spans="1:5">
      <c r="A639" s="15">
        <v>43514</v>
      </c>
      <c r="B639" s="13">
        <v>2508</v>
      </c>
      <c r="C639" s="13" t="s">
        <v>15</v>
      </c>
      <c r="D639" s="13" t="s">
        <v>12</v>
      </c>
      <c r="E639" s="13">
        <v>-105809</v>
      </c>
    </row>
    <row r="640" spans="1:5">
      <c r="A640" s="14">
        <v>43514</v>
      </c>
      <c r="B640" s="12">
        <v>2514</v>
      </c>
      <c r="C640" s="12" t="s">
        <v>20</v>
      </c>
      <c r="D640" s="12" t="s">
        <v>6</v>
      </c>
      <c r="E640" s="12">
        <v>-1587</v>
      </c>
    </row>
    <row r="641" spans="1:5">
      <c r="A641" s="15">
        <v>43514</v>
      </c>
      <c r="B641" s="13">
        <v>2514</v>
      </c>
      <c r="C641" s="13" t="s">
        <v>20</v>
      </c>
      <c r="D641" s="13" t="s">
        <v>13</v>
      </c>
      <c r="E641" s="13">
        <v>-889</v>
      </c>
    </row>
    <row r="642" spans="1:5">
      <c r="A642" s="14">
        <v>43514</v>
      </c>
      <c r="B642" s="12">
        <v>2514</v>
      </c>
      <c r="C642" s="12" t="s">
        <v>20</v>
      </c>
      <c r="D642" s="12" t="s">
        <v>13</v>
      </c>
      <c r="E642" s="12">
        <v>-875</v>
      </c>
    </row>
    <row r="643" spans="1:5">
      <c r="A643" s="15">
        <v>43514</v>
      </c>
      <c r="B643" s="13">
        <v>1500</v>
      </c>
      <c r="C643" s="13" t="s">
        <v>26</v>
      </c>
      <c r="D643" s="13" t="s">
        <v>19</v>
      </c>
      <c r="E643" s="13">
        <v>-22322</v>
      </c>
    </row>
    <row r="644" spans="1:5">
      <c r="A644" s="14">
        <v>43514</v>
      </c>
      <c r="B644" s="12">
        <v>2512</v>
      </c>
      <c r="C644" s="12" t="s">
        <v>16</v>
      </c>
      <c r="D644" s="12" t="s">
        <v>19</v>
      </c>
      <c r="E644" s="12">
        <v>-11664</v>
      </c>
    </row>
    <row r="645" spans="1:5">
      <c r="A645" s="15">
        <v>43514</v>
      </c>
      <c r="B645" s="13">
        <v>2510</v>
      </c>
      <c r="C645" s="13" t="s">
        <v>24</v>
      </c>
      <c r="D645" s="13" t="s">
        <v>19</v>
      </c>
      <c r="E645" s="13">
        <v>-572</v>
      </c>
    </row>
    <row r="646" spans="1:5">
      <c r="A646" s="14">
        <v>43514</v>
      </c>
      <c r="B646" s="12">
        <v>2513</v>
      </c>
      <c r="C646" s="12" t="s">
        <v>17</v>
      </c>
      <c r="D646" s="12" t="s">
        <v>19</v>
      </c>
      <c r="E646" s="12">
        <v>-415</v>
      </c>
    </row>
    <row r="647" spans="1:5">
      <c r="A647" s="15">
        <v>43514</v>
      </c>
      <c r="B647" s="13">
        <v>2501</v>
      </c>
      <c r="C647" s="13" t="s">
        <v>5</v>
      </c>
      <c r="D647" s="13" t="s">
        <v>19</v>
      </c>
      <c r="E647" s="13">
        <v>-155</v>
      </c>
    </row>
    <row r="648" spans="1:5">
      <c r="A648" s="14">
        <v>43515</v>
      </c>
      <c r="B648" s="12">
        <v>1500</v>
      </c>
      <c r="C648" s="12" t="s">
        <v>26</v>
      </c>
      <c r="D648" s="12" t="s">
        <v>19</v>
      </c>
      <c r="E648" s="12">
        <v>-59621</v>
      </c>
    </row>
    <row r="649" spans="1:5">
      <c r="A649" s="15">
        <v>43515</v>
      </c>
      <c r="B649" s="13">
        <v>2501</v>
      </c>
      <c r="C649" s="13" t="s">
        <v>5</v>
      </c>
      <c r="D649" s="13" t="s">
        <v>14</v>
      </c>
      <c r="E649" s="13">
        <v>-153</v>
      </c>
    </row>
    <row r="650" spans="1:5">
      <c r="A650" s="14">
        <v>43515</v>
      </c>
      <c r="B650" s="12">
        <v>2502</v>
      </c>
      <c r="C650" s="12" t="s">
        <v>7</v>
      </c>
      <c r="D650" s="12" t="s">
        <v>6</v>
      </c>
      <c r="E650" s="12">
        <v>-3574</v>
      </c>
    </row>
    <row r="651" spans="1:5">
      <c r="A651" s="15">
        <v>43515</v>
      </c>
      <c r="B651" s="13">
        <v>2508</v>
      </c>
      <c r="C651" s="13" t="s">
        <v>15</v>
      </c>
      <c r="D651" s="13" t="s">
        <v>12</v>
      </c>
      <c r="E651" s="13">
        <v>-104368</v>
      </c>
    </row>
    <row r="652" spans="1:5">
      <c r="A652" s="14">
        <v>43515</v>
      </c>
      <c r="B652" s="12">
        <v>2508</v>
      </c>
      <c r="C652" s="12" t="s">
        <v>15</v>
      </c>
      <c r="D652" s="12" t="s">
        <v>12</v>
      </c>
      <c r="E652" s="12">
        <v>-98502</v>
      </c>
    </row>
    <row r="653" spans="1:5">
      <c r="A653" s="15">
        <v>43515</v>
      </c>
      <c r="B653" s="13">
        <v>2508</v>
      </c>
      <c r="C653" s="13" t="s">
        <v>15</v>
      </c>
      <c r="D653" s="13" t="s">
        <v>13</v>
      </c>
      <c r="E653" s="13">
        <v>-40146</v>
      </c>
    </row>
    <row r="654" spans="1:5">
      <c r="A654" s="14">
        <v>43515</v>
      </c>
      <c r="B654" s="12">
        <v>2512</v>
      </c>
      <c r="C654" s="12" t="s">
        <v>16</v>
      </c>
      <c r="D654" s="12" t="s">
        <v>14</v>
      </c>
      <c r="E654" s="12">
        <v>-3818</v>
      </c>
    </row>
    <row r="655" spans="1:5">
      <c r="A655" s="15">
        <v>43515</v>
      </c>
      <c r="B655" s="13">
        <v>2512</v>
      </c>
      <c r="C655" s="13" t="s">
        <v>16</v>
      </c>
      <c r="D655" s="13" t="s">
        <v>8</v>
      </c>
      <c r="E655" s="13">
        <v>-3445</v>
      </c>
    </row>
    <row r="656" spans="1:5">
      <c r="A656" s="14">
        <v>43515</v>
      </c>
      <c r="B656" s="12">
        <v>2513</v>
      </c>
      <c r="C656" s="12" t="s">
        <v>17</v>
      </c>
      <c r="D656" s="12" t="s">
        <v>12</v>
      </c>
      <c r="E656" s="12">
        <v>-1060</v>
      </c>
    </row>
    <row r="657" spans="1:5">
      <c r="A657" s="15">
        <v>43515</v>
      </c>
      <c r="B657" s="13">
        <v>2508</v>
      </c>
      <c r="C657" s="13" t="s">
        <v>15</v>
      </c>
      <c r="D657" s="13" t="s">
        <v>19</v>
      </c>
      <c r="E657" s="13">
        <v>-47780</v>
      </c>
    </row>
    <row r="658" spans="1:5">
      <c r="A658" s="14">
        <v>43515</v>
      </c>
      <c r="B658" s="12">
        <v>1500</v>
      </c>
      <c r="C658" s="12" t="s">
        <v>26</v>
      </c>
      <c r="D658" s="12" t="s">
        <v>19</v>
      </c>
      <c r="E658" s="12">
        <v>-20650</v>
      </c>
    </row>
    <row r="659" spans="1:5">
      <c r="A659" s="15">
        <v>43515</v>
      </c>
      <c r="B659" s="13">
        <v>2504</v>
      </c>
      <c r="C659" s="13" t="s">
        <v>21</v>
      </c>
      <c r="D659" s="13" t="s">
        <v>19</v>
      </c>
      <c r="E659" s="13">
        <v>-1281</v>
      </c>
    </row>
    <row r="660" spans="1:5">
      <c r="A660" s="14">
        <v>43515</v>
      </c>
      <c r="B660" s="12">
        <v>2514</v>
      </c>
      <c r="C660" s="12" t="s">
        <v>20</v>
      </c>
      <c r="D660" s="12" t="s">
        <v>19</v>
      </c>
      <c r="E660" s="12">
        <v>-1186</v>
      </c>
    </row>
    <row r="661" spans="1:5">
      <c r="A661" s="15">
        <v>43515</v>
      </c>
      <c r="B661" s="13">
        <v>2514</v>
      </c>
      <c r="C661" s="13" t="s">
        <v>20</v>
      </c>
      <c r="D661" s="13" t="s">
        <v>19</v>
      </c>
      <c r="E661" s="13">
        <v>-833</v>
      </c>
    </row>
    <row r="662" spans="1:5">
      <c r="A662" s="14">
        <v>43516</v>
      </c>
      <c r="B662" s="12">
        <v>2506</v>
      </c>
      <c r="C662" s="12" t="s">
        <v>27</v>
      </c>
      <c r="D662" s="12" t="s">
        <v>14</v>
      </c>
      <c r="E662" s="12">
        <v>-548</v>
      </c>
    </row>
    <row r="663" spans="1:5">
      <c r="A663" s="15">
        <v>43516</v>
      </c>
      <c r="B663" s="13">
        <v>2508</v>
      </c>
      <c r="C663" s="13" t="s">
        <v>15</v>
      </c>
      <c r="D663" s="13" t="s">
        <v>10</v>
      </c>
      <c r="E663" s="13">
        <v>-76163</v>
      </c>
    </row>
    <row r="664" spans="1:5">
      <c r="A664" s="14">
        <v>43516</v>
      </c>
      <c r="B664" s="12">
        <v>2512</v>
      </c>
      <c r="C664" s="12" t="s">
        <v>16</v>
      </c>
      <c r="D664" s="12" t="s">
        <v>8</v>
      </c>
      <c r="E664" s="12">
        <v>-2096</v>
      </c>
    </row>
    <row r="665" spans="1:5">
      <c r="A665" s="15">
        <v>43516</v>
      </c>
      <c r="B665" s="13">
        <v>2512</v>
      </c>
      <c r="C665" s="13" t="s">
        <v>16</v>
      </c>
      <c r="D665" s="13" t="s">
        <v>6</v>
      </c>
      <c r="E665" s="13">
        <v>-2170</v>
      </c>
    </row>
    <row r="666" spans="1:5">
      <c r="A666" s="14">
        <v>43516</v>
      </c>
      <c r="B666" s="12">
        <v>2513</v>
      </c>
      <c r="C666" s="12" t="s">
        <v>17</v>
      </c>
      <c r="D666" s="12" t="s">
        <v>13</v>
      </c>
      <c r="E666" s="12">
        <v>-765</v>
      </c>
    </row>
    <row r="667" spans="1:5">
      <c r="A667" s="15">
        <v>43516</v>
      </c>
      <c r="B667" s="13">
        <v>2514</v>
      </c>
      <c r="C667" s="13" t="s">
        <v>20</v>
      </c>
      <c r="D667" s="13" t="s">
        <v>6</v>
      </c>
      <c r="E667" s="13">
        <v>-1210</v>
      </c>
    </row>
    <row r="668" spans="1:5">
      <c r="A668" s="14">
        <v>43516</v>
      </c>
      <c r="B668" s="12">
        <v>2510</v>
      </c>
      <c r="C668" s="12" t="s">
        <v>24</v>
      </c>
      <c r="D668" s="12" t="s">
        <v>13</v>
      </c>
      <c r="E668" s="12">
        <v>-1509</v>
      </c>
    </row>
    <row r="669" spans="1:5">
      <c r="A669" s="15">
        <v>43516</v>
      </c>
      <c r="B669" s="13">
        <v>1500</v>
      </c>
      <c r="C669" s="13" t="s">
        <v>26</v>
      </c>
      <c r="D669" s="13" t="s">
        <v>19</v>
      </c>
      <c r="E669" s="13">
        <v>-31416</v>
      </c>
    </row>
    <row r="670" spans="1:5">
      <c r="A670" s="14">
        <v>43516</v>
      </c>
      <c r="B670" s="12">
        <v>2500</v>
      </c>
      <c r="C670" s="12" t="s">
        <v>25</v>
      </c>
      <c r="D670" s="12" t="s">
        <v>19</v>
      </c>
      <c r="E670" s="12">
        <v>-24066</v>
      </c>
    </row>
    <row r="671" spans="1:5">
      <c r="A671" s="15">
        <v>43516</v>
      </c>
      <c r="B671" s="13">
        <v>2502</v>
      </c>
      <c r="C671" s="13" t="s">
        <v>7</v>
      </c>
      <c r="D671" s="13" t="s">
        <v>19</v>
      </c>
      <c r="E671" s="13">
        <v>-5257</v>
      </c>
    </row>
    <row r="672" spans="1:5">
      <c r="A672" s="14">
        <v>43516</v>
      </c>
      <c r="B672" s="12">
        <v>2504</v>
      </c>
      <c r="C672" s="12" t="s">
        <v>21</v>
      </c>
      <c r="D672" s="12" t="s">
        <v>19</v>
      </c>
      <c r="E672" s="12">
        <v>-2314</v>
      </c>
    </row>
    <row r="673" spans="1:5">
      <c r="A673" s="15">
        <v>43516</v>
      </c>
      <c r="B673" s="13">
        <v>2504</v>
      </c>
      <c r="C673" s="13" t="s">
        <v>21</v>
      </c>
      <c r="D673" s="13" t="s">
        <v>19</v>
      </c>
      <c r="E673" s="13">
        <v>-2160</v>
      </c>
    </row>
    <row r="674" spans="1:5">
      <c r="A674" s="14">
        <v>43516</v>
      </c>
      <c r="B674" s="12">
        <v>2504</v>
      </c>
      <c r="C674" s="12" t="s">
        <v>21</v>
      </c>
      <c r="D674" s="12" t="s">
        <v>19</v>
      </c>
      <c r="E674" s="12">
        <v>-1528</v>
      </c>
    </row>
    <row r="675" spans="1:5">
      <c r="A675" s="15">
        <v>43516</v>
      </c>
      <c r="B675" s="13">
        <v>2510</v>
      </c>
      <c r="C675" s="13" t="s">
        <v>24</v>
      </c>
      <c r="D675" s="13" t="s">
        <v>19</v>
      </c>
      <c r="E675" s="13">
        <v>-1426</v>
      </c>
    </row>
    <row r="676" spans="1:5">
      <c r="A676" s="14">
        <v>43516</v>
      </c>
      <c r="B676" s="12">
        <v>2501</v>
      </c>
      <c r="C676" s="12" t="s">
        <v>5</v>
      </c>
      <c r="D676" s="12" t="s">
        <v>19</v>
      </c>
      <c r="E676" s="12">
        <v>-130</v>
      </c>
    </row>
    <row r="677" spans="1:5">
      <c r="A677" s="15">
        <v>43517</v>
      </c>
      <c r="B677" s="13">
        <v>2501</v>
      </c>
      <c r="C677" s="13" t="s">
        <v>5</v>
      </c>
      <c r="D677" s="13" t="s">
        <v>12</v>
      </c>
      <c r="E677" s="13">
        <v>-177</v>
      </c>
    </row>
    <row r="678" spans="1:5">
      <c r="A678" s="14">
        <v>43517</v>
      </c>
      <c r="B678" s="12">
        <v>2501</v>
      </c>
      <c r="C678" s="12" t="s">
        <v>5</v>
      </c>
      <c r="D678" s="12" t="s">
        <v>8</v>
      </c>
      <c r="E678" s="12">
        <v>-96</v>
      </c>
    </row>
    <row r="679" spans="1:5">
      <c r="A679" s="15">
        <v>43517</v>
      </c>
      <c r="B679" s="13">
        <v>2502</v>
      </c>
      <c r="C679" s="13" t="s">
        <v>7</v>
      </c>
      <c r="D679" s="13" t="s">
        <v>6</v>
      </c>
      <c r="E679" s="13">
        <v>-5368</v>
      </c>
    </row>
    <row r="680" spans="1:5">
      <c r="A680" s="14">
        <v>43517</v>
      </c>
      <c r="B680" s="12">
        <v>2503</v>
      </c>
      <c r="C680" s="12" t="s">
        <v>22</v>
      </c>
      <c r="D680" s="12" t="s">
        <v>14</v>
      </c>
      <c r="E680" s="12">
        <v>-396</v>
      </c>
    </row>
    <row r="681" spans="1:5">
      <c r="A681" s="15">
        <v>43517</v>
      </c>
      <c r="B681" s="13">
        <v>2503</v>
      </c>
      <c r="C681" s="13" t="s">
        <v>22</v>
      </c>
      <c r="D681" s="13" t="s">
        <v>8</v>
      </c>
      <c r="E681" s="13">
        <v>-380</v>
      </c>
    </row>
    <row r="682" spans="1:5">
      <c r="A682" s="14">
        <v>43517</v>
      </c>
      <c r="B682" s="12">
        <v>2503</v>
      </c>
      <c r="C682" s="12" t="s">
        <v>22</v>
      </c>
      <c r="D682" s="12" t="s">
        <v>6</v>
      </c>
      <c r="E682" s="12">
        <v>-283</v>
      </c>
    </row>
    <row r="683" spans="1:5">
      <c r="A683" s="15">
        <v>43517</v>
      </c>
      <c r="B683" s="13">
        <v>2513</v>
      </c>
      <c r="C683" s="13" t="s">
        <v>17</v>
      </c>
      <c r="D683" s="13" t="s">
        <v>13</v>
      </c>
      <c r="E683" s="13">
        <v>-582</v>
      </c>
    </row>
    <row r="684" spans="1:5">
      <c r="A684" s="14">
        <v>43517</v>
      </c>
      <c r="B684" s="12">
        <v>2510</v>
      </c>
      <c r="C684" s="12" t="s">
        <v>24</v>
      </c>
      <c r="D684" s="12" t="s">
        <v>6</v>
      </c>
      <c r="E684" s="12">
        <v>-1326</v>
      </c>
    </row>
    <row r="685" spans="1:5">
      <c r="A685" s="15">
        <v>43517</v>
      </c>
      <c r="B685" s="13">
        <v>2510</v>
      </c>
      <c r="C685" s="13" t="s">
        <v>24</v>
      </c>
      <c r="D685" s="13" t="s">
        <v>8</v>
      </c>
      <c r="E685" s="13">
        <v>-1895</v>
      </c>
    </row>
    <row r="686" spans="1:5">
      <c r="A686" s="14">
        <v>43517</v>
      </c>
      <c r="B686" s="12">
        <v>2500</v>
      </c>
      <c r="C686" s="12" t="s">
        <v>25</v>
      </c>
      <c r="D686" s="12" t="s">
        <v>19</v>
      </c>
      <c r="E686" s="12">
        <v>-26430</v>
      </c>
    </row>
    <row r="687" spans="1:5">
      <c r="A687" s="15">
        <v>43517</v>
      </c>
      <c r="B687" s="13">
        <v>2505</v>
      </c>
      <c r="C687" s="13" t="s">
        <v>9</v>
      </c>
      <c r="D687" s="13" t="s">
        <v>19</v>
      </c>
      <c r="E687" s="13">
        <v>-609</v>
      </c>
    </row>
    <row r="688" spans="1:5">
      <c r="A688" s="14">
        <v>43517</v>
      </c>
      <c r="B688" s="12">
        <v>2513</v>
      </c>
      <c r="C688" s="12" t="s">
        <v>17</v>
      </c>
      <c r="D688" s="12" t="s">
        <v>19</v>
      </c>
      <c r="E688" s="12">
        <v>-499</v>
      </c>
    </row>
    <row r="689" spans="1:5">
      <c r="A689" s="15">
        <v>43517</v>
      </c>
      <c r="B689" s="13">
        <v>2505</v>
      </c>
      <c r="C689" s="13" t="s">
        <v>9</v>
      </c>
      <c r="D689" s="13" t="s">
        <v>19</v>
      </c>
      <c r="E689" s="13">
        <v>-432</v>
      </c>
    </row>
    <row r="690" spans="1:5">
      <c r="A690" s="14">
        <v>43517</v>
      </c>
      <c r="B690" s="12">
        <v>1000</v>
      </c>
      <c r="C690" s="12" t="s">
        <v>23</v>
      </c>
      <c r="D690" s="12" t="s">
        <v>19</v>
      </c>
      <c r="E690" s="12">
        <v>818864</v>
      </c>
    </row>
    <row r="691" spans="1:5">
      <c r="A691" s="15">
        <v>43518</v>
      </c>
      <c r="B691" s="13">
        <v>2500</v>
      </c>
      <c r="C691" s="13" t="s">
        <v>25</v>
      </c>
      <c r="D691" s="13" t="s">
        <v>19</v>
      </c>
      <c r="E691" s="13">
        <v>-54527</v>
      </c>
    </row>
    <row r="692" spans="1:5">
      <c r="A692" s="14">
        <v>43518</v>
      </c>
      <c r="B692" s="12">
        <v>2503</v>
      </c>
      <c r="C692" s="12" t="s">
        <v>22</v>
      </c>
      <c r="D692" s="12" t="s">
        <v>13</v>
      </c>
      <c r="E692" s="12">
        <v>-248</v>
      </c>
    </row>
    <row r="693" spans="1:5">
      <c r="A693" s="15">
        <v>43518</v>
      </c>
      <c r="B693" s="13">
        <v>2505</v>
      </c>
      <c r="C693" s="13" t="s">
        <v>9</v>
      </c>
      <c r="D693" s="13" t="s">
        <v>6</v>
      </c>
      <c r="E693" s="13">
        <v>-527</v>
      </c>
    </row>
    <row r="694" spans="1:5">
      <c r="A694" s="14">
        <v>43518</v>
      </c>
      <c r="B694" s="12">
        <v>2508</v>
      </c>
      <c r="C694" s="12" t="s">
        <v>15</v>
      </c>
      <c r="D694" s="12" t="s">
        <v>14</v>
      </c>
      <c r="E694" s="12">
        <v>-66031</v>
      </c>
    </row>
    <row r="695" spans="1:5">
      <c r="A695" s="15">
        <v>43518</v>
      </c>
      <c r="B695" s="13">
        <v>2508</v>
      </c>
      <c r="C695" s="13" t="s">
        <v>15</v>
      </c>
      <c r="D695" s="13" t="s">
        <v>8</v>
      </c>
      <c r="E695" s="13">
        <v>-64089</v>
      </c>
    </row>
    <row r="696" spans="1:5">
      <c r="A696" s="14">
        <v>43518</v>
      </c>
      <c r="B696" s="12">
        <v>2512</v>
      </c>
      <c r="C696" s="12" t="s">
        <v>16</v>
      </c>
      <c r="D696" s="12" t="s">
        <v>12</v>
      </c>
      <c r="E696" s="12">
        <v>-1102</v>
      </c>
    </row>
    <row r="697" spans="1:5">
      <c r="A697" s="15">
        <v>43518</v>
      </c>
      <c r="B697" s="13">
        <v>2513</v>
      </c>
      <c r="C697" s="13" t="s">
        <v>17</v>
      </c>
      <c r="D697" s="13" t="s">
        <v>10</v>
      </c>
      <c r="E697" s="13">
        <v>-981</v>
      </c>
    </row>
    <row r="698" spans="1:5">
      <c r="A698" s="14">
        <v>43518</v>
      </c>
      <c r="B698" s="12">
        <v>2510</v>
      </c>
      <c r="C698" s="12" t="s">
        <v>24</v>
      </c>
      <c r="D698" s="12" t="s">
        <v>6</v>
      </c>
      <c r="E698" s="12">
        <v>-1122</v>
      </c>
    </row>
    <row r="699" spans="1:5">
      <c r="A699" s="15">
        <v>43518</v>
      </c>
      <c r="B699" s="13">
        <v>1500</v>
      </c>
      <c r="C699" s="13" t="s">
        <v>26</v>
      </c>
      <c r="D699" s="13" t="s">
        <v>19</v>
      </c>
      <c r="E699" s="13">
        <v>-45401</v>
      </c>
    </row>
    <row r="700" spans="1:5">
      <c r="A700" s="14">
        <v>43518</v>
      </c>
      <c r="B700" s="12">
        <v>2504</v>
      </c>
      <c r="C700" s="12" t="s">
        <v>21</v>
      </c>
      <c r="D700" s="12" t="s">
        <v>19</v>
      </c>
      <c r="E700" s="12">
        <v>-1661</v>
      </c>
    </row>
    <row r="701" spans="1:5">
      <c r="A701" s="15">
        <v>43518</v>
      </c>
      <c r="B701" s="13">
        <v>2505</v>
      </c>
      <c r="C701" s="13" t="s">
        <v>9</v>
      </c>
      <c r="D701" s="13" t="s">
        <v>19</v>
      </c>
      <c r="E701" s="13">
        <v>-518</v>
      </c>
    </row>
    <row r="702" spans="1:5">
      <c r="A702" s="14">
        <v>43518</v>
      </c>
      <c r="B702" s="12">
        <v>2501</v>
      </c>
      <c r="C702" s="12" t="s">
        <v>5</v>
      </c>
      <c r="D702" s="12" t="s">
        <v>19</v>
      </c>
      <c r="E702" s="12">
        <v>-70</v>
      </c>
    </row>
    <row r="703" spans="1:5">
      <c r="A703" s="15">
        <v>43519</v>
      </c>
      <c r="B703" s="13">
        <v>2508</v>
      </c>
      <c r="C703" s="13" t="s">
        <v>15</v>
      </c>
      <c r="D703" s="13" t="s">
        <v>19</v>
      </c>
      <c r="E703" s="13">
        <v>-54482</v>
      </c>
    </row>
    <row r="704" spans="1:5">
      <c r="A704" s="14">
        <v>43519</v>
      </c>
      <c r="B704" s="12">
        <v>2502</v>
      </c>
      <c r="C704" s="12" t="s">
        <v>7</v>
      </c>
      <c r="D704" s="12" t="s">
        <v>10</v>
      </c>
      <c r="E704" s="12">
        <v>-7408</v>
      </c>
    </row>
    <row r="705" spans="1:5">
      <c r="A705" s="15">
        <v>43519</v>
      </c>
      <c r="B705" s="13">
        <v>2508</v>
      </c>
      <c r="C705" s="13" t="s">
        <v>15</v>
      </c>
      <c r="D705" s="13" t="s">
        <v>13</v>
      </c>
      <c r="E705" s="13">
        <v>-57874</v>
      </c>
    </row>
    <row r="706" spans="1:5">
      <c r="A706" s="14">
        <v>43519</v>
      </c>
      <c r="B706" s="12">
        <v>2512</v>
      </c>
      <c r="C706" s="12" t="s">
        <v>16</v>
      </c>
      <c r="D706" s="12" t="s">
        <v>10</v>
      </c>
      <c r="E706" s="12">
        <v>-3906</v>
      </c>
    </row>
    <row r="707" spans="1:5">
      <c r="A707" s="15">
        <v>43519</v>
      </c>
      <c r="B707" s="13">
        <v>2513</v>
      </c>
      <c r="C707" s="13" t="s">
        <v>17</v>
      </c>
      <c r="D707" s="13" t="s">
        <v>6</v>
      </c>
      <c r="E707" s="13">
        <v>-525</v>
      </c>
    </row>
    <row r="708" spans="1:5">
      <c r="A708" s="14">
        <v>43519</v>
      </c>
      <c r="B708" s="12">
        <v>2513</v>
      </c>
      <c r="C708" s="12" t="s">
        <v>17</v>
      </c>
      <c r="D708" s="12" t="s">
        <v>10</v>
      </c>
      <c r="E708" s="12">
        <v>-1137</v>
      </c>
    </row>
    <row r="709" spans="1:5">
      <c r="A709" s="15">
        <v>43519</v>
      </c>
      <c r="B709" s="13">
        <v>2510</v>
      </c>
      <c r="C709" s="13" t="s">
        <v>24</v>
      </c>
      <c r="D709" s="13" t="s">
        <v>8</v>
      </c>
      <c r="E709" s="13">
        <v>-1473</v>
      </c>
    </row>
    <row r="710" spans="1:5">
      <c r="A710" s="14">
        <v>43519</v>
      </c>
      <c r="B710" s="12">
        <v>2510</v>
      </c>
      <c r="C710" s="12" t="s">
        <v>24</v>
      </c>
      <c r="D710" s="12" t="s">
        <v>8</v>
      </c>
      <c r="E710" s="12">
        <v>-1979</v>
      </c>
    </row>
    <row r="711" spans="1:5">
      <c r="A711" s="15">
        <v>43519</v>
      </c>
      <c r="B711" s="13">
        <v>2500</v>
      </c>
      <c r="C711" s="13" t="s">
        <v>25</v>
      </c>
      <c r="D711" s="13" t="s">
        <v>19</v>
      </c>
      <c r="E711" s="13">
        <v>-21259</v>
      </c>
    </row>
    <row r="712" spans="1:5">
      <c r="A712" s="14">
        <v>43519</v>
      </c>
      <c r="B712" s="12">
        <v>2502</v>
      </c>
      <c r="C712" s="12" t="s">
        <v>7</v>
      </c>
      <c r="D712" s="12" t="s">
        <v>19</v>
      </c>
      <c r="E712" s="12">
        <v>-4419</v>
      </c>
    </row>
    <row r="713" spans="1:5">
      <c r="A713" s="15">
        <v>43519</v>
      </c>
      <c r="B713" s="13">
        <v>2502</v>
      </c>
      <c r="C713" s="13" t="s">
        <v>7</v>
      </c>
      <c r="D713" s="13" t="s">
        <v>19</v>
      </c>
      <c r="E713" s="13">
        <v>-4033</v>
      </c>
    </row>
    <row r="714" spans="1:5">
      <c r="A714" s="14">
        <v>43519</v>
      </c>
      <c r="B714" s="12">
        <v>2505</v>
      </c>
      <c r="C714" s="12" t="s">
        <v>9</v>
      </c>
      <c r="D714" s="12" t="s">
        <v>19</v>
      </c>
      <c r="E714" s="12">
        <v>-430</v>
      </c>
    </row>
    <row r="715" spans="1:5">
      <c r="A715" s="15">
        <v>43519</v>
      </c>
      <c r="B715" s="13">
        <v>2503</v>
      </c>
      <c r="C715" s="13" t="s">
        <v>22</v>
      </c>
      <c r="D715" s="13" t="s">
        <v>19</v>
      </c>
      <c r="E715" s="13">
        <v>-279</v>
      </c>
    </row>
    <row r="716" spans="1:5">
      <c r="A716" s="14">
        <v>43519</v>
      </c>
      <c r="B716" s="12">
        <v>2501</v>
      </c>
      <c r="C716" s="12" t="s">
        <v>5</v>
      </c>
      <c r="D716" s="12" t="s">
        <v>19</v>
      </c>
      <c r="E716" s="12">
        <v>-78</v>
      </c>
    </row>
    <row r="717" spans="1:5">
      <c r="A717" s="15">
        <v>43520</v>
      </c>
      <c r="B717" s="13">
        <v>2501</v>
      </c>
      <c r="C717" s="13" t="s">
        <v>5</v>
      </c>
      <c r="D717" s="13" t="s">
        <v>13</v>
      </c>
      <c r="E717" s="13">
        <v>-97</v>
      </c>
    </row>
    <row r="718" spans="1:5">
      <c r="A718" s="14">
        <v>43520</v>
      </c>
      <c r="B718" s="12">
        <v>2505</v>
      </c>
      <c r="C718" s="12" t="s">
        <v>9</v>
      </c>
      <c r="D718" s="12" t="s">
        <v>6</v>
      </c>
      <c r="E718" s="12">
        <v>-623</v>
      </c>
    </row>
    <row r="719" spans="1:5">
      <c r="A719" s="15">
        <v>43520</v>
      </c>
      <c r="B719" s="13">
        <v>2505</v>
      </c>
      <c r="C719" s="13" t="s">
        <v>9</v>
      </c>
      <c r="D719" s="13" t="s">
        <v>13</v>
      </c>
      <c r="E719" s="13">
        <v>-512</v>
      </c>
    </row>
    <row r="720" spans="1:5">
      <c r="A720" s="14">
        <v>43520</v>
      </c>
      <c r="B720" s="12">
        <v>2505</v>
      </c>
      <c r="C720" s="12" t="s">
        <v>9</v>
      </c>
      <c r="D720" s="12" t="s">
        <v>14</v>
      </c>
      <c r="E720" s="12">
        <v>-519</v>
      </c>
    </row>
    <row r="721" spans="1:5">
      <c r="A721" s="15">
        <v>43520</v>
      </c>
      <c r="B721" s="13">
        <v>2505</v>
      </c>
      <c r="C721" s="13" t="s">
        <v>9</v>
      </c>
      <c r="D721" s="13" t="s">
        <v>14</v>
      </c>
      <c r="E721" s="13">
        <v>-557</v>
      </c>
    </row>
    <row r="722" spans="1:5">
      <c r="A722" s="14">
        <v>43520</v>
      </c>
      <c r="B722" s="12">
        <v>2512</v>
      </c>
      <c r="C722" s="12" t="s">
        <v>16</v>
      </c>
      <c r="D722" s="12" t="s">
        <v>14</v>
      </c>
      <c r="E722" s="12">
        <v>-4705</v>
      </c>
    </row>
    <row r="723" spans="1:5">
      <c r="A723" s="15">
        <v>43520</v>
      </c>
      <c r="B723" s="13">
        <v>2512</v>
      </c>
      <c r="C723" s="13" t="s">
        <v>16</v>
      </c>
      <c r="D723" s="13" t="s">
        <v>12</v>
      </c>
      <c r="E723" s="13">
        <v>-975</v>
      </c>
    </row>
    <row r="724" spans="1:5">
      <c r="A724" s="14">
        <v>43520</v>
      </c>
      <c r="B724" s="12">
        <v>2508</v>
      </c>
      <c r="C724" s="12" t="s">
        <v>15</v>
      </c>
      <c r="D724" s="12" t="s">
        <v>19</v>
      </c>
      <c r="E724" s="12">
        <v>-42430</v>
      </c>
    </row>
    <row r="725" spans="1:5">
      <c r="A725" s="15">
        <v>43520</v>
      </c>
      <c r="B725" s="13">
        <v>2513</v>
      </c>
      <c r="C725" s="13" t="s">
        <v>17</v>
      </c>
      <c r="D725" s="13" t="s">
        <v>19</v>
      </c>
      <c r="E725" s="13">
        <v>-1021</v>
      </c>
    </row>
    <row r="726" spans="1:5">
      <c r="A726" s="14">
        <v>43520</v>
      </c>
      <c r="B726" s="12">
        <v>2510</v>
      </c>
      <c r="C726" s="12" t="s">
        <v>24</v>
      </c>
      <c r="D726" s="12" t="s">
        <v>19</v>
      </c>
      <c r="E726" s="12">
        <v>-601</v>
      </c>
    </row>
    <row r="727" spans="1:5">
      <c r="A727" s="15">
        <v>43520</v>
      </c>
      <c r="B727" s="13">
        <v>2501</v>
      </c>
      <c r="C727" s="13" t="s">
        <v>5</v>
      </c>
      <c r="D727" s="13" t="s">
        <v>19</v>
      </c>
      <c r="E727" s="13">
        <v>-126</v>
      </c>
    </row>
    <row r="728" spans="1:5">
      <c r="A728" s="14">
        <v>43520</v>
      </c>
      <c r="B728" s="12">
        <v>2501</v>
      </c>
      <c r="C728" s="12" t="s">
        <v>5</v>
      </c>
      <c r="D728" s="12" t="s">
        <v>19</v>
      </c>
      <c r="E728" s="12">
        <v>-86</v>
      </c>
    </row>
    <row r="729" spans="1:5">
      <c r="A729" s="15">
        <v>43520</v>
      </c>
      <c r="B729" s="13">
        <v>1000</v>
      </c>
      <c r="C729" s="13" t="s">
        <v>23</v>
      </c>
      <c r="D729" s="13" t="s">
        <v>19</v>
      </c>
      <c r="E729" s="13">
        <v>1342882</v>
      </c>
    </row>
    <row r="730" spans="1:5">
      <c r="A730" s="14">
        <v>43521</v>
      </c>
      <c r="B730" s="12">
        <v>1500</v>
      </c>
      <c r="C730" s="12" t="s">
        <v>26</v>
      </c>
      <c r="D730" s="12" t="s">
        <v>19</v>
      </c>
      <c r="E730" s="12">
        <v>-54261</v>
      </c>
    </row>
    <row r="731" spans="1:5">
      <c r="A731" s="15">
        <v>43521</v>
      </c>
      <c r="B731" s="13">
        <v>2505</v>
      </c>
      <c r="C731" s="13" t="s">
        <v>9</v>
      </c>
      <c r="D731" s="13" t="s">
        <v>12</v>
      </c>
      <c r="E731" s="13">
        <v>-985</v>
      </c>
    </row>
    <row r="732" spans="1:5">
      <c r="A732" s="14">
        <v>43521</v>
      </c>
      <c r="B732" s="12">
        <v>2512</v>
      </c>
      <c r="C732" s="12" t="s">
        <v>16</v>
      </c>
      <c r="D732" s="12" t="s">
        <v>6</v>
      </c>
      <c r="E732" s="12">
        <v>-4344</v>
      </c>
    </row>
    <row r="733" spans="1:5">
      <c r="A733" s="15">
        <v>43521</v>
      </c>
      <c r="B733" s="13">
        <v>2513</v>
      </c>
      <c r="C733" s="13" t="s">
        <v>17</v>
      </c>
      <c r="D733" s="13" t="s">
        <v>14</v>
      </c>
      <c r="E733" s="13">
        <v>-1256</v>
      </c>
    </row>
    <row r="734" spans="1:5">
      <c r="A734" s="14">
        <v>43521</v>
      </c>
      <c r="B734" s="12">
        <v>2514</v>
      </c>
      <c r="C734" s="12" t="s">
        <v>20</v>
      </c>
      <c r="D734" s="12" t="s">
        <v>6</v>
      </c>
      <c r="E734" s="12">
        <v>-1370</v>
      </c>
    </row>
    <row r="735" spans="1:5">
      <c r="A735" s="15">
        <v>43521</v>
      </c>
      <c r="B735" s="13">
        <v>2514</v>
      </c>
      <c r="C735" s="13" t="s">
        <v>20</v>
      </c>
      <c r="D735" s="13" t="s">
        <v>12</v>
      </c>
      <c r="E735" s="13">
        <v>-2248</v>
      </c>
    </row>
    <row r="736" spans="1:5">
      <c r="A736" s="14">
        <v>43521</v>
      </c>
      <c r="B736" s="12">
        <v>2514</v>
      </c>
      <c r="C736" s="12" t="s">
        <v>20</v>
      </c>
      <c r="D736" s="12" t="s">
        <v>10</v>
      </c>
      <c r="E736" s="12">
        <v>-1465</v>
      </c>
    </row>
    <row r="737" spans="1:5">
      <c r="A737" s="15">
        <v>43521</v>
      </c>
      <c r="B737" s="13">
        <v>2510</v>
      </c>
      <c r="C737" s="13" t="s">
        <v>24</v>
      </c>
      <c r="D737" s="13" t="s">
        <v>6</v>
      </c>
      <c r="E737" s="13">
        <v>-1844</v>
      </c>
    </row>
    <row r="738" spans="1:5">
      <c r="A738" s="14">
        <v>43521</v>
      </c>
      <c r="B738" s="12">
        <v>1500</v>
      </c>
      <c r="C738" s="12" t="s">
        <v>26</v>
      </c>
      <c r="D738" s="12" t="s">
        <v>19</v>
      </c>
      <c r="E738" s="12">
        <v>-17832</v>
      </c>
    </row>
    <row r="739" spans="1:5">
      <c r="A739" s="15">
        <v>43521</v>
      </c>
      <c r="B739" s="13">
        <v>2510</v>
      </c>
      <c r="C739" s="13" t="s">
        <v>24</v>
      </c>
      <c r="D739" s="13" t="s">
        <v>19</v>
      </c>
      <c r="E739" s="13">
        <v>-951</v>
      </c>
    </row>
    <row r="740" spans="1:5">
      <c r="A740" s="14">
        <v>43521</v>
      </c>
      <c r="B740" s="12">
        <v>2501</v>
      </c>
      <c r="C740" s="12" t="s">
        <v>5</v>
      </c>
      <c r="D740" s="12" t="s">
        <v>19</v>
      </c>
      <c r="E740" s="12">
        <v>-97</v>
      </c>
    </row>
    <row r="741" spans="1:5">
      <c r="A741" s="15">
        <v>43522</v>
      </c>
      <c r="B741" s="13">
        <v>2501</v>
      </c>
      <c r="C741" s="13" t="s">
        <v>5</v>
      </c>
      <c r="D741" s="13" t="s">
        <v>6</v>
      </c>
      <c r="E741" s="13">
        <v>-195</v>
      </c>
    </row>
    <row r="742" spans="1:5">
      <c r="A742" s="14">
        <v>43522</v>
      </c>
      <c r="B742" s="12">
        <v>2506</v>
      </c>
      <c r="C742" s="12" t="s">
        <v>27</v>
      </c>
      <c r="D742" s="12" t="s">
        <v>14</v>
      </c>
      <c r="E742" s="12">
        <v>-709</v>
      </c>
    </row>
    <row r="743" spans="1:5">
      <c r="A743" s="15">
        <v>43522</v>
      </c>
      <c r="B743" s="13">
        <v>2513</v>
      </c>
      <c r="C743" s="13" t="s">
        <v>17</v>
      </c>
      <c r="D743" s="13" t="s">
        <v>12</v>
      </c>
      <c r="E743" s="13">
        <v>-1928</v>
      </c>
    </row>
    <row r="744" spans="1:5">
      <c r="A744" s="14">
        <v>43522</v>
      </c>
      <c r="B744" s="12">
        <v>2514</v>
      </c>
      <c r="C744" s="12" t="s">
        <v>20</v>
      </c>
      <c r="D744" s="12" t="s">
        <v>6</v>
      </c>
      <c r="E744" s="12">
        <v>-1596</v>
      </c>
    </row>
    <row r="745" spans="1:5">
      <c r="A745" s="15">
        <v>43522</v>
      </c>
      <c r="B745" s="13">
        <v>2510</v>
      </c>
      <c r="C745" s="13" t="s">
        <v>24</v>
      </c>
      <c r="D745" s="13" t="s">
        <v>12</v>
      </c>
      <c r="E745" s="13">
        <v>-1970</v>
      </c>
    </row>
    <row r="746" spans="1:5">
      <c r="A746" s="14">
        <v>43522</v>
      </c>
      <c r="B746" s="12">
        <v>2512</v>
      </c>
      <c r="C746" s="12" t="s">
        <v>16</v>
      </c>
      <c r="D746" s="12" t="s">
        <v>19</v>
      </c>
      <c r="E746" s="12">
        <v>-12056</v>
      </c>
    </row>
    <row r="747" spans="1:5">
      <c r="A747" s="15">
        <v>43522</v>
      </c>
      <c r="B747" s="13">
        <v>2510</v>
      </c>
      <c r="C747" s="13" t="s">
        <v>24</v>
      </c>
      <c r="D747" s="13" t="s">
        <v>19</v>
      </c>
      <c r="E747" s="13">
        <v>-1060</v>
      </c>
    </row>
    <row r="748" spans="1:5">
      <c r="A748" s="14">
        <v>43522</v>
      </c>
      <c r="B748" s="12">
        <v>2514</v>
      </c>
      <c r="C748" s="12" t="s">
        <v>20</v>
      </c>
      <c r="D748" s="12" t="s">
        <v>19</v>
      </c>
      <c r="E748" s="12">
        <v>-973</v>
      </c>
    </row>
    <row r="749" spans="1:5">
      <c r="A749" s="15">
        <v>43522</v>
      </c>
      <c r="B749" s="13">
        <v>2513</v>
      </c>
      <c r="C749" s="13" t="s">
        <v>17</v>
      </c>
      <c r="D749" s="13" t="s">
        <v>19</v>
      </c>
      <c r="E749" s="13">
        <v>-350</v>
      </c>
    </row>
    <row r="750" spans="1:5">
      <c r="A750" s="14">
        <v>43522</v>
      </c>
      <c r="B750" s="12">
        <v>2505</v>
      </c>
      <c r="C750" s="12" t="s">
        <v>9</v>
      </c>
      <c r="D750" s="12" t="s">
        <v>19</v>
      </c>
      <c r="E750" s="12">
        <v>-285</v>
      </c>
    </row>
    <row r="751" spans="1:5">
      <c r="A751" s="15">
        <v>43522</v>
      </c>
      <c r="B751" s="13">
        <v>2501</v>
      </c>
      <c r="C751" s="13" t="s">
        <v>5</v>
      </c>
      <c r="D751" s="13" t="s">
        <v>19</v>
      </c>
      <c r="E751" s="13">
        <v>-129</v>
      </c>
    </row>
    <row r="752" spans="1:5">
      <c r="A752" s="14">
        <v>43522</v>
      </c>
      <c r="B752" s="12">
        <v>2501</v>
      </c>
      <c r="C752" s="12" t="s">
        <v>5</v>
      </c>
      <c r="D752" s="12" t="s">
        <v>19</v>
      </c>
      <c r="E752" s="12">
        <v>-70</v>
      </c>
    </row>
    <row r="753" spans="1:5">
      <c r="A753" s="15">
        <v>43523</v>
      </c>
      <c r="B753" s="13">
        <v>2501</v>
      </c>
      <c r="C753" s="13" t="s">
        <v>5</v>
      </c>
      <c r="D753" s="13" t="s">
        <v>14</v>
      </c>
      <c r="E753" s="13">
        <v>-136</v>
      </c>
    </row>
    <row r="754" spans="1:5">
      <c r="A754" s="14">
        <v>43523</v>
      </c>
      <c r="B754" s="12">
        <v>2501</v>
      </c>
      <c r="C754" s="12" t="s">
        <v>5</v>
      </c>
      <c r="D754" s="12" t="s">
        <v>12</v>
      </c>
      <c r="E754" s="12">
        <v>-139</v>
      </c>
    </row>
    <row r="755" spans="1:5">
      <c r="A755" s="15">
        <v>43523</v>
      </c>
      <c r="B755" s="13">
        <v>2501</v>
      </c>
      <c r="C755" s="13" t="s">
        <v>5</v>
      </c>
      <c r="D755" s="13" t="s">
        <v>14</v>
      </c>
      <c r="E755" s="13">
        <v>-189</v>
      </c>
    </row>
    <row r="756" spans="1:5">
      <c r="A756" s="14">
        <v>43523</v>
      </c>
      <c r="B756" s="12">
        <v>2501</v>
      </c>
      <c r="C756" s="12" t="s">
        <v>5</v>
      </c>
      <c r="D756" s="12" t="s">
        <v>14</v>
      </c>
      <c r="E756" s="12">
        <v>-140</v>
      </c>
    </row>
    <row r="757" spans="1:5">
      <c r="A757" s="15">
        <v>43523</v>
      </c>
      <c r="B757" s="13">
        <v>2503</v>
      </c>
      <c r="C757" s="13" t="s">
        <v>22</v>
      </c>
      <c r="D757" s="13" t="s">
        <v>12</v>
      </c>
      <c r="E757" s="13">
        <v>-563</v>
      </c>
    </row>
    <row r="758" spans="1:5">
      <c r="A758" s="14">
        <v>43523</v>
      </c>
      <c r="B758" s="12">
        <v>2503</v>
      </c>
      <c r="C758" s="12" t="s">
        <v>22</v>
      </c>
      <c r="D758" s="12" t="s">
        <v>6</v>
      </c>
      <c r="E758" s="12">
        <v>-307</v>
      </c>
    </row>
    <row r="759" spans="1:5">
      <c r="A759" s="15">
        <v>43523</v>
      </c>
      <c r="B759" s="13">
        <v>2506</v>
      </c>
      <c r="C759" s="13" t="s">
        <v>27</v>
      </c>
      <c r="D759" s="13" t="s">
        <v>14</v>
      </c>
      <c r="E759" s="13">
        <v>-645</v>
      </c>
    </row>
    <row r="760" spans="1:5">
      <c r="A760" s="14">
        <v>43523</v>
      </c>
      <c r="B760" s="12">
        <v>2508</v>
      </c>
      <c r="C760" s="12" t="s">
        <v>15</v>
      </c>
      <c r="D760" s="12" t="s">
        <v>14</v>
      </c>
      <c r="E760" s="12">
        <v>-61815</v>
      </c>
    </row>
    <row r="761" spans="1:5">
      <c r="A761" s="15">
        <v>43523</v>
      </c>
      <c r="B761" s="13">
        <v>2500</v>
      </c>
      <c r="C761" s="13" t="s">
        <v>25</v>
      </c>
      <c r="D761" s="13" t="s">
        <v>19</v>
      </c>
      <c r="E761" s="13">
        <v>-43283</v>
      </c>
    </row>
    <row r="762" spans="1:5">
      <c r="A762" s="14">
        <v>43523</v>
      </c>
      <c r="B762" s="12">
        <v>2512</v>
      </c>
      <c r="C762" s="12" t="s">
        <v>16</v>
      </c>
      <c r="D762" s="12" t="s">
        <v>19</v>
      </c>
      <c r="E762" s="12">
        <v>-6312</v>
      </c>
    </row>
    <row r="763" spans="1:5">
      <c r="A763" s="15">
        <v>43523</v>
      </c>
      <c r="B763" s="13">
        <v>2510</v>
      </c>
      <c r="C763" s="13" t="s">
        <v>24</v>
      </c>
      <c r="D763" s="13" t="s">
        <v>19</v>
      </c>
      <c r="E763" s="13">
        <v>-1226</v>
      </c>
    </row>
    <row r="764" spans="1:5">
      <c r="A764" s="14">
        <v>43523</v>
      </c>
      <c r="B764" s="12">
        <v>2505</v>
      </c>
      <c r="C764" s="12" t="s">
        <v>9</v>
      </c>
      <c r="D764" s="12" t="s">
        <v>19</v>
      </c>
      <c r="E764" s="12">
        <v>-517</v>
      </c>
    </row>
    <row r="765" spans="1:5">
      <c r="A765" s="15">
        <v>43523</v>
      </c>
      <c r="B765" s="13">
        <v>2501</v>
      </c>
      <c r="C765" s="13" t="s">
        <v>5</v>
      </c>
      <c r="D765" s="13" t="s">
        <v>19</v>
      </c>
      <c r="E765" s="13">
        <v>-121</v>
      </c>
    </row>
    <row r="766" spans="1:5">
      <c r="A766" s="14">
        <v>43523</v>
      </c>
      <c r="B766" s="12">
        <v>1000</v>
      </c>
      <c r="C766" s="12" t="s">
        <v>23</v>
      </c>
      <c r="D766" s="12" t="s">
        <v>19</v>
      </c>
      <c r="E766" s="12">
        <v>965991</v>
      </c>
    </row>
    <row r="767" spans="1:5">
      <c r="A767" s="15">
        <v>43524</v>
      </c>
      <c r="B767" s="13">
        <v>2000</v>
      </c>
      <c r="C767" s="13" t="s">
        <v>18</v>
      </c>
      <c r="D767" s="13" t="s">
        <v>19</v>
      </c>
      <c r="E767" s="13">
        <v>-325631</v>
      </c>
    </row>
    <row r="768" spans="1:5">
      <c r="A768" s="14">
        <v>43524</v>
      </c>
      <c r="B768" s="12">
        <v>2000</v>
      </c>
      <c r="C768" s="12" t="s">
        <v>18</v>
      </c>
      <c r="D768" s="12" t="s">
        <v>19</v>
      </c>
      <c r="E768" s="12">
        <v>-142470</v>
      </c>
    </row>
    <row r="769" spans="1:5">
      <c r="A769" s="15">
        <v>43524</v>
      </c>
      <c r="B769" s="13">
        <v>2501</v>
      </c>
      <c r="C769" s="13" t="s">
        <v>5</v>
      </c>
      <c r="D769" s="13" t="s">
        <v>10</v>
      </c>
      <c r="E769" s="13">
        <v>-82</v>
      </c>
    </row>
    <row r="770" spans="1:5">
      <c r="A770" s="14">
        <v>43524</v>
      </c>
      <c r="B770" s="12">
        <v>2501</v>
      </c>
      <c r="C770" s="12" t="s">
        <v>5</v>
      </c>
      <c r="D770" s="12" t="s">
        <v>10</v>
      </c>
      <c r="E770" s="12">
        <v>-83</v>
      </c>
    </row>
    <row r="771" spans="1:5">
      <c r="A771" s="15">
        <v>43524</v>
      </c>
      <c r="B771" s="13">
        <v>2502</v>
      </c>
      <c r="C771" s="13" t="s">
        <v>7</v>
      </c>
      <c r="D771" s="13" t="s">
        <v>12</v>
      </c>
      <c r="E771" s="13">
        <v>-7364</v>
      </c>
    </row>
    <row r="772" spans="1:5">
      <c r="A772" s="14">
        <v>43524</v>
      </c>
      <c r="B772" s="12">
        <v>2502</v>
      </c>
      <c r="C772" s="12" t="s">
        <v>7</v>
      </c>
      <c r="D772" s="12" t="s">
        <v>12</v>
      </c>
      <c r="E772" s="12">
        <v>-5847</v>
      </c>
    </row>
    <row r="773" spans="1:5">
      <c r="A773" s="15">
        <v>43524</v>
      </c>
      <c r="B773" s="13">
        <v>2512</v>
      </c>
      <c r="C773" s="13" t="s">
        <v>16</v>
      </c>
      <c r="D773" s="13" t="s">
        <v>6</v>
      </c>
      <c r="E773" s="13">
        <v>-3551</v>
      </c>
    </row>
    <row r="774" spans="1:5">
      <c r="A774" s="14">
        <v>43524</v>
      </c>
      <c r="B774" s="12">
        <v>2512</v>
      </c>
      <c r="C774" s="12" t="s">
        <v>16</v>
      </c>
      <c r="D774" s="12" t="s">
        <v>13</v>
      </c>
      <c r="E774" s="12">
        <v>-624</v>
      </c>
    </row>
    <row r="775" spans="1:5">
      <c r="A775" s="15">
        <v>43524</v>
      </c>
      <c r="B775" s="13">
        <v>2510</v>
      </c>
      <c r="C775" s="13" t="s">
        <v>24</v>
      </c>
      <c r="D775" s="13" t="s">
        <v>12</v>
      </c>
      <c r="E775" s="13">
        <v>-2286</v>
      </c>
    </row>
    <row r="776" spans="1:5">
      <c r="A776" s="14">
        <v>43524</v>
      </c>
      <c r="B776" s="12">
        <v>2512</v>
      </c>
      <c r="C776" s="12" t="s">
        <v>16</v>
      </c>
      <c r="D776" s="12" t="s">
        <v>19</v>
      </c>
      <c r="E776" s="12">
        <v>-7002</v>
      </c>
    </row>
    <row r="777" spans="1:5">
      <c r="A777" s="15">
        <v>43524</v>
      </c>
      <c r="B777" s="13">
        <v>2502</v>
      </c>
      <c r="C777" s="13" t="s">
        <v>7</v>
      </c>
      <c r="D777" s="13" t="s">
        <v>19</v>
      </c>
      <c r="E777" s="13">
        <v>-4232</v>
      </c>
    </row>
    <row r="778" spans="1:5">
      <c r="A778" s="14">
        <v>43524</v>
      </c>
      <c r="B778" s="12">
        <v>2514</v>
      </c>
      <c r="C778" s="12" t="s">
        <v>20</v>
      </c>
      <c r="D778" s="12" t="s">
        <v>19</v>
      </c>
      <c r="E778" s="12">
        <v>-1212</v>
      </c>
    </row>
    <row r="779" spans="1:5">
      <c r="A779" s="15">
        <v>43524</v>
      </c>
      <c r="B779" s="13">
        <v>2514</v>
      </c>
      <c r="C779" s="13" t="s">
        <v>20</v>
      </c>
      <c r="D779" s="13" t="s">
        <v>19</v>
      </c>
      <c r="E779" s="13">
        <v>-1041</v>
      </c>
    </row>
    <row r="780" spans="1:5">
      <c r="A780" s="14">
        <v>43524</v>
      </c>
      <c r="B780" s="12">
        <v>2503</v>
      </c>
      <c r="C780" s="12" t="s">
        <v>22</v>
      </c>
      <c r="D780" s="12" t="s">
        <v>19</v>
      </c>
      <c r="E780" s="12">
        <v>-207</v>
      </c>
    </row>
    <row r="781" spans="1:5">
      <c r="A781" s="15">
        <v>43524</v>
      </c>
      <c r="B781" s="13">
        <v>1000</v>
      </c>
      <c r="C781" s="13" t="s">
        <v>23</v>
      </c>
      <c r="D781" s="13" t="s">
        <v>19</v>
      </c>
      <c r="E781" s="13">
        <v>650324</v>
      </c>
    </row>
    <row r="782" spans="1:5">
      <c r="A782" s="14">
        <v>43524</v>
      </c>
      <c r="B782" s="12">
        <v>1000</v>
      </c>
      <c r="C782" s="12" t="s">
        <v>23</v>
      </c>
      <c r="D782" s="12" t="s">
        <v>19</v>
      </c>
      <c r="E782" s="12">
        <v>970260</v>
      </c>
    </row>
    <row r="783" spans="1:5">
      <c r="A783" s="15">
        <v>43524</v>
      </c>
      <c r="B783" s="13">
        <v>1000</v>
      </c>
      <c r="C783" s="13" t="s">
        <v>23</v>
      </c>
      <c r="D783" s="13" t="s">
        <v>19</v>
      </c>
      <c r="E783" s="13">
        <v>1097900</v>
      </c>
    </row>
    <row r="784" spans="1:5">
      <c r="A784" s="14">
        <v>43525</v>
      </c>
      <c r="B784" s="12">
        <v>2508</v>
      </c>
      <c r="C784" s="12" t="s">
        <v>15</v>
      </c>
      <c r="D784" s="12" t="s">
        <v>19</v>
      </c>
      <c r="E784" s="12">
        <v>-46626</v>
      </c>
    </row>
    <row r="785" spans="1:5">
      <c r="A785" s="15">
        <v>43525</v>
      </c>
      <c r="B785" s="13">
        <v>2503</v>
      </c>
      <c r="C785" s="13" t="s">
        <v>22</v>
      </c>
      <c r="D785" s="13" t="s">
        <v>10</v>
      </c>
      <c r="E785" s="13">
        <v>-285</v>
      </c>
    </row>
    <row r="786" spans="1:5">
      <c r="A786" s="14">
        <v>43525</v>
      </c>
      <c r="B786" s="12">
        <v>2505</v>
      </c>
      <c r="C786" s="12" t="s">
        <v>9</v>
      </c>
      <c r="D786" s="12" t="s">
        <v>13</v>
      </c>
      <c r="E786" s="12">
        <v>-519</v>
      </c>
    </row>
    <row r="787" spans="1:5">
      <c r="A787" s="15">
        <v>43525</v>
      </c>
      <c r="B787" s="13">
        <v>2505</v>
      </c>
      <c r="C787" s="13" t="s">
        <v>9</v>
      </c>
      <c r="D787" s="13" t="s">
        <v>14</v>
      </c>
      <c r="E787" s="13">
        <v>-638</v>
      </c>
    </row>
    <row r="788" spans="1:5">
      <c r="A788" s="14">
        <v>43525</v>
      </c>
      <c r="B788" s="12">
        <v>2507</v>
      </c>
      <c r="C788" s="12" t="s">
        <v>11</v>
      </c>
      <c r="D788" s="12" t="s">
        <v>12</v>
      </c>
      <c r="E788" s="12">
        <v>-2320</v>
      </c>
    </row>
    <row r="789" spans="1:5">
      <c r="A789" s="15">
        <v>43525</v>
      </c>
      <c r="B789" s="13">
        <v>2507</v>
      </c>
      <c r="C789" s="13" t="s">
        <v>11</v>
      </c>
      <c r="D789" s="13" t="s">
        <v>13</v>
      </c>
      <c r="E789" s="13">
        <v>-2040</v>
      </c>
    </row>
    <row r="790" spans="1:5">
      <c r="A790" s="14">
        <v>43525</v>
      </c>
      <c r="B790" s="12">
        <v>2507</v>
      </c>
      <c r="C790" s="12" t="s">
        <v>11</v>
      </c>
      <c r="D790" s="12" t="s">
        <v>8</v>
      </c>
      <c r="E790" s="12">
        <v>-1940</v>
      </c>
    </row>
    <row r="791" spans="1:5">
      <c r="A791" s="15">
        <v>43525</v>
      </c>
      <c r="B791" s="13">
        <v>2507</v>
      </c>
      <c r="C791" s="13" t="s">
        <v>11</v>
      </c>
      <c r="D791" s="13" t="s">
        <v>10</v>
      </c>
      <c r="E791" s="13">
        <v>-1520</v>
      </c>
    </row>
    <row r="792" spans="1:5">
      <c r="A792" s="14">
        <v>43525</v>
      </c>
      <c r="B792" s="12">
        <v>2507</v>
      </c>
      <c r="C792" s="12" t="s">
        <v>11</v>
      </c>
      <c r="D792" s="12" t="s">
        <v>6</v>
      </c>
      <c r="E792" s="12">
        <v>-1720</v>
      </c>
    </row>
    <row r="793" spans="1:5">
      <c r="A793" s="15">
        <v>43525</v>
      </c>
      <c r="B793" s="13">
        <v>2507</v>
      </c>
      <c r="C793" s="13" t="s">
        <v>11</v>
      </c>
      <c r="D793" s="13" t="s">
        <v>14</v>
      </c>
      <c r="E793" s="13">
        <v>-1140</v>
      </c>
    </row>
    <row r="794" spans="1:5">
      <c r="A794" s="14">
        <v>43525</v>
      </c>
      <c r="B794" s="12">
        <v>2508</v>
      </c>
      <c r="C794" s="12" t="s">
        <v>15</v>
      </c>
      <c r="D794" s="12" t="s">
        <v>14</v>
      </c>
      <c r="E794" s="12">
        <v>-54160</v>
      </c>
    </row>
    <row r="795" spans="1:5">
      <c r="A795" s="15">
        <v>43525</v>
      </c>
      <c r="B795" s="13">
        <v>2512</v>
      </c>
      <c r="C795" s="13" t="s">
        <v>16</v>
      </c>
      <c r="D795" s="13" t="s">
        <v>10</v>
      </c>
      <c r="E795" s="13">
        <v>-3601</v>
      </c>
    </row>
    <row r="796" spans="1:5">
      <c r="A796" s="14">
        <v>43525</v>
      </c>
      <c r="B796" s="12">
        <v>2513</v>
      </c>
      <c r="C796" s="12" t="s">
        <v>17</v>
      </c>
      <c r="D796" s="12" t="s">
        <v>6</v>
      </c>
      <c r="E796" s="12">
        <v>-1209</v>
      </c>
    </row>
    <row r="797" spans="1:5">
      <c r="A797" s="15">
        <v>43525</v>
      </c>
      <c r="B797" s="13">
        <v>2513</v>
      </c>
      <c r="C797" s="13" t="s">
        <v>17</v>
      </c>
      <c r="D797" s="13" t="s">
        <v>12</v>
      </c>
      <c r="E797" s="13">
        <v>-1960</v>
      </c>
    </row>
    <row r="798" spans="1:5">
      <c r="A798" s="14">
        <v>43525</v>
      </c>
      <c r="B798" s="12">
        <v>2514</v>
      </c>
      <c r="C798" s="12" t="s">
        <v>20</v>
      </c>
      <c r="D798" s="12" t="s">
        <v>8</v>
      </c>
      <c r="E798" s="12">
        <v>-1082</v>
      </c>
    </row>
    <row r="799" spans="1:5">
      <c r="A799" s="15">
        <v>43525</v>
      </c>
      <c r="B799" s="13">
        <v>2502</v>
      </c>
      <c r="C799" s="13" t="s">
        <v>7</v>
      </c>
      <c r="D799" s="13" t="s">
        <v>19</v>
      </c>
      <c r="E799" s="13">
        <v>-3427</v>
      </c>
    </row>
    <row r="800" spans="1:5">
      <c r="A800" s="14">
        <v>43525</v>
      </c>
      <c r="B800" s="12">
        <v>2504</v>
      </c>
      <c r="C800" s="12" t="s">
        <v>21</v>
      </c>
      <c r="D800" s="12" t="s">
        <v>19</v>
      </c>
      <c r="E800" s="12">
        <v>-2284</v>
      </c>
    </row>
    <row r="801" spans="1:5">
      <c r="A801" s="15">
        <v>43525</v>
      </c>
      <c r="B801" s="13">
        <v>2507</v>
      </c>
      <c r="C801" s="13" t="s">
        <v>11</v>
      </c>
      <c r="D801" s="13" t="s">
        <v>19</v>
      </c>
      <c r="E801" s="13">
        <v>-2180</v>
      </c>
    </row>
    <row r="802" spans="1:5">
      <c r="A802" s="14">
        <v>43525</v>
      </c>
      <c r="B802" s="12">
        <v>2513</v>
      </c>
      <c r="C802" s="12" t="s">
        <v>17</v>
      </c>
      <c r="D802" s="12" t="s">
        <v>19</v>
      </c>
      <c r="E802" s="12">
        <v>-946</v>
      </c>
    </row>
    <row r="803" spans="1:5">
      <c r="A803" s="15">
        <v>43525</v>
      </c>
      <c r="B803" s="13">
        <v>2513</v>
      </c>
      <c r="C803" s="13" t="s">
        <v>17</v>
      </c>
      <c r="D803" s="13" t="s">
        <v>19</v>
      </c>
      <c r="E803" s="13">
        <v>-563</v>
      </c>
    </row>
    <row r="804" spans="1:5">
      <c r="A804" s="14">
        <v>43525</v>
      </c>
      <c r="B804" s="12">
        <v>2503</v>
      </c>
      <c r="C804" s="12" t="s">
        <v>22</v>
      </c>
      <c r="D804" s="12" t="s">
        <v>19</v>
      </c>
      <c r="E804" s="12">
        <v>-206</v>
      </c>
    </row>
    <row r="805" spans="1:5">
      <c r="A805" s="15">
        <v>43525</v>
      </c>
      <c r="B805" s="13">
        <v>2501</v>
      </c>
      <c r="C805" s="13" t="s">
        <v>5</v>
      </c>
      <c r="D805" s="13" t="s">
        <v>19</v>
      </c>
      <c r="E805" s="13">
        <v>-91</v>
      </c>
    </row>
    <row r="806" spans="1:5">
      <c r="A806" s="14">
        <v>43525</v>
      </c>
      <c r="B806" s="12">
        <v>1000</v>
      </c>
      <c r="C806" s="12" t="s">
        <v>23</v>
      </c>
      <c r="D806" s="12" t="s">
        <v>19</v>
      </c>
      <c r="E806" s="12">
        <v>693937</v>
      </c>
    </row>
    <row r="807" spans="1:5">
      <c r="A807" s="15">
        <v>43525</v>
      </c>
      <c r="B807" s="13">
        <v>1000</v>
      </c>
      <c r="C807" s="13" t="s">
        <v>23</v>
      </c>
      <c r="D807" s="13" t="s">
        <v>19</v>
      </c>
      <c r="E807" s="13">
        <v>1070622</v>
      </c>
    </row>
    <row r="808" spans="1:5">
      <c r="A808" s="14">
        <v>43525</v>
      </c>
      <c r="B808" s="12">
        <v>1000</v>
      </c>
      <c r="C808" s="12" t="s">
        <v>23</v>
      </c>
      <c r="D808" s="12" t="s">
        <v>19</v>
      </c>
      <c r="E808" s="12">
        <v>1170062</v>
      </c>
    </row>
    <row r="809" spans="1:5">
      <c r="A809" s="15">
        <v>43525</v>
      </c>
      <c r="B809" s="13">
        <v>1000</v>
      </c>
      <c r="C809" s="13" t="s">
        <v>23</v>
      </c>
      <c r="D809" s="13" t="s">
        <v>19</v>
      </c>
      <c r="E809" s="13">
        <v>1197037</v>
      </c>
    </row>
    <row r="810" spans="1:5">
      <c r="A810" s="14">
        <v>43526</v>
      </c>
      <c r="B810" s="12">
        <v>2502</v>
      </c>
      <c r="C810" s="12" t="s">
        <v>7</v>
      </c>
      <c r="D810" s="12" t="s">
        <v>10</v>
      </c>
      <c r="E810" s="12">
        <v>-3271</v>
      </c>
    </row>
    <row r="811" spans="1:5">
      <c r="A811" s="15">
        <v>43526</v>
      </c>
      <c r="B811" s="13">
        <v>2502</v>
      </c>
      <c r="C811" s="13" t="s">
        <v>7</v>
      </c>
      <c r="D811" s="13" t="s">
        <v>12</v>
      </c>
      <c r="E811" s="13">
        <v>-7036</v>
      </c>
    </row>
    <row r="812" spans="1:5">
      <c r="A812" s="14">
        <v>43526</v>
      </c>
      <c r="B812" s="12">
        <v>2506</v>
      </c>
      <c r="C812" s="12" t="s">
        <v>27</v>
      </c>
      <c r="D812" s="12" t="s">
        <v>14</v>
      </c>
      <c r="E812" s="12">
        <v>-724</v>
      </c>
    </row>
    <row r="813" spans="1:5">
      <c r="A813" s="15">
        <v>43526</v>
      </c>
      <c r="B813" s="13">
        <v>2508</v>
      </c>
      <c r="C813" s="13" t="s">
        <v>15</v>
      </c>
      <c r="D813" s="13" t="s">
        <v>14</v>
      </c>
      <c r="E813" s="13">
        <v>-61231</v>
      </c>
    </row>
    <row r="814" spans="1:5">
      <c r="A814" s="14">
        <v>43526</v>
      </c>
      <c r="B814" s="12">
        <v>2508</v>
      </c>
      <c r="C814" s="12" t="s">
        <v>15</v>
      </c>
      <c r="D814" s="12" t="s">
        <v>10</v>
      </c>
      <c r="E814" s="12">
        <v>-72915</v>
      </c>
    </row>
    <row r="815" spans="1:5">
      <c r="A815" s="15">
        <v>43526</v>
      </c>
      <c r="B815" s="13">
        <v>2513</v>
      </c>
      <c r="C815" s="13" t="s">
        <v>17</v>
      </c>
      <c r="D815" s="13" t="s">
        <v>13</v>
      </c>
      <c r="E815" s="13">
        <v>-606</v>
      </c>
    </row>
    <row r="816" spans="1:5">
      <c r="A816" s="14">
        <v>43526</v>
      </c>
      <c r="B816" s="12">
        <v>2510</v>
      </c>
      <c r="C816" s="12" t="s">
        <v>24</v>
      </c>
      <c r="D816" s="12" t="s">
        <v>13</v>
      </c>
      <c r="E816" s="12">
        <v>-1035</v>
      </c>
    </row>
    <row r="817" spans="1:5">
      <c r="A817" s="15">
        <v>43526</v>
      </c>
      <c r="B817" s="13">
        <v>2510</v>
      </c>
      <c r="C817" s="13" t="s">
        <v>24</v>
      </c>
      <c r="D817" s="13" t="s">
        <v>13</v>
      </c>
      <c r="E817" s="13">
        <v>-1499</v>
      </c>
    </row>
    <row r="818" spans="1:5">
      <c r="A818" s="14">
        <v>43526</v>
      </c>
      <c r="B818" s="12">
        <v>2512</v>
      </c>
      <c r="C818" s="12" t="s">
        <v>16</v>
      </c>
      <c r="D818" s="12" t="s">
        <v>19</v>
      </c>
      <c r="E818" s="12">
        <v>-10632</v>
      </c>
    </row>
    <row r="819" spans="1:5">
      <c r="A819" s="15">
        <v>43526</v>
      </c>
      <c r="B819" s="13">
        <v>2513</v>
      </c>
      <c r="C819" s="13" t="s">
        <v>17</v>
      </c>
      <c r="D819" s="13" t="s">
        <v>19</v>
      </c>
      <c r="E819" s="13">
        <v>-736</v>
      </c>
    </row>
    <row r="820" spans="1:5">
      <c r="A820" s="14">
        <v>43526</v>
      </c>
      <c r="B820" s="12">
        <v>2510</v>
      </c>
      <c r="C820" s="12" t="s">
        <v>24</v>
      </c>
      <c r="D820" s="12" t="s">
        <v>19</v>
      </c>
      <c r="E820" s="12">
        <v>-650</v>
      </c>
    </row>
    <row r="821" spans="1:5">
      <c r="A821" s="15">
        <v>43526</v>
      </c>
      <c r="B821" s="13">
        <v>2510</v>
      </c>
      <c r="C821" s="13" t="s">
        <v>24</v>
      </c>
      <c r="D821" s="13" t="s">
        <v>19</v>
      </c>
      <c r="E821" s="13">
        <v>-598</v>
      </c>
    </row>
    <row r="822" spans="1:5">
      <c r="A822" s="14">
        <v>43526</v>
      </c>
      <c r="B822" s="12">
        <v>2503</v>
      </c>
      <c r="C822" s="12" t="s">
        <v>22</v>
      </c>
      <c r="D822" s="12" t="s">
        <v>19</v>
      </c>
      <c r="E822" s="12">
        <v>-262</v>
      </c>
    </row>
    <row r="823" spans="1:5">
      <c r="A823" s="15">
        <v>43527</v>
      </c>
      <c r="B823" s="13">
        <v>2501</v>
      </c>
      <c r="C823" s="13" t="s">
        <v>5</v>
      </c>
      <c r="D823" s="13" t="s">
        <v>8</v>
      </c>
      <c r="E823" s="13">
        <v>-100</v>
      </c>
    </row>
    <row r="824" spans="1:5">
      <c r="A824" s="14">
        <v>43527</v>
      </c>
      <c r="B824" s="12">
        <v>2503</v>
      </c>
      <c r="C824" s="12" t="s">
        <v>22</v>
      </c>
      <c r="D824" s="12" t="s">
        <v>8</v>
      </c>
      <c r="E824" s="12">
        <v>-295</v>
      </c>
    </row>
    <row r="825" spans="1:5">
      <c r="A825" s="15">
        <v>43527</v>
      </c>
      <c r="B825" s="13">
        <v>2508</v>
      </c>
      <c r="C825" s="13" t="s">
        <v>15</v>
      </c>
      <c r="D825" s="13" t="s">
        <v>14</v>
      </c>
      <c r="E825" s="13">
        <v>-64467</v>
      </c>
    </row>
    <row r="826" spans="1:5">
      <c r="A826" s="14">
        <v>43527</v>
      </c>
      <c r="B826" s="12">
        <v>2513</v>
      </c>
      <c r="C826" s="12" t="s">
        <v>17</v>
      </c>
      <c r="D826" s="12" t="s">
        <v>14</v>
      </c>
      <c r="E826" s="12">
        <v>-917</v>
      </c>
    </row>
    <row r="827" spans="1:5">
      <c r="A827" s="15">
        <v>43527</v>
      </c>
      <c r="B827" s="13">
        <v>2514</v>
      </c>
      <c r="C827" s="13" t="s">
        <v>20</v>
      </c>
      <c r="D827" s="13" t="s">
        <v>8</v>
      </c>
      <c r="E827" s="13">
        <v>-1295</v>
      </c>
    </row>
    <row r="828" spans="1:5">
      <c r="A828" s="14">
        <v>43527</v>
      </c>
      <c r="B828" s="12">
        <v>2510</v>
      </c>
      <c r="C828" s="12" t="s">
        <v>24</v>
      </c>
      <c r="D828" s="12" t="s">
        <v>12</v>
      </c>
      <c r="E828" s="12">
        <v>-2877</v>
      </c>
    </row>
    <row r="829" spans="1:5">
      <c r="A829" s="15">
        <v>43527</v>
      </c>
      <c r="B829" s="13">
        <v>2514</v>
      </c>
      <c r="C829" s="13" t="s">
        <v>20</v>
      </c>
      <c r="D829" s="13" t="s">
        <v>19</v>
      </c>
      <c r="E829" s="13">
        <v>-978</v>
      </c>
    </row>
    <row r="830" spans="1:5">
      <c r="A830" s="14">
        <v>43527</v>
      </c>
      <c r="B830" s="12">
        <v>2510</v>
      </c>
      <c r="C830" s="12" t="s">
        <v>24</v>
      </c>
      <c r="D830" s="12" t="s">
        <v>19</v>
      </c>
      <c r="E830" s="12">
        <v>-618</v>
      </c>
    </row>
    <row r="831" spans="1:5">
      <c r="A831" s="15">
        <v>43527</v>
      </c>
      <c r="B831" s="13">
        <v>2505</v>
      </c>
      <c r="C831" s="13" t="s">
        <v>9</v>
      </c>
      <c r="D831" s="13" t="s">
        <v>19</v>
      </c>
      <c r="E831" s="13">
        <v>-450</v>
      </c>
    </row>
    <row r="832" spans="1:5">
      <c r="A832" s="14">
        <v>43528</v>
      </c>
      <c r="B832" s="12">
        <v>2000</v>
      </c>
      <c r="C832" s="12" t="s">
        <v>18</v>
      </c>
      <c r="D832" s="12" t="s">
        <v>19</v>
      </c>
      <c r="E832" s="12">
        <v>-149301</v>
      </c>
    </row>
    <row r="833" spans="1:5">
      <c r="A833" s="15">
        <v>43528</v>
      </c>
      <c r="B833" s="13">
        <v>2502</v>
      </c>
      <c r="C833" s="13" t="s">
        <v>7</v>
      </c>
      <c r="D833" s="13" t="s">
        <v>8</v>
      </c>
      <c r="E833" s="13">
        <v>-4594</v>
      </c>
    </row>
    <row r="834" spans="1:5">
      <c r="A834" s="14">
        <v>43528</v>
      </c>
      <c r="B834" s="12">
        <v>2512</v>
      </c>
      <c r="C834" s="12" t="s">
        <v>16</v>
      </c>
      <c r="D834" s="12" t="s">
        <v>6</v>
      </c>
      <c r="E834" s="12">
        <v>-4092</v>
      </c>
    </row>
    <row r="835" spans="1:5">
      <c r="A835" s="15">
        <v>43528</v>
      </c>
      <c r="B835" s="13">
        <v>2512</v>
      </c>
      <c r="C835" s="13" t="s">
        <v>16</v>
      </c>
      <c r="D835" s="13" t="s">
        <v>8</v>
      </c>
      <c r="E835" s="13">
        <v>-2118</v>
      </c>
    </row>
    <row r="836" spans="1:5">
      <c r="A836" s="14">
        <v>43528</v>
      </c>
      <c r="B836" s="12">
        <v>2514</v>
      </c>
      <c r="C836" s="12" t="s">
        <v>20</v>
      </c>
      <c r="D836" s="12" t="s">
        <v>12</v>
      </c>
      <c r="E836" s="12">
        <v>-1896</v>
      </c>
    </row>
    <row r="837" spans="1:5">
      <c r="A837" s="15">
        <v>43528</v>
      </c>
      <c r="B837" s="13">
        <v>2510</v>
      </c>
      <c r="C837" s="13" t="s">
        <v>24</v>
      </c>
      <c r="D837" s="13" t="s">
        <v>10</v>
      </c>
      <c r="E837" s="13">
        <v>-778</v>
      </c>
    </row>
    <row r="838" spans="1:5">
      <c r="A838" s="14">
        <v>43528</v>
      </c>
      <c r="B838" s="12">
        <v>2510</v>
      </c>
      <c r="C838" s="12" t="s">
        <v>24</v>
      </c>
      <c r="D838" s="12" t="s">
        <v>6</v>
      </c>
      <c r="E838" s="12">
        <v>-1143</v>
      </c>
    </row>
    <row r="839" spans="1:5">
      <c r="A839" s="15">
        <v>43528</v>
      </c>
      <c r="B839" s="13">
        <v>2512</v>
      </c>
      <c r="C839" s="13" t="s">
        <v>16</v>
      </c>
      <c r="D839" s="13" t="s">
        <v>19</v>
      </c>
      <c r="E839" s="13">
        <v>-9960</v>
      </c>
    </row>
    <row r="840" spans="1:5">
      <c r="A840" s="14">
        <v>43528</v>
      </c>
      <c r="B840" s="12">
        <v>2512</v>
      </c>
      <c r="C840" s="12" t="s">
        <v>16</v>
      </c>
      <c r="D840" s="12" t="s">
        <v>19</v>
      </c>
      <c r="E840" s="12">
        <v>-6778</v>
      </c>
    </row>
    <row r="841" spans="1:5">
      <c r="A841" s="15">
        <v>43528</v>
      </c>
      <c r="B841" s="13">
        <v>2502</v>
      </c>
      <c r="C841" s="13" t="s">
        <v>7</v>
      </c>
      <c r="D841" s="13" t="s">
        <v>19</v>
      </c>
      <c r="E841" s="13">
        <v>-5355</v>
      </c>
    </row>
    <row r="842" spans="1:5">
      <c r="A842" s="14">
        <v>43528</v>
      </c>
      <c r="B842" s="12">
        <v>2510</v>
      </c>
      <c r="C842" s="12" t="s">
        <v>24</v>
      </c>
      <c r="D842" s="12" t="s">
        <v>19</v>
      </c>
      <c r="E842" s="12">
        <v>-1271</v>
      </c>
    </row>
    <row r="843" spans="1:5">
      <c r="A843" s="15">
        <v>43528</v>
      </c>
      <c r="B843" s="13">
        <v>2504</v>
      </c>
      <c r="C843" s="13" t="s">
        <v>21</v>
      </c>
      <c r="D843" s="13" t="s">
        <v>19</v>
      </c>
      <c r="E843" s="13">
        <v>-1173</v>
      </c>
    </row>
    <row r="844" spans="1:5">
      <c r="A844" s="14">
        <v>43528</v>
      </c>
      <c r="B844" s="12">
        <v>2504</v>
      </c>
      <c r="C844" s="12" t="s">
        <v>21</v>
      </c>
      <c r="D844" s="12" t="s">
        <v>19</v>
      </c>
      <c r="E844" s="12">
        <v>-972</v>
      </c>
    </row>
    <row r="845" spans="1:5">
      <c r="A845" s="15">
        <v>43528</v>
      </c>
      <c r="B845" s="13">
        <v>2513</v>
      </c>
      <c r="C845" s="13" t="s">
        <v>17</v>
      </c>
      <c r="D845" s="13" t="s">
        <v>19</v>
      </c>
      <c r="E845" s="13">
        <v>-525</v>
      </c>
    </row>
    <row r="846" spans="1:5">
      <c r="A846" s="14">
        <v>43528</v>
      </c>
      <c r="B846" s="12">
        <v>2501</v>
      </c>
      <c r="C846" s="12" t="s">
        <v>5</v>
      </c>
      <c r="D846" s="12" t="s">
        <v>19</v>
      </c>
      <c r="E846" s="12">
        <v>-114</v>
      </c>
    </row>
    <row r="847" spans="1:5">
      <c r="A847" s="15">
        <v>43529</v>
      </c>
      <c r="B847" s="13">
        <v>2500</v>
      </c>
      <c r="C847" s="13" t="s">
        <v>25</v>
      </c>
      <c r="D847" s="13" t="s">
        <v>19</v>
      </c>
      <c r="E847" s="13">
        <v>-50668</v>
      </c>
    </row>
    <row r="848" spans="1:5">
      <c r="A848" s="14">
        <v>43529</v>
      </c>
      <c r="B848" s="12">
        <v>2501</v>
      </c>
      <c r="C848" s="12" t="s">
        <v>5</v>
      </c>
      <c r="D848" s="12" t="s">
        <v>6</v>
      </c>
      <c r="E848" s="12">
        <v>-184</v>
      </c>
    </row>
    <row r="849" spans="1:5">
      <c r="A849" s="15">
        <v>43529</v>
      </c>
      <c r="B849" s="13">
        <v>2508</v>
      </c>
      <c r="C849" s="13" t="s">
        <v>15</v>
      </c>
      <c r="D849" s="13" t="s">
        <v>13</v>
      </c>
      <c r="E849" s="13">
        <v>-58190</v>
      </c>
    </row>
    <row r="850" spans="1:5">
      <c r="A850" s="14">
        <v>43529</v>
      </c>
      <c r="B850" s="12">
        <v>2508</v>
      </c>
      <c r="C850" s="12" t="s">
        <v>15</v>
      </c>
      <c r="D850" s="12" t="s">
        <v>10</v>
      </c>
      <c r="E850" s="12">
        <v>-79760</v>
      </c>
    </row>
    <row r="851" spans="1:5">
      <c r="A851" s="15">
        <v>43529</v>
      </c>
      <c r="B851" s="13">
        <v>2508</v>
      </c>
      <c r="C851" s="13" t="s">
        <v>15</v>
      </c>
      <c r="D851" s="13" t="s">
        <v>14</v>
      </c>
      <c r="E851" s="13">
        <v>-78780</v>
      </c>
    </row>
    <row r="852" spans="1:5">
      <c r="A852" s="14">
        <v>43529</v>
      </c>
      <c r="B852" s="12">
        <v>2512</v>
      </c>
      <c r="C852" s="12" t="s">
        <v>16</v>
      </c>
      <c r="D852" s="12" t="s">
        <v>10</v>
      </c>
      <c r="E852" s="12">
        <v>-4360</v>
      </c>
    </row>
    <row r="853" spans="1:5">
      <c r="A853" s="15">
        <v>43529</v>
      </c>
      <c r="B853" s="13">
        <v>2512</v>
      </c>
      <c r="C853" s="13" t="s">
        <v>16</v>
      </c>
      <c r="D853" s="13" t="s">
        <v>10</v>
      </c>
      <c r="E853" s="13">
        <v>-3996</v>
      </c>
    </row>
    <row r="854" spans="1:5">
      <c r="A854" s="14">
        <v>43529</v>
      </c>
      <c r="B854" s="12">
        <v>2514</v>
      </c>
      <c r="C854" s="12" t="s">
        <v>20</v>
      </c>
      <c r="D854" s="12" t="s">
        <v>14</v>
      </c>
      <c r="E854" s="12">
        <v>-1176</v>
      </c>
    </row>
    <row r="855" spans="1:5">
      <c r="A855" s="15">
        <v>43529</v>
      </c>
      <c r="B855" s="13">
        <v>2512</v>
      </c>
      <c r="C855" s="13" t="s">
        <v>16</v>
      </c>
      <c r="D855" s="13" t="s">
        <v>19</v>
      </c>
      <c r="E855" s="13">
        <v>-12441</v>
      </c>
    </row>
    <row r="856" spans="1:5">
      <c r="A856" s="14">
        <v>43529</v>
      </c>
      <c r="B856" s="12">
        <v>2512</v>
      </c>
      <c r="C856" s="12" t="s">
        <v>16</v>
      </c>
      <c r="D856" s="12" t="s">
        <v>19</v>
      </c>
      <c r="E856" s="12">
        <v>-10346</v>
      </c>
    </row>
    <row r="857" spans="1:5">
      <c r="A857" s="15">
        <v>43529</v>
      </c>
      <c r="B857" s="13">
        <v>2513</v>
      </c>
      <c r="C857" s="13" t="s">
        <v>17</v>
      </c>
      <c r="D857" s="13" t="s">
        <v>19</v>
      </c>
      <c r="E857" s="13">
        <v>-903</v>
      </c>
    </row>
    <row r="858" spans="1:5">
      <c r="A858" s="14">
        <v>43529</v>
      </c>
      <c r="B858" s="12">
        <v>2503</v>
      </c>
      <c r="C858" s="12" t="s">
        <v>22</v>
      </c>
      <c r="D858" s="12" t="s">
        <v>19</v>
      </c>
      <c r="E858" s="12">
        <v>-250</v>
      </c>
    </row>
    <row r="859" spans="1:5">
      <c r="A859" s="15">
        <v>43530</v>
      </c>
      <c r="B859" s="13">
        <v>2508</v>
      </c>
      <c r="C859" s="13" t="s">
        <v>15</v>
      </c>
      <c r="D859" s="13" t="s">
        <v>19</v>
      </c>
      <c r="E859" s="13">
        <v>-42135</v>
      </c>
    </row>
    <row r="860" spans="1:5">
      <c r="A860" s="14">
        <v>43530</v>
      </c>
      <c r="B860" s="12">
        <v>2502</v>
      </c>
      <c r="C860" s="12" t="s">
        <v>7</v>
      </c>
      <c r="D860" s="12" t="s">
        <v>13</v>
      </c>
      <c r="E860" s="12">
        <v>-3863</v>
      </c>
    </row>
    <row r="861" spans="1:5">
      <c r="A861" s="15">
        <v>43530</v>
      </c>
      <c r="B861" s="13">
        <v>2512</v>
      </c>
      <c r="C861" s="13" t="s">
        <v>16</v>
      </c>
      <c r="D861" s="13" t="s">
        <v>14</v>
      </c>
      <c r="E861" s="13">
        <v>-4852</v>
      </c>
    </row>
    <row r="862" spans="1:5">
      <c r="A862" s="14">
        <v>43530</v>
      </c>
      <c r="B862" s="12">
        <v>2512</v>
      </c>
      <c r="C862" s="12" t="s">
        <v>16</v>
      </c>
      <c r="D862" s="12" t="s">
        <v>13</v>
      </c>
      <c r="E862" s="12">
        <v>-474</v>
      </c>
    </row>
    <row r="863" spans="1:5">
      <c r="A863" s="15">
        <v>43530</v>
      </c>
      <c r="B863" s="13">
        <v>2514</v>
      </c>
      <c r="C863" s="13" t="s">
        <v>20</v>
      </c>
      <c r="D863" s="13" t="s">
        <v>8</v>
      </c>
      <c r="E863" s="13">
        <v>-1169</v>
      </c>
    </row>
    <row r="864" spans="1:5">
      <c r="A864" s="14">
        <v>43530</v>
      </c>
      <c r="B864" s="12">
        <v>2512</v>
      </c>
      <c r="C864" s="12" t="s">
        <v>16</v>
      </c>
      <c r="D864" s="12" t="s">
        <v>19</v>
      </c>
      <c r="E864" s="12">
        <v>-9810</v>
      </c>
    </row>
    <row r="865" spans="1:5">
      <c r="A865" s="15">
        <v>43530</v>
      </c>
      <c r="B865" s="13">
        <v>2502</v>
      </c>
      <c r="C865" s="13" t="s">
        <v>7</v>
      </c>
      <c r="D865" s="13" t="s">
        <v>19</v>
      </c>
      <c r="E865" s="13">
        <v>-4376</v>
      </c>
    </row>
    <row r="866" spans="1:5">
      <c r="A866" s="14">
        <v>43530</v>
      </c>
      <c r="B866" s="12">
        <v>2502</v>
      </c>
      <c r="C866" s="12" t="s">
        <v>7</v>
      </c>
      <c r="D866" s="12" t="s">
        <v>19</v>
      </c>
      <c r="E866" s="12">
        <v>-4133</v>
      </c>
    </row>
    <row r="867" spans="1:5">
      <c r="A867" s="15">
        <v>43530</v>
      </c>
      <c r="B867" s="13">
        <v>2510</v>
      </c>
      <c r="C867" s="13" t="s">
        <v>24</v>
      </c>
      <c r="D867" s="13" t="s">
        <v>19</v>
      </c>
      <c r="E867" s="13">
        <v>-955</v>
      </c>
    </row>
    <row r="868" spans="1:5">
      <c r="A868" s="14">
        <v>43530</v>
      </c>
      <c r="B868" s="12">
        <v>2514</v>
      </c>
      <c r="C868" s="12" t="s">
        <v>20</v>
      </c>
      <c r="D868" s="12" t="s">
        <v>19</v>
      </c>
      <c r="E868" s="12">
        <v>-936</v>
      </c>
    </row>
    <row r="869" spans="1:5">
      <c r="A869" s="15">
        <v>43530</v>
      </c>
      <c r="B869" s="13">
        <v>2513</v>
      </c>
      <c r="C869" s="13" t="s">
        <v>17</v>
      </c>
      <c r="D869" s="13" t="s">
        <v>19</v>
      </c>
      <c r="E869" s="13">
        <v>-395</v>
      </c>
    </row>
    <row r="870" spans="1:5">
      <c r="A870" s="14">
        <v>43530</v>
      </c>
      <c r="B870" s="12">
        <v>2503</v>
      </c>
      <c r="C870" s="12" t="s">
        <v>22</v>
      </c>
      <c r="D870" s="12" t="s">
        <v>19</v>
      </c>
      <c r="E870" s="12">
        <v>-261</v>
      </c>
    </row>
    <row r="871" spans="1:5">
      <c r="A871" s="15">
        <v>43531</v>
      </c>
      <c r="B871" s="13">
        <v>2000</v>
      </c>
      <c r="C871" s="13" t="s">
        <v>18</v>
      </c>
      <c r="D871" s="13" t="s">
        <v>19</v>
      </c>
      <c r="E871" s="13">
        <v>-316565</v>
      </c>
    </row>
    <row r="872" spans="1:5">
      <c r="A872" s="14">
        <v>43531</v>
      </c>
      <c r="B872" s="12">
        <v>2508</v>
      </c>
      <c r="C872" s="12" t="s">
        <v>15</v>
      </c>
      <c r="D872" s="12" t="s">
        <v>19</v>
      </c>
      <c r="E872" s="12">
        <v>-53561</v>
      </c>
    </row>
    <row r="873" spans="1:5">
      <c r="A873" s="15">
        <v>43531</v>
      </c>
      <c r="B873" s="13">
        <v>2501</v>
      </c>
      <c r="C873" s="13" t="s">
        <v>5</v>
      </c>
      <c r="D873" s="13" t="s">
        <v>14</v>
      </c>
      <c r="E873" s="13">
        <v>-112</v>
      </c>
    </row>
    <row r="874" spans="1:5">
      <c r="A874" s="14">
        <v>43531</v>
      </c>
      <c r="B874" s="12">
        <v>2501</v>
      </c>
      <c r="C874" s="12" t="s">
        <v>5</v>
      </c>
      <c r="D874" s="12" t="s">
        <v>12</v>
      </c>
      <c r="E874" s="12">
        <v>-226</v>
      </c>
    </row>
    <row r="875" spans="1:5">
      <c r="A875" s="15">
        <v>43531</v>
      </c>
      <c r="B875" s="13">
        <v>2502</v>
      </c>
      <c r="C875" s="13" t="s">
        <v>7</v>
      </c>
      <c r="D875" s="13" t="s">
        <v>10</v>
      </c>
      <c r="E875" s="13">
        <v>-4743</v>
      </c>
    </row>
    <row r="876" spans="1:5">
      <c r="A876" s="14">
        <v>43531</v>
      </c>
      <c r="B876" s="12">
        <v>2503</v>
      </c>
      <c r="C876" s="12" t="s">
        <v>22</v>
      </c>
      <c r="D876" s="12" t="s">
        <v>14</v>
      </c>
      <c r="E876" s="12">
        <v>-377</v>
      </c>
    </row>
    <row r="877" spans="1:5">
      <c r="A877" s="15">
        <v>43531</v>
      </c>
      <c r="B877" s="13">
        <v>2512</v>
      </c>
      <c r="C877" s="13" t="s">
        <v>16</v>
      </c>
      <c r="D877" s="13" t="s">
        <v>13</v>
      </c>
      <c r="E877" s="13">
        <v>-548</v>
      </c>
    </row>
    <row r="878" spans="1:5">
      <c r="A878" s="14">
        <v>43531</v>
      </c>
      <c r="B878" s="12">
        <v>2514</v>
      </c>
      <c r="C878" s="12" t="s">
        <v>20</v>
      </c>
      <c r="D878" s="12" t="s">
        <v>19</v>
      </c>
      <c r="E878" s="12">
        <v>-1101</v>
      </c>
    </row>
    <row r="879" spans="1:5">
      <c r="A879" s="15">
        <v>43531</v>
      </c>
      <c r="B879" s="13">
        <v>1000</v>
      </c>
      <c r="C879" s="13" t="s">
        <v>23</v>
      </c>
      <c r="D879" s="13" t="s">
        <v>19</v>
      </c>
      <c r="E879" s="13">
        <v>545623</v>
      </c>
    </row>
    <row r="880" spans="1:5">
      <c r="A880" s="14">
        <v>43532</v>
      </c>
      <c r="B880" s="12">
        <v>2506</v>
      </c>
      <c r="C880" s="12" t="s">
        <v>27</v>
      </c>
      <c r="D880" s="12" t="s">
        <v>8</v>
      </c>
      <c r="E880" s="12">
        <v>-623</v>
      </c>
    </row>
    <row r="881" spans="1:5">
      <c r="A881" s="15">
        <v>43532</v>
      </c>
      <c r="B881" s="13">
        <v>2513</v>
      </c>
      <c r="C881" s="13" t="s">
        <v>17</v>
      </c>
      <c r="D881" s="13" t="s">
        <v>13</v>
      </c>
      <c r="E881" s="13">
        <v>-752</v>
      </c>
    </row>
    <row r="882" spans="1:5">
      <c r="A882" s="14">
        <v>43532</v>
      </c>
      <c r="B882" s="12">
        <v>2513</v>
      </c>
      <c r="C882" s="12" t="s">
        <v>17</v>
      </c>
      <c r="D882" s="12" t="s">
        <v>12</v>
      </c>
      <c r="E882" s="12">
        <v>-887</v>
      </c>
    </row>
    <row r="883" spans="1:5">
      <c r="A883" s="15">
        <v>43532</v>
      </c>
      <c r="B883" s="13">
        <v>2513</v>
      </c>
      <c r="C883" s="13" t="s">
        <v>17</v>
      </c>
      <c r="D883" s="13" t="s">
        <v>6</v>
      </c>
      <c r="E883" s="13">
        <v>-774</v>
      </c>
    </row>
    <row r="884" spans="1:5">
      <c r="A884" s="14">
        <v>43532</v>
      </c>
      <c r="B884" s="12">
        <v>2514</v>
      </c>
      <c r="C884" s="12" t="s">
        <v>20</v>
      </c>
      <c r="D884" s="12" t="s">
        <v>14</v>
      </c>
      <c r="E884" s="12">
        <v>-1587</v>
      </c>
    </row>
    <row r="885" spans="1:5">
      <c r="A885" s="15">
        <v>43532</v>
      </c>
      <c r="B885" s="13">
        <v>2510</v>
      </c>
      <c r="C885" s="13" t="s">
        <v>24</v>
      </c>
      <c r="D885" s="13" t="s">
        <v>13</v>
      </c>
      <c r="E885" s="13">
        <v>-1392</v>
      </c>
    </row>
    <row r="886" spans="1:5">
      <c r="A886" s="14">
        <v>43532</v>
      </c>
      <c r="B886" s="12">
        <v>2504</v>
      </c>
      <c r="C886" s="12" t="s">
        <v>21</v>
      </c>
      <c r="D886" s="12" t="s">
        <v>19</v>
      </c>
      <c r="E886" s="12">
        <v>-1075</v>
      </c>
    </row>
    <row r="887" spans="1:5">
      <c r="A887" s="15">
        <v>43532</v>
      </c>
      <c r="B887" s="13">
        <v>2510</v>
      </c>
      <c r="C887" s="13" t="s">
        <v>24</v>
      </c>
      <c r="D887" s="13" t="s">
        <v>19</v>
      </c>
      <c r="E887" s="13">
        <v>-1020</v>
      </c>
    </row>
    <row r="888" spans="1:5">
      <c r="A888" s="14">
        <v>43532</v>
      </c>
      <c r="B888" s="12">
        <v>2514</v>
      </c>
      <c r="C888" s="12" t="s">
        <v>20</v>
      </c>
      <c r="D888" s="12" t="s">
        <v>19</v>
      </c>
      <c r="E888" s="12">
        <v>-917</v>
      </c>
    </row>
    <row r="889" spans="1:5">
      <c r="A889" s="15">
        <v>43532</v>
      </c>
      <c r="B889" s="13">
        <v>2505</v>
      </c>
      <c r="C889" s="13" t="s">
        <v>9</v>
      </c>
      <c r="D889" s="13" t="s">
        <v>19</v>
      </c>
      <c r="E889" s="13">
        <v>-604</v>
      </c>
    </row>
    <row r="890" spans="1:5">
      <c r="A890" s="14">
        <v>43532</v>
      </c>
      <c r="B890" s="12">
        <v>2501</v>
      </c>
      <c r="C890" s="12" t="s">
        <v>5</v>
      </c>
      <c r="D890" s="12" t="s">
        <v>19</v>
      </c>
      <c r="E890" s="12">
        <v>-60</v>
      </c>
    </row>
    <row r="891" spans="1:5">
      <c r="A891" s="15">
        <v>43533</v>
      </c>
      <c r="B891" s="13">
        <v>2000</v>
      </c>
      <c r="C891" s="13" t="s">
        <v>18</v>
      </c>
      <c r="D891" s="13" t="s">
        <v>19</v>
      </c>
      <c r="E891" s="13">
        <v>-144522</v>
      </c>
    </row>
    <row r="892" spans="1:5">
      <c r="A892" s="14">
        <v>43533</v>
      </c>
      <c r="B892" s="12">
        <v>2508</v>
      </c>
      <c r="C892" s="12" t="s">
        <v>15</v>
      </c>
      <c r="D892" s="12" t="s">
        <v>19</v>
      </c>
      <c r="E892" s="12">
        <v>-51018</v>
      </c>
    </row>
    <row r="893" spans="1:5">
      <c r="A893" s="15">
        <v>43533</v>
      </c>
      <c r="B893" s="13">
        <v>2501</v>
      </c>
      <c r="C893" s="13" t="s">
        <v>5</v>
      </c>
      <c r="D893" s="13" t="s">
        <v>12</v>
      </c>
      <c r="E893" s="13">
        <v>-201</v>
      </c>
    </row>
    <row r="894" spans="1:5">
      <c r="A894" s="14">
        <v>43533</v>
      </c>
      <c r="B894" s="12">
        <v>2502</v>
      </c>
      <c r="C894" s="12" t="s">
        <v>7</v>
      </c>
      <c r="D894" s="12" t="s">
        <v>8</v>
      </c>
      <c r="E894" s="12">
        <v>-4194</v>
      </c>
    </row>
    <row r="895" spans="1:5">
      <c r="A895" s="15">
        <v>43533</v>
      </c>
      <c r="B895" s="13">
        <v>2503</v>
      </c>
      <c r="C895" s="13" t="s">
        <v>22</v>
      </c>
      <c r="D895" s="13" t="s">
        <v>10</v>
      </c>
      <c r="E895" s="13">
        <v>-345</v>
      </c>
    </row>
    <row r="896" spans="1:5">
      <c r="A896" s="14">
        <v>43533</v>
      </c>
      <c r="B896" s="12">
        <v>2512</v>
      </c>
      <c r="C896" s="12" t="s">
        <v>16</v>
      </c>
      <c r="D896" s="12" t="s">
        <v>6</v>
      </c>
      <c r="E896" s="12">
        <v>-2640</v>
      </c>
    </row>
    <row r="897" spans="1:5">
      <c r="A897" s="15">
        <v>43533</v>
      </c>
      <c r="B897" s="13">
        <v>2512</v>
      </c>
      <c r="C897" s="13" t="s">
        <v>16</v>
      </c>
      <c r="D897" s="13" t="s">
        <v>6</v>
      </c>
      <c r="E897" s="13">
        <v>-3104</v>
      </c>
    </row>
    <row r="898" spans="1:5">
      <c r="A898" s="14">
        <v>43533</v>
      </c>
      <c r="B898" s="12">
        <v>2513</v>
      </c>
      <c r="C898" s="12" t="s">
        <v>17</v>
      </c>
      <c r="D898" s="12" t="s">
        <v>10</v>
      </c>
      <c r="E898" s="12">
        <v>-1285</v>
      </c>
    </row>
    <row r="899" spans="1:5">
      <c r="A899" s="15">
        <v>43533</v>
      </c>
      <c r="B899" s="13">
        <v>1500</v>
      </c>
      <c r="C899" s="13" t="s">
        <v>26</v>
      </c>
      <c r="D899" s="13" t="s">
        <v>19</v>
      </c>
      <c r="E899" s="13">
        <v>-27122</v>
      </c>
    </row>
    <row r="900" spans="1:5">
      <c r="A900" s="14">
        <v>43533</v>
      </c>
      <c r="B900" s="12">
        <v>2510</v>
      </c>
      <c r="C900" s="12" t="s">
        <v>24</v>
      </c>
      <c r="D900" s="12" t="s">
        <v>19</v>
      </c>
      <c r="E900" s="12">
        <v>-575</v>
      </c>
    </row>
    <row r="901" spans="1:5">
      <c r="A901" s="15">
        <v>43534</v>
      </c>
      <c r="B901" s="13">
        <v>2501</v>
      </c>
      <c r="C901" s="13" t="s">
        <v>5</v>
      </c>
      <c r="D901" s="13" t="s">
        <v>12</v>
      </c>
      <c r="E901" s="13">
        <v>-276</v>
      </c>
    </row>
    <row r="902" spans="1:5">
      <c r="A902" s="14">
        <v>43534</v>
      </c>
      <c r="B902" s="12">
        <v>2502</v>
      </c>
      <c r="C902" s="12" t="s">
        <v>7</v>
      </c>
      <c r="D902" s="12" t="s">
        <v>8</v>
      </c>
      <c r="E902" s="12">
        <v>-6000</v>
      </c>
    </row>
    <row r="903" spans="1:5">
      <c r="A903" s="15">
        <v>43534</v>
      </c>
      <c r="B903" s="13">
        <v>2502</v>
      </c>
      <c r="C903" s="13" t="s">
        <v>7</v>
      </c>
      <c r="D903" s="13" t="s">
        <v>6</v>
      </c>
      <c r="E903" s="13">
        <v>-4409</v>
      </c>
    </row>
    <row r="904" spans="1:5">
      <c r="A904" s="14">
        <v>43534</v>
      </c>
      <c r="B904" s="12">
        <v>2502</v>
      </c>
      <c r="C904" s="12" t="s">
        <v>7</v>
      </c>
      <c r="D904" s="12" t="s">
        <v>10</v>
      </c>
      <c r="E904" s="12">
        <v>-6118</v>
      </c>
    </row>
    <row r="905" spans="1:5">
      <c r="A905" s="15">
        <v>43534</v>
      </c>
      <c r="B905" s="13">
        <v>2513</v>
      </c>
      <c r="C905" s="13" t="s">
        <v>17</v>
      </c>
      <c r="D905" s="13" t="s">
        <v>12</v>
      </c>
      <c r="E905" s="13">
        <v>-1743</v>
      </c>
    </row>
    <row r="906" spans="1:5">
      <c r="A906" s="14">
        <v>43534</v>
      </c>
      <c r="B906" s="12">
        <v>2513</v>
      </c>
      <c r="C906" s="12" t="s">
        <v>17</v>
      </c>
      <c r="D906" s="12" t="s">
        <v>12</v>
      </c>
      <c r="E906" s="12">
        <v>-969</v>
      </c>
    </row>
    <row r="907" spans="1:5">
      <c r="A907" s="15">
        <v>43534</v>
      </c>
      <c r="B907" s="13">
        <v>2514</v>
      </c>
      <c r="C907" s="13" t="s">
        <v>20</v>
      </c>
      <c r="D907" s="13" t="s">
        <v>6</v>
      </c>
      <c r="E907" s="13">
        <v>-1471</v>
      </c>
    </row>
    <row r="908" spans="1:5">
      <c r="A908" s="14">
        <v>43534</v>
      </c>
      <c r="B908" s="12">
        <v>2504</v>
      </c>
      <c r="C908" s="12" t="s">
        <v>21</v>
      </c>
      <c r="D908" s="12" t="s">
        <v>19</v>
      </c>
      <c r="E908" s="12">
        <v>-1209</v>
      </c>
    </row>
    <row r="909" spans="1:5">
      <c r="A909" s="15">
        <v>43534</v>
      </c>
      <c r="B909" s="13">
        <v>2501</v>
      </c>
      <c r="C909" s="13" t="s">
        <v>5</v>
      </c>
      <c r="D909" s="13" t="s">
        <v>19</v>
      </c>
      <c r="E909" s="13">
        <v>-111</v>
      </c>
    </row>
    <row r="910" spans="1:5">
      <c r="A910" s="14">
        <v>43535</v>
      </c>
      <c r="B910" s="12">
        <v>2000</v>
      </c>
      <c r="C910" s="12" t="s">
        <v>18</v>
      </c>
      <c r="D910" s="12" t="s">
        <v>19</v>
      </c>
      <c r="E910" s="12">
        <v>-284181</v>
      </c>
    </row>
    <row r="911" spans="1:5">
      <c r="A911" s="15">
        <v>43535</v>
      </c>
      <c r="B911" s="13">
        <v>2501</v>
      </c>
      <c r="C911" s="13" t="s">
        <v>5</v>
      </c>
      <c r="D911" s="13" t="s">
        <v>13</v>
      </c>
      <c r="E911" s="13">
        <v>-85</v>
      </c>
    </row>
    <row r="912" spans="1:5">
      <c r="A912" s="14">
        <v>43535</v>
      </c>
      <c r="B912" s="12">
        <v>2503</v>
      </c>
      <c r="C912" s="12" t="s">
        <v>22</v>
      </c>
      <c r="D912" s="12" t="s">
        <v>6</v>
      </c>
      <c r="E912" s="12">
        <v>-326</v>
      </c>
    </row>
    <row r="913" spans="1:5">
      <c r="A913" s="15">
        <v>43535</v>
      </c>
      <c r="B913" s="13">
        <v>2505</v>
      </c>
      <c r="C913" s="13" t="s">
        <v>9</v>
      </c>
      <c r="D913" s="13" t="s">
        <v>6</v>
      </c>
      <c r="E913" s="13">
        <v>-696</v>
      </c>
    </row>
    <row r="914" spans="1:5">
      <c r="A914" s="14">
        <v>43535</v>
      </c>
      <c r="B914" s="12">
        <v>2513</v>
      </c>
      <c r="C914" s="12" t="s">
        <v>17</v>
      </c>
      <c r="D914" s="12" t="s">
        <v>10</v>
      </c>
      <c r="E914" s="12">
        <v>-1173</v>
      </c>
    </row>
    <row r="915" spans="1:5">
      <c r="A915" s="15">
        <v>43535</v>
      </c>
      <c r="B915" s="13">
        <v>2514</v>
      </c>
      <c r="C915" s="13" t="s">
        <v>20</v>
      </c>
      <c r="D915" s="13" t="s">
        <v>10</v>
      </c>
      <c r="E915" s="13">
        <v>-1345</v>
      </c>
    </row>
    <row r="916" spans="1:5">
      <c r="A916" s="14">
        <v>43535</v>
      </c>
      <c r="B916" s="12">
        <v>2512</v>
      </c>
      <c r="C916" s="12" t="s">
        <v>16</v>
      </c>
      <c r="D916" s="12" t="s">
        <v>19</v>
      </c>
      <c r="E916" s="12">
        <v>-12441</v>
      </c>
    </row>
    <row r="917" spans="1:5">
      <c r="A917" s="15">
        <v>43535</v>
      </c>
      <c r="B917" s="13">
        <v>2505</v>
      </c>
      <c r="C917" s="13" t="s">
        <v>9</v>
      </c>
      <c r="D917" s="13" t="s">
        <v>19</v>
      </c>
      <c r="E917" s="13">
        <v>-390</v>
      </c>
    </row>
    <row r="918" spans="1:5">
      <c r="A918" s="14">
        <v>43535</v>
      </c>
      <c r="B918" s="12">
        <v>2505</v>
      </c>
      <c r="C918" s="12" t="s">
        <v>9</v>
      </c>
      <c r="D918" s="12" t="s">
        <v>19</v>
      </c>
      <c r="E918" s="12">
        <v>-340</v>
      </c>
    </row>
    <row r="919" spans="1:5">
      <c r="A919" s="15">
        <v>43535</v>
      </c>
      <c r="B919" s="13">
        <v>2501</v>
      </c>
      <c r="C919" s="13" t="s">
        <v>5</v>
      </c>
      <c r="D919" s="13" t="s">
        <v>19</v>
      </c>
      <c r="E919" s="13">
        <v>-154</v>
      </c>
    </row>
    <row r="920" spans="1:5">
      <c r="A920" s="14">
        <v>43535</v>
      </c>
      <c r="B920" s="12">
        <v>2501</v>
      </c>
      <c r="C920" s="12" t="s">
        <v>5</v>
      </c>
      <c r="D920" s="12" t="s">
        <v>19</v>
      </c>
      <c r="E920" s="12">
        <v>-141</v>
      </c>
    </row>
    <row r="921" spans="1:5">
      <c r="A921" s="15">
        <v>43536</v>
      </c>
      <c r="B921" s="13">
        <v>2501</v>
      </c>
      <c r="C921" s="13" t="s">
        <v>5</v>
      </c>
      <c r="D921" s="13" t="s">
        <v>13</v>
      </c>
      <c r="E921" s="13">
        <v>-79</v>
      </c>
    </row>
    <row r="922" spans="1:5">
      <c r="A922" s="14">
        <v>43536</v>
      </c>
      <c r="B922" s="12">
        <v>2501</v>
      </c>
      <c r="C922" s="12" t="s">
        <v>5</v>
      </c>
      <c r="D922" s="12" t="s">
        <v>12</v>
      </c>
      <c r="E922" s="12">
        <v>-287</v>
      </c>
    </row>
    <row r="923" spans="1:5">
      <c r="A923" s="15">
        <v>43536</v>
      </c>
      <c r="B923" s="13">
        <v>2502</v>
      </c>
      <c r="C923" s="13" t="s">
        <v>7</v>
      </c>
      <c r="D923" s="13" t="s">
        <v>8</v>
      </c>
      <c r="E923" s="13">
        <v>-3330</v>
      </c>
    </row>
    <row r="924" spans="1:5">
      <c r="A924" s="14">
        <v>43536</v>
      </c>
      <c r="B924" s="12">
        <v>2506</v>
      </c>
      <c r="C924" s="12" t="s">
        <v>27</v>
      </c>
      <c r="D924" s="12" t="s">
        <v>8</v>
      </c>
      <c r="E924" s="12">
        <v>-622</v>
      </c>
    </row>
    <row r="925" spans="1:5">
      <c r="A925" s="15">
        <v>43536</v>
      </c>
      <c r="B925" s="13">
        <v>2513</v>
      </c>
      <c r="C925" s="13" t="s">
        <v>17</v>
      </c>
      <c r="D925" s="13" t="s">
        <v>8</v>
      </c>
      <c r="E925" s="13">
        <v>-1178</v>
      </c>
    </row>
    <row r="926" spans="1:5">
      <c r="A926" s="14">
        <v>43536</v>
      </c>
      <c r="B926" s="12">
        <v>2513</v>
      </c>
      <c r="C926" s="12" t="s">
        <v>17</v>
      </c>
      <c r="D926" s="12" t="s">
        <v>10</v>
      </c>
      <c r="E926" s="12">
        <v>-964</v>
      </c>
    </row>
    <row r="927" spans="1:5">
      <c r="A927" s="15">
        <v>43536</v>
      </c>
      <c r="B927" s="13">
        <v>2514</v>
      </c>
      <c r="C927" s="13" t="s">
        <v>20</v>
      </c>
      <c r="D927" s="13" t="s">
        <v>8</v>
      </c>
      <c r="E927" s="13">
        <v>-1426</v>
      </c>
    </row>
    <row r="928" spans="1:5">
      <c r="A928" s="14">
        <v>43536</v>
      </c>
      <c r="B928" s="12">
        <v>2512</v>
      </c>
      <c r="C928" s="12" t="s">
        <v>16</v>
      </c>
      <c r="D928" s="12" t="s">
        <v>19</v>
      </c>
      <c r="E928" s="12">
        <v>-12457</v>
      </c>
    </row>
    <row r="929" spans="1:5">
      <c r="A929" s="15">
        <v>43536</v>
      </c>
      <c r="B929" s="13">
        <v>1500</v>
      </c>
      <c r="C929" s="13" t="s">
        <v>26</v>
      </c>
      <c r="D929" s="13" t="s">
        <v>19</v>
      </c>
      <c r="E929" s="13">
        <v>-3736</v>
      </c>
    </row>
    <row r="930" spans="1:5">
      <c r="A930" s="14">
        <v>43536</v>
      </c>
      <c r="B930" s="12">
        <v>2504</v>
      </c>
      <c r="C930" s="12" t="s">
        <v>21</v>
      </c>
      <c r="D930" s="12" t="s">
        <v>19</v>
      </c>
      <c r="E930" s="12">
        <v>-2169</v>
      </c>
    </row>
    <row r="931" spans="1:5">
      <c r="A931" s="15">
        <v>43536</v>
      </c>
      <c r="B931" s="13">
        <v>2510</v>
      </c>
      <c r="C931" s="13" t="s">
        <v>24</v>
      </c>
      <c r="D931" s="13" t="s">
        <v>19</v>
      </c>
      <c r="E931" s="13">
        <v>-1318</v>
      </c>
    </row>
    <row r="932" spans="1:5">
      <c r="A932" s="14">
        <v>43536</v>
      </c>
      <c r="B932" s="12">
        <v>2505</v>
      </c>
      <c r="C932" s="12" t="s">
        <v>9</v>
      </c>
      <c r="D932" s="12" t="s">
        <v>19</v>
      </c>
      <c r="E932" s="12">
        <v>-359</v>
      </c>
    </row>
    <row r="933" spans="1:5">
      <c r="A933" s="15">
        <v>43537</v>
      </c>
      <c r="B933" s="13">
        <v>2508</v>
      </c>
      <c r="C933" s="13" t="s">
        <v>15</v>
      </c>
      <c r="D933" s="13" t="s">
        <v>19</v>
      </c>
      <c r="E933" s="13">
        <v>-55413</v>
      </c>
    </row>
    <row r="934" spans="1:5">
      <c r="A934" s="14">
        <v>43537</v>
      </c>
      <c r="B934" s="12">
        <v>2503</v>
      </c>
      <c r="C934" s="12" t="s">
        <v>22</v>
      </c>
      <c r="D934" s="12" t="s">
        <v>8</v>
      </c>
      <c r="E934" s="12">
        <v>-415</v>
      </c>
    </row>
    <row r="935" spans="1:5">
      <c r="A935" s="15">
        <v>43537</v>
      </c>
      <c r="B935" s="13">
        <v>2505</v>
      </c>
      <c r="C935" s="13" t="s">
        <v>9</v>
      </c>
      <c r="D935" s="13" t="s">
        <v>14</v>
      </c>
      <c r="E935" s="13">
        <v>-610</v>
      </c>
    </row>
    <row r="936" spans="1:5">
      <c r="A936" s="14">
        <v>43537</v>
      </c>
      <c r="B936" s="12">
        <v>2505</v>
      </c>
      <c r="C936" s="12" t="s">
        <v>9</v>
      </c>
      <c r="D936" s="12" t="s">
        <v>12</v>
      </c>
      <c r="E936" s="12">
        <v>-880</v>
      </c>
    </row>
    <row r="937" spans="1:5">
      <c r="A937" s="15">
        <v>43537</v>
      </c>
      <c r="B937" s="13">
        <v>2508</v>
      </c>
      <c r="C937" s="13" t="s">
        <v>15</v>
      </c>
      <c r="D937" s="13" t="s">
        <v>8</v>
      </c>
      <c r="E937" s="13">
        <v>-70456</v>
      </c>
    </row>
    <row r="938" spans="1:5">
      <c r="A938" s="14">
        <v>43537</v>
      </c>
      <c r="B938" s="12">
        <v>2513</v>
      </c>
      <c r="C938" s="12" t="s">
        <v>17</v>
      </c>
      <c r="D938" s="12" t="s">
        <v>10</v>
      </c>
      <c r="E938" s="12">
        <v>-735</v>
      </c>
    </row>
    <row r="939" spans="1:5">
      <c r="A939" s="15">
        <v>43537</v>
      </c>
      <c r="B939" s="13">
        <v>2502</v>
      </c>
      <c r="C939" s="13" t="s">
        <v>7</v>
      </c>
      <c r="D939" s="13" t="s">
        <v>19</v>
      </c>
      <c r="E939" s="13">
        <v>-3701</v>
      </c>
    </row>
    <row r="940" spans="1:5">
      <c r="A940" s="14">
        <v>43537</v>
      </c>
      <c r="B940" s="12">
        <v>1000</v>
      </c>
      <c r="C940" s="12" t="s">
        <v>23</v>
      </c>
      <c r="D940" s="12" t="s">
        <v>19</v>
      </c>
      <c r="E940" s="12">
        <v>464123</v>
      </c>
    </row>
    <row r="941" spans="1:5">
      <c r="A941" s="15">
        <v>43537</v>
      </c>
      <c r="B941" s="13">
        <v>1000</v>
      </c>
      <c r="C941" s="13" t="s">
        <v>23</v>
      </c>
      <c r="D941" s="13" t="s">
        <v>19</v>
      </c>
      <c r="E941" s="13">
        <v>724341</v>
      </c>
    </row>
    <row r="942" spans="1:5">
      <c r="A942" s="14">
        <v>43538</v>
      </c>
      <c r="B942" s="12">
        <v>2000</v>
      </c>
      <c r="C942" s="12" t="s">
        <v>18</v>
      </c>
      <c r="D942" s="12" t="s">
        <v>19</v>
      </c>
      <c r="E942" s="12">
        <v>-311642</v>
      </c>
    </row>
    <row r="943" spans="1:5">
      <c r="A943" s="15">
        <v>43538</v>
      </c>
      <c r="B943" s="13">
        <v>2508</v>
      </c>
      <c r="C943" s="13" t="s">
        <v>15</v>
      </c>
      <c r="D943" s="13" t="s">
        <v>19</v>
      </c>
      <c r="E943" s="13">
        <v>-58895</v>
      </c>
    </row>
    <row r="944" spans="1:5">
      <c r="A944" s="14">
        <v>43538</v>
      </c>
      <c r="B944" s="12">
        <v>2508</v>
      </c>
      <c r="C944" s="12" t="s">
        <v>15</v>
      </c>
      <c r="D944" s="12" t="s">
        <v>19</v>
      </c>
      <c r="E944" s="12">
        <v>-52004</v>
      </c>
    </row>
    <row r="945" spans="1:5">
      <c r="A945" s="15">
        <v>43538</v>
      </c>
      <c r="B945" s="13">
        <v>2500</v>
      </c>
      <c r="C945" s="13" t="s">
        <v>25</v>
      </c>
      <c r="D945" s="13" t="s">
        <v>19</v>
      </c>
      <c r="E945" s="13">
        <v>-43049</v>
      </c>
    </row>
    <row r="946" spans="1:5">
      <c r="A946" s="14">
        <v>43538</v>
      </c>
      <c r="B946" s="12">
        <v>2501</v>
      </c>
      <c r="C946" s="12" t="s">
        <v>5</v>
      </c>
      <c r="D946" s="12" t="s">
        <v>8</v>
      </c>
      <c r="E946" s="12">
        <v>-159</v>
      </c>
    </row>
    <row r="947" spans="1:5">
      <c r="A947" s="15">
        <v>43538</v>
      </c>
      <c r="B947" s="13">
        <v>2502</v>
      </c>
      <c r="C947" s="13" t="s">
        <v>7</v>
      </c>
      <c r="D947" s="13" t="s">
        <v>13</v>
      </c>
      <c r="E947" s="13">
        <v>-4754</v>
      </c>
    </row>
    <row r="948" spans="1:5">
      <c r="A948" s="14">
        <v>43538</v>
      </c>
      <c r="B948" s="12">
        <v>2503</v>
      </c>
      <c r="C948" s="12" t="s">
        <v>22</v>
      </c>
      <c r="D948" s="12" t="s">
        <v>8</v>
      </c>
      <c r="E948" s="12">
        <v>-319</v>
      </c>
    </row>
    <row r="949" spans="1:5">
      <c r="A949" s="15">
        <v>43538</v>
      </c>
      <c r="B949" s="13">
        <v>2512</v>
      </c>
      <c r="C949" s="13" t="s">
        <v>16</v>
      </c>
      <c r="D949" s="13" t="s">
        <v>10</v>
      </c>
      <c r="E949" s="13">
        <v>-2689</v>
      </c>
    </row>
    <row r="950" spans="1:5">
      <c r="A950" s="14">
        <v>43538</v>
      </c>
      <c r="B950" s="12">
        <v>2513</v>
      </c>
      <c r="C950" s="12" t="s">
        <v>17</v>
      </c>
      <c r="D950" s="12" t="s">
        <v>10</v>
      </c>
      <c r="E950" s="12">
        <v>-963</v>
      </c>
    </row>
    <row r="951" spans="1:5">
      <c r="A951" s="15">
        <v>43538</v>
      </c>
      <c r="B951" s="13">
        <v>2514</v>
      </c>
      <c r="C951" s="13" t="s">
        <v>20</v>
      </c>
      <c r="D951" s="13" t="s">
        <v>6</v>
      </c>
      <c r="E951" s="13">
        <v>-1487</v>
      </c>
    </row>
    <row r="952" spans="1:5">
      <c r="A952" s="14">
        <v>43538</v>
      </c>
      <c r="B952" s="12">
        <v>2514</v>
      </c>
      <c r="C952" s="12" t="s">
        <v>20</v>
      </c>
      <c r="D952" s="12" t="s">
        <v>6</v>
      </c>
      <c r="E952" s="12">
        <v>-1085</v>
      </c>
    </row>
    <row r="953" spans="1:5">
      <c r="A953" s="15">
        <v>43538</v>
      </c>
      <c r="B953" s="13">
        <v>2510</v>
      </c>
      <c r="C953" s="13" t="s">
        <v>24</v>
      </c>
      <c r="D953" s="13" t="s">
        <v>12</v>
      </c>
      <c r="E953" s="13">
        <v>-2937</v>
      </c>
    </row>
    <row r="954" spans="1:5">
      <c r="A954" s="14">
        <v>43538</v>
      </c>
      <c r="B954" s="12">
        <v>2510</v>
      </c>
      <c r="C954" s="12" t="s">
        <v>24</v>
      </c>
      <c r="D954" s="12" t="s">
        <v>12</v>
      </c>
      <c r="E954" s="12">
        <v>-1585</v>
      </c>
    </row>
    <row r="955" spans="1:5">
      <c r="A955" s="15">
        <v>43538</v>
      </c>
      <c r="B955" s="13">
        <v>2502</v>
      </c>
      <c r="C955" s="13" t="s">
        <v>7</v>
      </c>
      <c r="D955" s="13" t="s">
        <v>19</v>
      </c>
      <c r="E955" s="13">
        <v>-4156</v>
      </c>
    </row>
    <row r="956" spans="1:5">
      <c r="A956" s="14">
        <v>43538</v>
      </c>
      <c r="B956" s="12">
        <v>2513</v>
      </c>
      <c r="C956" s="12" t="s">
        <v>17</v>
      </c>
      <c r="D956" s="12" t="s">
        <v>19</v>
      </c>
      <c r="E956" s="12">
        <v>-874</v>
      </c>
    </row>
    <row r="957" spans="1:5">
      <c r="A957" s="15">
        <v>43539</v>
      </c>
      <c r="B957" s="13">
        <v>2000</v>
      </c>
      <c r="C957" s="13" t="s">
        <v>18</v>
      </c>
      <c r="D957" s="13" t="s">
        <v>19</v>
      </c>
      <c r="E957" s="13">
        <v>-240361</v>
      </c>
    </row>
    <row r="958" spans="1:5">
      <c r="A958" s="14">
        <v>43539</v>
      </c>
      <c r="B958" s="12">
        <v>2508</v>
      </c>
      <c r="C958" s="12" t="s">
        <v>15</v>
      </c>
      <c r="D958" s="12" t="s">
        <v>19</v>
      </c>
      <c r="E958" s="12">
        <v>-50592</v>
      </c>
    </row>
    <row r="959" spans="1:5">
      <c r="A959" s="15">
        <v>43539</v>
      </c>
      <c r="B959" s="13">
        <v>1500</v>
      </c>
      <c r="C959" s="13" t="s">
        <v>26</v>
      </c>
      <c r="D959" s="13" t="s">
        <v>19</v>
      </c>
      <c r="E959" s="13">
        <v>-42308</v>
      </c>
    </row>
    <row r="960" spans="1:5">
      <c r="A960" s="14">
        <v>43539</v>
      </c>
      <c r="B960" s="12">
        <v>2508</v>
      </c>
      <c r="C960" s="12" t="s">
        <v>15</v>
      </c>
      <c r="D960" s="12" t="s">
        <v>19</v>
      </c>
      <c r="E960" s="12">
        <v>-41745</v>
      </c>
    </row>
    <row r="961" spans="1:5">
      <c r="A961" s="15">
        <v>43539</v>
      </c>
      <c r="B961" s="13">
        <v>2500</v>
      </c>
      <c r="C961" s="13" t="s">
        <v>25</v>
      </c>
      <c r="D961" s="13" t="s">
        <v>19</v>
      </c>
      <c r="E961" s="13">
        <v>-14680</v>
      </c>
    </row>
    <row r="962" spans="1:5">
      <c r="A962" s="14">
        <v>43539</v>
      </c>
      <c r="B962" s="12">
        <v>1500</v>
      </c>
      <c r="C962" s="12" t="s">
        <v>26</v>
      </c>
      <c r="D962" s="12" t="s">
        <v>19</v>
      </c>
      <c r="E962" s="12">
        <v>-10657</v>
      </c>
    </row>
    <row r="963" spans="1:5">
      <c r="A963" s="15">
        <v>43539</v>
      </c>
      <c r="B963" s="13">
        <v>2512</v>
      </c>
      <c r="C963" s="13" t="s">
        <v>16</v>
      </c>
      <c r="D963" s="13" t="s">
        <v>19</v>
      </c>
      <c r="E963" s="13">
        <v>-6670</v>
      </c>
    </row>
    <row r="964" spans="1:5">
      <c r="A964" s="14">
        <v>43539</v>
      </c>
      <c r="B964" s="12">
        <v>2504</v>
      </c>
      <c r="C964" s="12" t="s">
        <v>21</v>
      </c>
      <c r="D964" s="12" t="s">
        <v>19</v>
      </c>
      <c r="E964" s="12">
        <v>-2514</v>
      </c>
    </row>
    <row r="965" spans="1:5">
      <c r="A965" s="15">
        <v>43539</v>
      </c>
      <c r="B965" s="13">
        <v>2504</v>
      </c>
      <c r="C965" s="13" t="s">
        <v>21</v>
      </c>
      <c r="D965" s="13" t="s">
        <v>19</v>
      </c>
      <c r="E965" s="13">
        <v>-2461</v>
      </c>
    </row>
    <row r="966" spans="1:5">
      <c r="A966" s="14">
        <v>43539</v>
      </c>
      <c r="B966" s="12">
        <v>2510</v>
      </c>
      <c r="C966" s="12" t="s">
        <v>24</v>
      </c>
      <c r="D966" s="12" t="s">
        <v>19</v>
      </c>
      <c r="E966" s="12">
        <v>-1404</v>
      </c>
    </row>
    <row r="967" spans="1:5">
      <c r="A967" s="15">
        <v>43539</v>
      </c>
      <c r="B967" s="13">
        <v>2514</v>
      </c>
      <c r="C967" s="13" t="s">
        <v>20</v>
      </c>
      <c r="D967" s="13" t="s">
        <v>19</v>
      </c>
      <c r="E967" s="13">
        <v>-1126</v>
      </c>
    </row>
    <row r="968" spans="1:5">
      <c r="A968" s="14">
        <v>43539</v>
      </c>
      <c r="B968" s="12">
        <v>2514</v>
      </c>
      <c r="C968" s="12" t="s">
        <v>20</v>
      </c>
      <c r="D968" s="12" t="s">
        <v>19</v>
      </c>
      <c r="E968" s="12">
        <v>-868</v>
      </c>
    </row>
    <row r="969" spans="1:5">
      <c r="A969" s="15">
        <v>43539</v>
      </c>
      <c r="B969" s="13">
        <v>2513</v>
      </c>
      <c r="C969" s="13" t="s">
        <v>17</v>
      </c>
      <c r="D969" s="13" t="s">
        <v>19</v>
      </c>
      <c r="E969" s="13">
        <v>-851</v>
      </c>
    </row>
    <row r="970" spans="1:5">
      <c r="A970" s="14">
        <v>43539</v>
      </c>
      <c r="B970" s="12">
        <v>2505</v>
      </c>
      <c r="C970" s="12" t="s">
        <v>9</v>
      </c>
      <c r="D970" s="12" t="s">
        <v>19</v>
      </c>
      <c r="E970" s="12">
        <v>-573</v>
      </c>
    </row>
    <row r="971" spans="1:5">
      <c r="A971" s="15">
        <v>43539</v>
      </c>
      <c r="B971" s="13">
        <v>2513</v>
      </c>
      <c r="C971" s="13" t="s">
        <v>17</v>
      </c>
      <c r="D971" s="13" t="s">
        <v>19</v>
      </c>
      <c r="E971" s="13">
        <v>-420</v>
      </c>
    </row>
    <row r="972" spans="1:5">
      <c r="A972" s="14">
        <v>43539</v>
      </c>
      <c r="B972" s="12">
        <v>1000</v>
      </c>
      <c r="C972" s="12" t="s">
        <v>23</v>
      </c>
      <c r="D972" s="12" t="s">
        <v>19</v>
      </c>
      <c r="E972" s="12">
        <v>787661</v>
      </c>
    </row>
    <row r="973" spans="1:5">
      <c r="A973" s="15">
        <v>43539</v>
      </c>
      <c r="B973" s="13">
        <v>1000</v>
      </c>
      <c r="C973" s="13" t="s">
        <v>23</v>
      </c>
      <c r="D973" s="13" t="s">
        <v>19</v>
      </c>
      <c r="E973" s="13">
        <v>1231909</v>
      </c>
    </row>
    <row r="974" spans="1:5">
      <c r="A974" s="14">
        <v>43540</v>
      </c>
      <c r="B974" s="12">
        <v>2000</v>
      </c>
      <c r="C974" s="12" t="s">
        <v>18</v>
      </c>
      <c r="D974" s="12" t="s">
        <v>19</v>
      </c>
      <c r="E974" s="12">
        <v>-313577</v>
      </c>
    </row>
    <row r="975" spans="1:5">
      <c r="A975" s="15">
        <v>43540</v>
      </c>
      <c r="B975" s="13">
        <v>2000</v>
      </c>
      <c r="C975" s="13" t="s">
        <v>18</v>
      </c>
      <c r="D975" s="13" t="s">
        <v>19</v>
      </c>
      <c r="E975" s="13">
        <v>-266004</v>
      </c>
    </row>
    <row r="976" spans="1:5">
      <c r="A976" s="14">
        <v>43540</v>
      </c>
      <c r="B976" s="12">
        <v>2505</v>
      </c>
      <c r="C976" s="12" t="s">
        <v>9</v>
      </c>
      <c r="D976" s="12" t="s">
        <v>14</v>
      </c>
      <c r="E976" s="12">
        <v>-605</v>
      </c>
    </row>
    <row r="977" spans="1:5">
      <c r="A977" s="15">
        <v>43540</v>
      </c>
      <c r="B977" s="13">
        <v>2512</v>
      </c>
      <c r="C977" s="13" t="s">
        <v>16</v>
      </c>
      <c r="D977" s="13" t="s">
        <v>10</v>
      </c>
      <c r="E977" s="13">
        <v>-2175</v>
      </c>
    </row>
    <row r="978" spans="1:5">
      <c r="A978" s="14">
        <v>43540</v>
      </c>
      <c r="B978" s="12">
        <v>2513</v>
      </c>
      <c r="C978" s="12" t="s">
        <v>17</v>
      </c>
      <c r="D978" s="12" t="s">
        <v>6</v>
      </c>
      <c r="E978" s="12">
        <v>-567</v>
      </c>
    </row>
    <row r="979" spans="1:5">
      <c r="A979" s="15">
        <v>43540</v>
      </c>
      <c r="B979" s="13">
        <v>2513</v>
      </c>
      <c r="C979" s="13" t="s">
        <v>17</v>
      </c>
      <c r="D979" s="13" t="s">
        <v>10</v>
      </c>
      <c r="E979" s="13">
        <v>-955</v>
      </c>
    </row>
    <row r="980" spans="1:5">
      <c r="A980" s="14">
        <v>43540</v>
      </c>
      <c r="B980" s="12">
        <v>2513</v>
      </c>
      <c r="C980" s="12" t="s">
        <v>17</v>
      </c>
      <c r="D980" s="12" t="s">
        <v>8</v>
      </c>
      <c r="E980" s="12">
        <v>-807</v>
      </c>
    </row>
    <row r="981" spans="1:5">
      <c r="A981" s="15">
        <v>43540</v>
      </c>
      <c r="B981" s="13">
        <v>2510</v>
      </c>
      <c r="C981" s="13" t="s">
        <v>24</v>
      </c>
      <c r="D981" s="13" t="s">
        <v>6</v>
      </c>
      <c r="E981" s="13">
        <v>-1659</v>
      </c>
    </row>
    <row r="982" spans="1:5">
      <c r="A982" s="14">
        <v>43540</v>
      </c>
      <c r="B982" s="12">
        <v>1500</v>
      </c>
      <c r="C982" s="12" t="s">
        <v>26</v>
      </c>
      <c r="D982" s="12" t="s">
        <v>19</v>
      </c>
      <c r="E982" s="12">
        <v>-9222</v>
      </c>
    </row>
    <row r="983" spans="1:5">
      <c r="A983" s="15">
        <v>43540</v>
      </c>
      <c r="B983" s="13">
        <v>2502</v>
      </c>
      <c r="C983" s="13" t="s">
        <v>7</v>
      </c>
      <c r="D983" s="13" t="s">
        <v>19</v>
      </c>
      <c r="E983" s="13">
        <v>-3764</v>
      </c>
    </row>
    <row r="984" spans="1:5">
      <c r="A984" s="14">
        <v>43540</v>
      </c>
      <c r="B984" s="12">
        <v>2514</v>
      </c>
      <c r="C984" s="12" t="s">
        <v>20</v>
      </c>
      <c r="D984" s="12" t="s">
        <v>19</v>
      </c>
      <c r="E984" s="12">
        <v>-1174</v>
      </c>
    </row>
    <row r="985" spans="1:5">
      <c r="A985" s="15">
        <v>43540</v>
      </c>
      <c r="B985" s="13">
        <v>2514</v>
      </c>
      <c r="C985" s="13" t="s">
        <v>20</v>
      </c>
      <c r="D985" s="13" t="s">
        <v>19</v>
      </c>
      <c r="E985" s="13">
        <v>-1106</v>
      </c>
    </row>
    <row r="986" spans="1:5">
      <c r="A986" s="14">
        <v>43540</v>
      </c>
      <c r="B986" s="12">
        <v>2510</v>
      </c>
      <c r="C986" s="12" t="s">
        <v>24</v>
      </c>
      <c r="D986" s="12" t="s">
        <v>19</v>
      </c>
      <c r="E986" s="12">
        <v>-901</v>
      </c>
    </row>
    <row r="987" spans="1:5">
      <c r="A987" s="15">
        <v>43540</v>
      </c>
      <c r="B987" s="13">
        <v>2513</v>
      </c>
      <c r="C987" s="13" t="s">
        <v>17</v>
      </c>
      <c r="D987" s="13" t="s">
        <v>19</v>
      </c>
      <c r="E987" s="13">
        <v>-877</v>
      </c>
    </row>
    <row r="988" spans="1:5">
      <c r="A988" s="14">
        <v>43540</v>
      </c>
      <c r="B988" s="12">
        <v>2501</v>
      </c>
      <c r="C988" s="12" t="s">
        <v>5</v>
      </c>
      <c r="D988" s="12" t="s">
        <v>19</v>
      </c>
      <c r="E988" s="12">
        <v>-149</v>
      </c>
    </row>
    <row r="989" spans="1:5">
      <c r="A989" s="15">
        <v>43540</v>
      </c>
      <c r="B989" s="13">
        <v>2501</v>
      </c>
      <c r="C989" s="13" t="s">
        <v>5</v>
      </c>
      <c r="D989" s="13" t="s">
        <v>19</v>
      </c>
      <c r="E989" s="13">
        <v>-121</v>
      </c>
    </row>
    <row r="990" spans="1:5">
      <c r="A990" s="14">
        <v>43541</v>
      </c>
      <c r="B990" s="12">
        <v>2503</v>
      </c>
      <c r="C990" s="12" t="s">
        <v>22</v>
      </c>
      <c r="D990" s="12" t="s">
        <v>12</v>
      </c>
      <c r="E990" s="12">
        <v>-415</v>
      </c>
    </row>
    <row r="991" spans="1:5">
      <c r="A991" s="15">
        <v>43541</v>
      </c>
      <c r="B991" s="13">
        <v>2503</v>
      </c>
      <c r="C991" s="13" t="s">
        <v>22</v>
      </c>
      <c r="D991" s="13" t="s">
        <v>14</v>
      </c>
      <c r="E991" s="13">
        <v>-295</v>
      </c>
    </row>
    <row r="992" spans="1:5">
      <c r="A992" s="14">
        <v>43541</v>
      </c>
      <c r="B992" s="12">
        <v>2512</v>
      </c>
      <c r="C992" s="12" t="s">
        <v>16</v>
      </c>
      <c r="D992" s="12" t="s">
        <v>8</v>
      </c>
      <c r="E992" s="12">
        <v>-1815</v>
      </c>
    </row>
    <row r="993" spans="1:5">
      <c r="A993" s="15">
        <v>43541</v>
      </c>
      <c r="B993" s="13">
        <v>2510</v>
      </c>
      <c r="C993" s="13" t="s">
        <v>24</v>
      </c>
      <c r="D993" s="13" t="s">
        <v>8</v>
      </c>
      <c r="E993" s="13">
        <v>-1682</v>
      </c>
    </row>
    <row r="994" spans="1:5">
      <c r="A994" s="14">
        <v>43541</v>
      </c>
      <c r="B994" s="12">
        <v>2512</v>
      </c>
      <c r="C994" s="12" t="s">
        <v>16</v>
      </c>
      <c r="D994" s="12" t="s">
        <v>19</v>
      </c>
      <c r="E994" s="12">
        <v>-9708</v>
      </c>
    </row>
    <row r="995" spans="1:5">
      <c r="A995" s="15">
        <v>43541</v>
      </c>
      <c r="B995" s="13">
        <v>2502</v>
      </c>
      <c r="C995" s="13" t="s">
        <v>7</v>
      </c>
      <c r="D995" s="13" t="s">
        <v>19</v>
      </c>
      <c r="E995" s="13">
        <v>-2988</v>
      </c>
    </row>
    <row r="996" spans="1:5">
      <c r="A996" s="14">
        <v>43541</v>
      </c>
      <c r="B996" s="12">
        <v>2510</v>
      </c>
      <c r="C996" s="12" t="s">
        <v>24</v>
      </c>
      <c r="D996" s="12" t="s">
        <v>19</v>
      </c>
      <c r="E996" s="12">
        <v>-1133</v>
      </c>
    </row>
    <row r="997" spans="1:5">
      <c r="A997" s="15">
        <v>43541</v>
      </c>
      <c r="B997" s="13">
        <v>2510</v>
      </c>
      <c r="C997" s="13" t="s">
        <v>24</v>
      </c>
      <c r="D997" s="13" t="s">
        <v>19</v>
      </c>
      <c r="E997" s="13">
        <v>-1063</v>
      </c>
    </row>
    <row r="998" spans="1:5">
      <c r="A998" s="14">
        <v>43541</v>
      </c>
      <c r="B998" s="12">
        <v>2514</v>
      </c>
      <c r="C998" s="12" t="s">
        <v>20</v>
      </c>
      <c r="D998" s="12" t="s">
        <v>19</v>
      </c>
      <c r="E998" s="12">
        <v>-996</v>
      </c>
    </row>
    <row r="999" spans="1:5">
      <c r="A999" s="15">
        <v>43541</v>
      </c>
      <c r="B999" s="13">
        <v>2505</v>
      </c>
      <c r="C999" s="13" t="s">
        <v>9</v>
      </c>
      <c r="D999" s="13" t="s">
        <v>19</v>
      </c>
      <c r="E999" s="13">
        <v>-525</v>
      </c>
    </row>
    <row r="1000" spans="1:5">
      <c r="A1000" s="14">
        <v>43541</v>
      </c>
      <c r="B1000" s="12">
        <v>2513</v>
      </c>
      <c r="C1000" s="12" t="s">
        <v>17</v>
      </c>
      <c r="D1000" s="12" t="s">
        <v>19</v>
      </c>
      <c r="E1000" s="12">
        <v>-461</v>
      </c>
    </row>
    <row r="1001" spans="1:5">
      <c r="A1001" s="15">
        <v>43541</v>
      </c>
      <c r="B1001" s="13">
        <v>2513</v>
      </c>
      <c r="C1001" s="13" t="s">
        <v>17</v>
      </c>
      <c r="D1001" s="13" t="s">
        <v>19</v>
      </c>
      <c r="E1001" s="13">
        <v>-331</v>
      </c>
    </row>
    <row r="1002" spans="1:5">
      <c r="A1002" s="14">
        <v>43541</v>
      </c>
      <c r="B1002" s="12">
        <v>2503</v>
      </c>
      <c r="C1002" s="12" t="s">
        <v>22</v>
      </c>
      <c r="D1002" s="12" t="s">
        <v>19</v>
      </c>
      <c r="E1002" s="12">
        <v>-285</v>
      </c>
    </row>
    <row r="1003" spans="1:5">
      <c r="A1003" s="15">
        <v>43542</v>
      </c>
      <c r="B1003" s="13">
        <v>2508</v>
      </c>
      <c r="C1003" s="13" t="s">
        <v>15</v>
      </c>
      <c r="D1003" s="13" t="s">
        <v>19</v>
      </c>
      <c r="E1003" s="13">
        <v>-63765</v>
      </c>
    </row>
    <row r="1004" spans="1:5">
      <c r="A1004" s="14">
        <v>43542</v>
      </c>
      <c r="B1004" s="12">
        <v>2502</v>
      </c>
      <c r="C1004" s="12" t="s">
        <v>7</v>
      </c>
      <c r="D1004" s="12" t="s">
        <v>12</v>
      </c>
      <c r="E1004" s="12">
        <v>-9657</v>
      </c>
    </row>
    <row r="1005" spans="1:5">
      <c r="A1005" s="15">
        <v>43542</v>
      </c>
      <c r="B1005" s="13">
        <v>2502</v>
      </c>
      <c r="C1005" s="13" t="s">
        <v>7</v>
      </c>
      <c r="D1005" s="13" t="s">
        <v>12</v>
      </c>
      <c r="E1005" s="13">
        <v>-4975</v>
      </c>
    </row>
    <row r="1006" spans="1:5">
      <c r="A1006" s="14">
        <v>43542</v>
      </c>
      <c r="B1006" s="12">
        <v>2503</v>
      </c>
      <c r="C1006" s="12" t="s">
        <v>22</v>
      </c>
      <c r="D1006" s="12" t="s">
        <v>6</v>
      </c>
      <c r="E1006" s="12">
        <v>-270</v>
      </c>
    </row>
    <row r="1007" spans="1:5">
      <c r="A1007" s="15">
        <v>43542</v>
      </c>
      <c r="B1007" s="13">
        <v>2503</v>
      </c>
      <c r="C1007" s="13" t="s">
        <v>22</v>
      </c>
      <c r="D1007" s="13" t="s">
        <v>14</v>
      </c>
      <c r="E1007" s="13">
        <v>-313</v>
      </c>
    </row>
    <row r="1008" spans="1:5">
      <c r="A1008" s="14">
        <v>43542</v>
      </c>
      <c r="B1008" s="12">
        <v>2508</v>
      </c>
      <c r="C1008" s="12" t="s">
        <v>15</v>
      </c>
      <c r="D1008" s="12" t="s">
        <v>13</v>
      </c>
      <c r="E1008" s="12">
        <v>-41954</v>
      </c>
    </row>
    <row r="1009" spans="1:5">
      <c r="A1009" s="15">
        <v>43542</v>
      </c>
      <c r="B1009" s="13">
        <v>2512</v>
      </c>
      <c r="C1009" s="13" t="s">
        <v>16</v>
      </c>
      <c r="D1009" s="13" t="s">
        <v>13</v>
      </c>
      <c r="E1009" s="13">
        <v>-533</v>
      </c>
    </row>
    <row r="1010" spans="1:5">
      <c r="A1010" s="14">
        <v>43542</v>
      </c>
      <c r="B1010" s="12">
        <v>2512</v>
      </c>
      <c r="C1010" s="12" t="s">
        <v>16</v>
      </c>
      <c r="D1010" s="12" t="s">
        <v>10</v>
      </c>
      <c r="E1010" s="12">
        <v>-3932</v>
      </c>
    </row>
    <row r="1011" spans="1:5">
      <c r="A1011" s="15">
        <v>43542</v>
      </c>
      <c r="B1011" s="13">
        <v>2513</v>
      </c>
      <c r="C1011" s="13" t="s">
        <v>17</v>
      </c>
      <c r="D1011" s="13" t="s">
        <v>10</v>
      </c>
      <c r="E1011" s="13">
        <v>-582</v>
      </c>
    </row>
    <row r="1012" spans="1:5">
      <c r="A1012" s="14">
        <v>43542</v>
      </c>
      <c r="B1012" s="12">
        <v>2514</v>
      </c>
      <c r="C1012" s="12" t="s">
        <v>20</v>
      </c>
      <c r="D1012" s="12" t="s">
        <v>13</v>
      </c>
      <c r="E1012" s="12">
        <v>-783</v>
      </c>
    </row>
    <row r="1013" spans="1:5">
      <c r="A1013" s="15">
        <v>43542</v>
      </c>
      <c r="B1013" s="13">
        <v>2510</v>
      </c>
      <c r="C1013" s="13" t="s">
        <v>24</v>
      </c>
      <c r="D1013" s="13" t="s">
        <v>8</v>
      </c>
      <c r="E1013" s="13">
        <v>-1373</v>
      </c>
    </row>
    <row r="1014" spans="1:5">
      <c r="A1014" s="14">
        <v>43542</v>
      </c>
      <c r="B1014" s="12">
        <v>2512</v>
      </c>
      <c r="C1014" s="12" t="s">
        <v>16</v>
      </c>
      <c r="D1014" s="12" t="s">
        <v>19</v>
      </c>
      <c r="E1014" s="12">
        <v>-11344</v>
      </c>
    </row>
    <row r="1015" spans="1:5">
      <c r="A1015" s="15">
        <v>43542</v>
      </c>
      <c r="B1015" s="13">
        <v>2504</v>
      </c>
      <c r="C1015" s="13" t="s">
        <v>21</v>
      </c>
      <c r="D1015" s="13" t="s">
        <v>19</v>
      </c>
      <c r="E1015" s="13">
        <v>-1242</v>
      </c>
    </row>
    <row r="1016" spans="1:5">
      <c r="A1016" s="14">
        <v>43542</v>
      </c>
      <c r="B1016" s="12">
        <v>2514</v>
      </c>
      <c r="C1016" s="12" t="s">
        <v>20</v>
      </c>
      <c r="D1016" s="12" t="s">
        <v>19</v>
      </c>
      <c r="E1016" s="12">
        <v>-1030</v>
      </c>
    </row>
    <row r="1017" spans="1:5">
      <c r="A1017" s="15">
        <v>43542</v>
      </c>
      <c r="B1017" s="13">
        <v>2514</v>
      </c>
      <c r="C1017" s="13" t="s">
        <v>20</v>
      </c>
      <c r="D1017" s="13" t="s">
        <v>19</v>
      </c>
      <c r="E1017" s="13">
        <v>-794</v>
      </c>
    </row>
    <row r="1018" spans="1:5">
      <c r="A1018" s="14">
        <v>43542</v>
      </c>
      <c r="B1018" s="12">
        <v>2510</v>
      </c>
      <c r="C1018" s="12" t="s">
        <v>24</v>
      </c>
      <c r="D1018" s="12" t="s">
        <v>19</v>
      </c>
      <c r="E1018" s="12">
        <v>-626</v>
      </c>
    </row>
    <row r="1019" spans="1:5">
      <c r="A1019" s="15">
        <v>43542</v>
      </c>
      <c r="B1019" s="13">
        <v>2501</v>
      </c>
      <c r="C1019" s="13" t="s">
        <v>5</v>
      </c>
      <c r="D1019" s="13" t="s">
        <v>19</v>
      </c>
      <c r="E1019" s="13">
        <v>-58</v>
      </c>
    </row>
    <row r="1020" spans="1:5">
      <c r="A1020" s="14">
        <v>43543</v>
      </c>
      <c r="B1020" s="12">
        <v>2000</v>
      </c>
      <c r="C1020" s="12" t="s">
        <v>18</v>
      </c>
      <c r="D1020" s="12" t="s">
        <v>19</v>
      </c>
      <c r="E1020" s="12">
        <v>-281225</v>
      </c>
    </row>
    <row r="1021" spans="1:5">
      <c r="A1021" s="15">
        <v>43543</v>
      </c>
      <c r="B1021" s="13">
        <v>2508</v>
      </c>
      <c r="C1021" s="13" t="s">
        <v>15</v>
      </c>
      <c r="D1021" s="13" t="s">
        <v>19</v>
      </c>
      <c r="E1021" s="13">
        <v>-48954</v>
      </c>
    </row>
    <row r="1022" spans="1:5">
      <c r="A1022" s="14">
        <v>43543</v>
      </c>
      <c r="B1022" s="12">
        <v>2502</v>
      </c>
      <c r="C1022" s="12" t="s">
        <v>7</v>
      </c>
      <c r="D1022" s="12" t="s">
        <v>13</v>
      </c>
      <c r="E1022" s="12">
        <v>-3218</v>
      </c>
    </row>
    <row r="1023" spans="1:5">
      <c r="A1023" s="15">
        <v>43543</v>
      </c>
      <c r="B1023" s="13">
        <v>2502</v>
      </c>
      <c r="C1023" s="13" t="s">
        <v>7</v>
      </c>
      <c r="D1023" s="13" t="s">
        <v>14</v>
      </c>
      <c r="E1023" s="13">
        <v>-6253</v>
      </c>
    </row>
    <row r="1024" spans="1:5">
      <c r="A1024" s="14">
        <v>43543</v>
      </c>
      <c r="B1024" s="12">
        <v>2503</v>
      </c>
      <c r="C1024" s="12" t="s">
        <v>22</v>
      </c>
      <c r="D1024" s="12" t="s">
        <v>10</v>
      </c>
      <c r="E1024" s="12">
        <v>-349</v>
      </c>
    </row>
    <row r="1025" spans="1:5">
      <c r="A1025" s="15">
        <v>43543</v>
      </c>
      <c r="B1025" s="13">
        <v>2503</v>
      </c>
      <c r="C1025" s="13" t="s">
        <v>22</v>
      </c>
      <c r="D1025" s="13" t="s">
        <v>8</v>
      </c>
      <c r="E1025" s="13">
        <v>-415</v>
      </c>
    </row>
    <row r="1026" spans="1:5">
      <c r="A1026" s="14">
        <v>43543</v>
      </c>
      <c r="B1026" s="12">
        <v>2508</v>
      </c>
      <c r="C1026" s="12" t="s">
        <v>15</v>
      </c>
      <c r="D1026" s="12" t="s">
        <v>6</v>
      </c>
      <c r="E1026" s="12">
        <v>-77721</v>
      </c>
    </row>
    <row r="1027" spans="1:5">
      <c r="A1027" s="15">
        <v>43543</v>
      </c>
      <c r="B1027" s="13">
        <v>2512</v>
      </c>
      <c r="C1027" s="13" t="s">
        <v>16</v>
      </c>
      <c r="D1027" s="13" t="s">
        <v>8</v>
      </c>
      <c r="E1027" s="13">
        <v>-3788</v>
      </c>
    </row>
    <row r="1028" spans="1:5">
      <c r="A1028" s="14">
        <v>43543</v>
      </c>
      <c r="B1028" s="12">
        <v>2513</v>
      </c>
      <c r="C1028" s="12" t="s">
        <v>17</v>
      </c>
      <c r="D1028" s="12" t="s">
        <v>8</v>
      </c>
      <c r="E1028" s="12">
        <v>-1198</v>
      </c>
    </row>
    <row r="1029" spans="1:5">
      <c r="A1029" s="15">
        <v>43543</v>
      </c>
      <c r="B1029" s="13">
        <v>2514</v>
      </c>
      <c r="C1029" s="13" t="s">
        <v>20</v>
      </c>
      <c r="D1029" s="13" t="s">
        <v>8</v>
      </c>
      <c r="E1029" s="13">
        <v>-1380</v>
      </c>
    </row>
    <row r="1030" spans="1:5">
      <c r="A1030" s="14">
        <v>43543</v>
      </c>
      <c r="B1030" s="12">
        <v>2510</v>
      </c>
      <c r="C1030" s="12" t="s">
        <v>24</v>
      </c>
      <c r="D1030" s="12" t="s">
        <v>6</v>
      </c>
      <c r="E1030" s="12">
        <v>-937</v>
      </c>
    </row>
    <row r="1031" spans="1:5">
      <c r="A1031" s="15">
        <v>43543</v>
      </c>
      <c r="B1031" s="13">
        <v>2502</v>
      </c>
      <c r="C1031" s="13" t="s">
        <v>7</v>
      </c>
      <c r="D1031" s="13" t="s">
        <v>19</v>
      </c>
      <c r="E1031" s="13">
        <v>-5798</v>
      </c>
    </row>
    <row r="1032" spans="1:5">
      <c r="A1032" s="14">
        <v>43543</v>
      </c>
      <c r="B1032" s="12">
        <v>2514</v>
      </c>
      <c r="C1032" s="12" t="s">
        <v>20</v>
      </c>
      <c r="D1032" s="12" t="s">
        <v>19</v>
      </c>
      <c r="E1032" s="12">
        <v>-1140</v>
      </c>
    </row>
    <row r="1033" spans="1:5">
      <c r="A1033" s="15">
        <v>43543</v>
      </c>
      <c r="B1033" s="13">
        <v>1000</v>
      </c>
      <c r="C1033" s="13" t="s">
        <v>23</v>
      </c>
      <c r="D1033" s="13" t="s">
        <v>19</v>
      </c>
      <c r="E1033" s="13">
        <v>529622</v>
      </c>
    </row>
    <row r="1034" spans="1:5">
      <c r="A1034" s="14">
        <v>43543</v>
      </c>
      <c r="B1034" s="12">
        <v>1000</v>
      </c>
      <c r="C1034" s="12" t="s">
        <v>23</v>
      </c>
      <c r="D1034" s="12" t="s">
        <v>19</v>
      </c>
      <c r="E1034" s="12">
        <v>608458</v>
      </c>
    </row>
    <row r="1035" spans="1:5">
      <c r="A1035" s="15">
        <v>43543</v>
      </c>
      <c r="B1035" s="13">
        <v>1000</v>
      </c>
      <c r="C1035" s="13" t="s">
        <v>23</v>
      </c>
      <c r="D1035" s="13" t="s">
        <v>19</v>
      </c>
      <c r="E1035" s="13">
        <v>1173240</v>
      </c>
    </row>
    <row r="1036" spans="1:5">
      <c r="A1036" s="14">
        <v>43544</v>
      </c>
      <c r="B1036" s="12">
        <v>2000</v>
      </c>
      <c r="C1036" s="12" t="s">
        <v>18</v>
      </c>
      <c r="D1036" s="12" t="s">
        <v>19</v>
      </c>
      <c r="E1036" s="12">
        <v>-142003</v>
      </c>
    </row>
    <row r="1037" spans="1:5">
      <c r="A1037" s="15">
        <v>43544</v>
      </c>
      <c r="B1037" s="13">
        <v>2508</v>
      </c>
      <c r="C1037" s="13" t="s">
        <v>15</v>
      </c>
      <c r="D1037" s="13" t="s">
        <v>19</v>
      </c>
      <c r="E1037" s="13">
        <v>-54993</v>
      </c>
    </row>
    <row r="1038" spans="1:5">
      <c r="A1038" s="14">
        <v>43544</v>
      </c>
      <c r="B1038" s="12">
        <v>1500</v>
      </c>
      <c r="C1038" s="12" t="s">
        <v>26</v>
      </c>
      <c r="D1038" s="12" t="s">
        <v>19</v>
      </c>
      <c r="E1038" s="12">
        <v>-28477</v>
      </c>
    </row>
    <row r="1039" spans="1:5">
      <c r="A1039" s="15">
        <v>43544</v>
      </c>
      <c r="B1039" s="13">
        <v>2502</v>
      </c>
      <c r="C1039" s="13" t="s">
        <v>7</v>
      </c>
      <c r="D1039" s="13" t="s">
        <v>14</v>
      </c>
      <c r="E1039" s="13">
        <v>-2966</v>
      </c>
    </row>
    <row r="1040" spans="1:5">
      <c r="A1040" s="14">
        <v>43544</v>
      </c>
      <c r="B1040" s="12">
        <v>2506</v>
      </c>
      <c r="C1040" s="12" t="s">
        <v>27</v>
      </c>
      <c r="D1040" s="12" t="s">
        <v>14</v>
      </c>
      <c r="E1040" s="12">
        <v>-646</v>
      </c>
    </row>
    <row r="1041" spans="1:5">
      <c r="A1041" s="15">
        <v>43544</v>
      </c>
      <c r="B1041" s="13">
        <v>2510</v>
      </c>
      <c r="C1041" s="13" t="s">
        <v>24</v>
      </c>
      <c r="D1041" s="13" t="s">
        <v>12</v>
      </c>
      <c r="E1041" s="13">
        <v>-2200</v>
      </c>
    </row>
    <row r="1042" spans="1:5">
      <c r="A1042" s="14">
        <v>43544</v>
      </c>
      <c r="B1042" s="12">
        <v>2510</v>
      </c>
      <c r="C1042" s="12" t="s">
        <v>24</v>
      </c>
      <c r="D1042" s="12" t="s">
        <v>13</v>
      </c>
      <c r="E1042" s="12">
        <v>-960</v>
      </c>
    </row>
    <row r="1043" spans="1:5">
      <c r="A1043" s="15">
        <v>43544</v>
      </c>
      <c r="B1043" s="13">
        <v>1500</v>
      </c>
      <c r="C1043" s="13" t="s">
        <v>26</v>
      </c>
      <c r="D1043" s="13" t="s">
        <v>19</v>
      </c>
      <c r="E1043" s="13">
        <v>-22939</v>
      </c>
    </row>
    <row r="1044" spans="1:5">
      <c r="A1044" s="14">
        <v>43544</v>
      </c>
      <c r="B1044" s="12">
        <v>2512</v>
      </c>
      <c r="C1044" s="12" t="s">
        <v>16</v>
      </c>
      <c r="D1044" s="12" t="s">
        <v>19</v>
      </c>
      <c r="E1044" s="12">
        <v>-11441</v>
      </c>
    </row>
    <row r="1045" spans="1:5">
      <c r="A1045" s="15">
        <v>43544</v>
      </c>
      <c r="B1045" s="13">
        <v>2512</v>
      </c>
      <c r="C1045" s="13" t="s">
        <v>16</v>
      </c>
      <c r="D1045" s="13" t="s">
        <v>19</v>
      </c>
      <c r="E1045" s="13">
        <v>-7015</v>
      </c>
    </row>
    <row r="1046" spans="1:5">
      <c r="A1046" s="14">
        <v>43544</v>
      </c>
      <c r="B1046" s="12">
        <v>2504</v>
      </c>
      <c r="C1046" s="12" t="s">
        <v>21</v>
      </c>
      <c r="D1046" s="12" t="s">
        <v>19</v>
      </c>
      <c r="E1046" s="12">
        <v>-1610</v>
      </c>
    </row>
    <row r="1047" spans="1:5">
      <c r="A1047" s="15">
        <v>43544</v>
      </c>
      <c r="B1047" s="13">
        <v>2514</v>
      </c>
      <c r="C1047" s="13" t="s">
        <v>20</v>
      </c>
      <c r="D1047" s="13" t="s">
        <v>19</v>
      </c>
      <c r="E1047" s="13">
        <v>-961</v>
      </c>
    </row>
    <row r="1048" spans="1:5">
      <c r="A1048" s="14">
        <v>43544</v>
      </c>
      <c r="B1048" s="12">
        <v>2513</v>
      </c>
      <c r="C1048" s="12" t="s">
        <v>17</v>
      </c>
      <c r="D1048" s="12" t="s">
        <v>19</v>
      </c>
      <c r="E1048" s="12">
        <v>-907</v>
      </c>
    </row>
    <row r="1049" spans="1:5">
      <c r="A1049" s="15">
        <v>43544</v>
      </c>
      <c r="B1049" s="13">
        <v>2514</v>
      </c>
      <c r="C1049" s="13" t="s">
        <v>20</v>
      </c>
      <c r="D1049" s="13" t="s">
        <v>19</v>
      </c>
      <c r="E1049" s="13">
        <v>-865</v>
      </c>
    </row>
    <row r="1050" spans="1:5">
      <c r="A1050" s="14">
        <v>43544</v>
      </c>
      <c r="B1050" s="12">
        <v>2501</v>
      </c>
      <c r="C1050" s="12" t="s">
        <v>5</v>
      </c>
      <c r="D1050" s="12" t="s">
        <v>19</v>
      </c>
      <c r="E1050" s="12">
        <v>-125</v>
      </c>
    </row>
    <row r="1051" spans="1:5">
      <c r="A1051" s="15">
        <v>43544</v>
      </c>
      <c r="B1051" s="13">
        <v>2501</v>
      </c>
      <c r="C1051" s="13" t="s">
        <v>5</v>
      </c>
      <c r="D1051" s="13" t="s">
        <v>19</v>
      </c>
      <c r="E1051" s="13">
        <v>-116</v>
      </c>
    </row>
    <row r="1052" spans="1:5">
      <c r="A1052" s="14">
        <v>43544</v>
      </c>
      <c r="B1052" s="12">
        <v>2501</v>
      </c>
      <c r="C1052" s="12" t="s">
        <v>5</v>
      </c>
      <c r="D1052" s="12" t="s">
        <v>19</v>
      </c>
      <c r="E1052" s="12">
        <v>-58</v>
      </c>
    </row>
    <row r="1053" spans="1:5">
      <c r="A1053" s="15">
        <v>43545</v>
      </c>
      <c r="B1053" s="13">
        <v>2508</v>
      </c>
      <c r="C1053" s="13" t="s">
        <v>15</v>
      </c>
      <c r="D1053" s="13" t="s">
        <v>19</v>
      </c>
      <c r="E1053" s="13">
        <v>-63356</v>
      </c>
    </row>
    <row r="1054" spans="1:5">
      <c r="A1054" s="14">
        <v>43545</v>
      </c>
      <c r="B1054" s="12">
        <v>2501</v>
      </c>
      <c r="C1054" s="12" t="s">
        <v>5</v>
      </c>
      <c r="D1054" s="12" t="s">
        <v>8</v>
      </c>
      <c r="E1054" s="12">
        <v>-166</v>
      </c>
    </row>
    <row r="1055" spans="1:5">
      <c r="A1055" s="15">
        <v>43545</v>
      </c>
      <c r="B1055" s="13">
        <v>2502</v>
      </c>
      <c r="C1055" s="13" t="s">
        <v>7</v>
      </c>
      <c r="D1055" s="13" t="s">
        <v>13</v>
      </c>
      <c r="E1055" s="13">
        <v>-3752</v>
      </c>
    </row>
    <row r="1056" spans="1:5">
      <c r="A1056" s="14">
        <v>43545</v>
      </c>
      <c r="B1056" s="12">
        <v>2502</v>
      </c>
      <c r="C1056" s="12" t="s">
        <v>7</v>
      </c>
      <c r="D1056" s="12" t="s">
        <v>13</v>
      </c>
      <c r="E1056" s="12">
        <v>-2556</v>
      </c>
    </row>
    <row r="1057" spans="1:5">
      <c r="A1057" s="15">
        <v>43545</v>
      </c>
      <c r="B1057" s="13">
        <v>2506</v>
      </c>
      <c r="C1057" s="13" t="s">
        <v>27</v>
      </c>
      <c r="D1057" s="13" t="s">
        <v>14</v>
      </c>
      <c r="E1057" s="13">
        <v>-649</v>
      </c>
    </row>
    <row r="1058" spans="1:5">
      <c r="A1058" s="14">
        <v>43545</v>
      </c>
      <c r="B1058" s="12">
        <v>2512</v>
      </c>
      <c r="C1058" s="12" t="s">
        <v>16</v>
      </c>
      <c r="D1058" s="12" t="s">
        <v>13</v>
      </c>
      <c r="E1058" s="12">
        <v>-595</v>
      </c>
    </row>
    <row r="1059" spans="1:5">
      <c r="A1059" s="15">
        <v>43545</v>
      </c>
      <c r="B1059" s="13">
        <v>2513</v>
      </c>
      <c r="C1059" s="13" t="s">
        <v>17</v>
      </c>
      <c r="D1059" s="13" t="s">
        <v>12</v>
      </c>
      <c r="E1059" s="13">
        <v>-1181</v>
      </c>
    </row>
    <row r="1060" spans="1:5">
      <c r="A1060" s="14">
        <v>43545</v>
      </c>
      <c r="B1060" s="12">
        <v>2513</v>
      </c>
      <c r="C1060" s="12" t="s">
        <v>17</v>
      </c>
      <c r="D1060" s="12" t="s">
        <v>10</v>
      </c>
      <c r="E1060" s="12">
        <v>-805</v>
      </c>
    </row>
    <row r="1061" spans="1:5">
      <c r="A1061" s="15">
        <v>43545</v>
      </c>
      <c r="B1061" s="13">
        <v>2510</v>
      </c>
      <c r="C1061" s="13" t="s">
        <v>24</v>
      </c>
      <c r="D1061" s="13" t="s">
        <v>6</v>
      </c>
      <c r="E1061" s="13">
        <v>-1530</v>
      </c>
    </row>
    <row r="1062" spans="1:5">
      <c r="A1062" s="14">
        <v>43545</v>
      </c>
      <c r="B1062" s="12">
        <v>2512</v>
      </c>
      <c r="C1062" s="12" t="s">
        <v>16</v>
      </c>
      <c r="D1062" s="12" t="s">
        <v>19</v>
      </c>
      <c r="E1062" s="12">
        <v>-9694</v>
      </c>
    </row>
    <row r="1063" spans="1:5">
      <c r="A1063" s="15">
        <v>43546</v>
      </c>
      <c r="B1063" s="13">
        <v>2501</v>
      </c>
      <c r="C1063" s="13" t="s">
        <v>5</v>
      </c>
      <c r="D1063" s="13" t="s">
        <v>10</v>
      </c>
      <c r="E1063" s="13">
        <v>-123</v>
      </c>
    </row>
    <row r="1064" spans="1:5">
      <c r="A1064" s="14">
        <v>43546</v>
      </c>
      <c r="B1064" s="12">
        <v>2502</v>
      </c>
      <c r="C1064" s="12" t="s">
        <v>7</v>
      </c>
      <c r="D1064" s="12" t="s">
        <v>14</v>
      </c>
      <c r="E1064" s="12">
        <v>-3346</v>
      </c>
    </row>
    <row r="1065" spans="1:5">
      <c r="A1065" s="15">
        <v>43546</v>
      </c>
      <c r="B1065" s="13">
        <v>2505</v>
      </c>
      <c r="C1065" s="13" t="s">
        <v>9</v>
      </c>
      <c r="D1065" s="13" t="s">
        <v>6</v>
      </c>
      <c r="E1065" s="13">
        <v>-515</v>
      </c>
    </row>
    <row r="1066" spans="1:5">
      <c r="A1066" s="14">
        <v>43546</v>
      </c>
      <c r="B1066" s="12">
        <v>2508</v>
      </c>
      <c r="C1066" s="12" t="s">
        <v>15</v>
      </c>
      <c r="D1066" s="12" t="s">
        <v>14</v>
      </c>
      <c r="E1066" s="12">
        <v>-61825</v>
      </c>
    </row>
    <row r="1067" spans="1:5">
      <c r="A1067" s="15">
        <v>43546</v>
      </c>
      <c r="B1067" s="13">
        <v>2512</v>
      </c>
      <c r="C1067" s="13" t="s">
        <v>16</v>
      </c>
      <c r="D1067" s="13" t="s">
        <v>8</v>
      </c>
      <c r="E1067" s="13">
        <v>-2772</v>
      </c>
    </row>
    <row r="1068" spans="1:5">
      <c r="A1068" s="14">
        <v>43546</v>
      </c>
      <c r="B1068" s="12">
        <v>2513</v>
      </c>
      <c r="C1068" s="12" t="s">
        <v>17</v>
      </c>
      <c r="D1068" s="12" t="s">
        <v>14</v>
      </c>
      <c r="E1068" s="12">
        <v>-1151</v>
      </c>
    </row>
    <row r="1069" spans="1:5">
      <c r="A1069" s="15">
        <v>43546</v>
      </c>
      <c r="B1069" s="13">
        <v>2510</v>
      </c>
      <c r="C1069" s="13" t="s">
        <v>24</v>
      </c>
      <c r="D1069" s="13" t="s">
        <v>6</v>
      </c>
      <c r="E1069" s="13">
        <v>-1184</v>
      </c>
    </row>
    <row r="1070" spans="1:5">
      <c r="A1070" s="14">
        <v>43546</v>
      </c>
      <c r="B1070" s="12">
        <v>2502</v>
      </c>
      <c r="C1070" s="12" t="s">
        <v>7</v>
      </c>
      <c r="D1070" s="12" t="s">
        <v>19</v>
      </c>
      <c r="E1070" s="12">
        <v>-4182</v>
      </c>
    </row>
    <row r="1071" spans="1:5">
      <c r="A1071" s="15">
        <v>43546</v>
      </c>
      <c r="B1071" s="13">
        <v>2510</v>
      </c>
      <c r="C1071" s="13" t="s">
        <v>24</v>
      </c>
      <c r="D1071" s="13" t="s">
        <v>19</v>
      </c>
      <c r="E1071" s="13">
        <v>-1244</v>
      </c>
    </row>
    <row r="1072" spans="1:5">
      <c r="A1072" s="14">
        <v>43546</v>
      </c>
      <c r="B1072" s="12">
        <v>2514</v>
      </c>
      <c r="C1072" s="12" t="s">
        <v>20</v>
      </c>
      <c r="D1072" s="12" t="s">
        <v>19</v>
      </c>
      <c r="E1072" s="12">
        <v>-857</v>
      </c>
    </row>
    <row r="1073" spans="1:5">
      <c r="A1073" s="15">
        <v>43547</v>
      </c>
      <c r="B1073" s="13">
        <v>1500</v>
      </c>
      <c r="C1073" s="13" t="s">
        <v>26</v>
      </c>
      <c r="D1073" s="13" t="s">
        <v>19</v>
      </c>
      <c r="E1073" s="13">
        <v>-40580</v>
      </c>
    </row>
    <row r="1074" spans="1:5">
      <c r="A1074" s="14">
        <v>43547</v>
      </c>
      <c r="B1074" s="12">
        <v>2502</v>
      </c>
      <c r="C1074" s="12" t="s">
        <v>7</v>
      </c>
      <c r="D1074" s="12" t="s">
        <v>12</v>
      </c>
      <c r="E1074" s="12">
        <v>-4669</v>
      </c>
    </row>
    <row r="1075" spans="1:5">
      <c r="A1075" s="15">
        <v>43547</v>
      </c>
      <c r="B1075" s="13">
        <v>2502</v>
      </c>
      <c r="C1075" s="13" t="s">
        <v>7</v>
      </c>
      <c r="D1075" s="13" t="s">
        <v>13</v>
      </c>
      <c r="E1075" s="13">
        <v>-3361</v>
      </c>
    </row>
    <row r="1076" spans="1:5">
      <c r="A1076" s="14">
        <v>43547</v>
      </c>
      <c r="B1076" s="12">
        <v>2505</v>
      </c>
      <c r="C1076" s="12" t="s">
        <v>9</v>
      </c>
      <c r="D1076" s="12" t="s">
        <v>12</v>
      </c>
      <c r="E1076" s="12">
        <v>-748</v>
      </c>
    </row>
    <row r="1077" spans="1:5">
      <c r="A1077" s="15">
        <v>43547</v>
      </c>
      <c r="B1077" s="13">
        <v>2506</v>
      </c>
      <c r="C1077" s="13" t="s">
        <v>27</v>
      </c>
      <c r="D1077" s="13" t="s">
        <v>8</v>
      </c>
      <c r="E1077" s="13">
        <v>-619</v>
      </c>
    </row>
    <row r="1078" spans="1:5">
      <c r="A1078" s="14">
        <v>43547</v>
      </c>
      <c r="B1078" s="12">
        <v>2513</v>
      </c>
      <c r="C1078" s="12" t="s">
        <v>17</v>
      </c>
      <c r="D1078" s="12" t="s">
        <v>14</v>
      </c>
      <c r="E1078" s="12">
        <v>-1188</v>
      </c>
    </row>
    <row r="1079" spans="1:5">
      <c r="A1079" s="15">
        <v>43547</v>
      </c>
      <c r="B1079" s="13">
        <v>2513</v>
      </c>
      <c r="C1079" s="13" t="s">
        <v>17</v>
      </c>
      <c r="D1079" s="13" t="s">
        <v>12</v>
      </c>
      <c r="E1079" s="13">
        <v>-1748</v>
      </c>
    </row>
    <row r="1080" spans="1:5">
      <c r="A1080" s="14">
        <v>43547</v>
      </c>
      <c r="B1080" s="12">
        <v>2514</v>
      </c>
      <c r="C1080" s="12" t="s">
        <v>20</v>
      </c>
      <c r="D1080" s="12" t="s">
        <v>6</v>
      </c>
      <c r="E1080" s="12">
        <v>-1185</v>
      </c>
    </row>
    <row r="1081" spans="1:5">
      <c r="A1081" s="15">
        <v>43547</v>
      </c>
      <c r="B1081" s="13">
        <v>2514</v>
      </c>
      <c r="C1081" s="13" t="s">
        <v>20</v>
      </c>
      <c r="D1081" s="13" t="s">
        <v>13</v>
      </c>
      <c r="E1081" s="13">
        <v>-928</v>
      </c>
    </row>
    <row r="1082" spans="1:5">
      <c r="A1082" s="14">
        <v>43547</v>
      </c>
      <c r="B1082" s="12">
        <v>2500</v>
      </c>
      <c r="C1082" s="12" t="s">
        <v>25</v>
      </c>
      <c r="D1082" s="12" t="s">
        <v>19</v>
      </c>
      <c r="E1082" s="12">
        <v>-19532</v>
      </c>
    </row>
    <row r="1083" spans="1:5">
      <c r="A1083" s="15">
        <v>43547</v>
      </c>
      <c r="B1083" s="13">
        <v>2514</v>
      </c>
      <c r="C1083" s="13" t="s">
        <v>20</v>
      </c>
      <c r="D1083" s="13" t="s">
        <v>19</v>
      </c>
      <c r="E1083" s="13">
        <v>-1009</v>
      </c>
    </row>
    <row r="1084" spans="1:5">
      <c r="A1084" s="14">
        <v>43547</v>
      </c>
      <c r="B1084" s="12">
        <v>2505</v>
      </c>
      <c r="C1084" s="12" t="s">
        <v>9</v>
      </c>
      <c r="D1084" s="12" t="s">
        <v>19</v>
      </c>
      <c r="E1084" s="12">
        <v>-523</v>
      </c>
    </row>
    <row r="1085" spans="1:5">
      <c r="A1085" s="15">
        <v>43547</v>
      </c>
      <c r="B1085" s="13">
        <v>2505</v>
      </c>
      <c r="C1085" s="13" t="s">
        <v>9</v>
      </c>
      <c r="D1085" s="13" t="s">
        <v>19</v>
      </c>
      <c r="E1085" s="13">
        <v>-384</v>
      </c>
    </row>
    <row r="1086" spans="1:5">
      <c r="A1086" s="14">
        <v>43547</v>
      </c>
      <c r="B1086" s="12">
        <v>2501</v>
      </c>
      <c r="C1086" s="12" t="s">
        <v>5</v>
      </c>
      <c r="D1086" s="12" t="s">
        <v>19</v>
      </c>
      <c r="E1086" s="12">
        <v>-123</v>
      </c>
    </row>
    <row r="1087" spans="1:5">
      <c r="A1087" s="15">
        <v>43548</v>
      </c>
      <c r="B1087" s="13">
        <v>2508</v>
      </c>
      <c r="C1087" s="13" t="s">
        <v>15</v>
      </c>
      <c r="D1087" s="13" t="s">
        <v>19</v>
      </c>
      <c r="E1087" s="13">
        <v>-46436</v>
      </c>
    </row>
    <row r="1088" spans="1:5">
      <c r="A1088" s="14">
        <v>43548</v>
      </c>
      <c r="B1088" s="12">
        <v>2501</v>
      </c>
      <c r="C1088" s="12" t="s">
        <v>5</v>
      </c>
      <c r="D1088" s="12" t="s">
        <v>12</v>
      </c>
      <c r="E1088" s="12">
        <v>-265</v>
      </c>
    </row>
    <row r="1089" spans="1:5">
      <c r="A1089" s="15">
        <v>43548</v>
      </c>
      <c r="B1089" s="13">
        <v>2505</v>
      </c>
      <c r="C1089" s="13" t="s">
        <v>9</v>
      </c>
      <c r="D1089" s="13" t="s">
        <v>6</v>
      </c>
      <c r="E1089" s="13">
        <v>-668</v>
      </c>
    </row>
    <row r="1090" spans="1:5">
      <c r="A1090" s="14">
        <v>43548</v>
      </c>
      <c r="B1090" s="12">
        <v>2505</v>
      </c>
      <c r="C1090" s="12" t="s">
        <v>9</v>
      </c>
      <c r="D1090" s="12" t="s">
        <v>8</v>
      </c>
      <c r="E1090" s="12">
        <v>-717</v>
      </c>
    </row>
    <row r="1091" spans="1:5">
      <c r="A1091" s="15">
        <v>43548</v>
      </c>
      <c r="B1091" s="13">
        <v>2506</v>
      </c>
      <c r="C1091" s="13" t="s">
        <v>27</v>
      </c>
      <c r="D1091" s="13" t="s">
        <v>8</v>
      </c>
      <c r="E1091" s="13">
        <v>-671</v>
      </c>
    </row>
    <row r="1092" spans="1:5">
      <c r="A1092" s="14">
        <v>43548</v>
      </c>
      <c r="B1092" s="12">
        <v>2508</v>
      </c>
      <c r="C1092" s="12" t="s">
        <v>15</v>
      </c>
      <c r="D1092" s="12" t="s">
        <v>14</v>
      </c>
      <c r="E1092" s="12">
        <v>-66013</v>
      </c>
    </row>
    <row r="1093" spans="1:5">
      <c r="A1093" s="15">
        <v>43548</v>
      </c>
      <c r="B1093" s="13">
        <v>2508</v>
      </c>
      <c r="C1093" s="13" t="s">
        <v>15</v>
      </c>
      <c r="D1093" s="13" t="s">
        <v>8</v>
      </c>
      <c r="E1093" s="13">
        <v>-67828</v>
      </c>
    </row>
    <row r="1094" spans="1:5">
      <c r="A1094" s="14">
        <v>43548</v>
      </c>
      <c r="B1094" s="12">
        <v>2512</v>
      </c>
      <c r="C1094" s="12" t="s">
        <v>16</v>
      </c>
      <c r="D1094" s="12" t="s">
        <v>19</v>
      </c>
      <c r="E1094" s="12">
        <v>-4275</v>
      </c>
    </row>
    <row r="1095" spans="1:5">
      <c r="A1095" s="15">
        <v>43548</v>
      </c>
      <c r="B1095" s="13">
        <v>2505</v>
      </c>
      <c r="C1095" s="13" t="s">
        <v>9</v>
      </c>
      <c r="D1095" s="13" t="s">
        <v>19</v>
      </c>
      <c r="E1095" s="13">
        <v>-545</v>
      </c>
    </row>
    <row r="1096" spans="1:5">
      <c r="A1096" s="14">
        <v>43549</v>
      </c>
      <c r="B1096" s="12">
        <v>2000</v>
      </c>
      <c r="C1096" s="12" t="s">
        <v>18</v>
      </c>
      <c r="D1096" s="12" t="s">
        <v>19</v>
      </c>
      <c r="E1096" s="12">
        <v>-295570</v>
      </c>
    </row>
    <row r="1097" spans="1:5">
      <c r="A1097" s="15">
        <v>43549</v>
      </c>
      <c r="B1097" s="13">
        <v>2500</v>
      </c>
      <c r="C1097" s="13" t="s">
        <v>25</v>
      </c>
      <c r="D1097" s="13" t="s">
        <v>19</v>
      </c>
      <c r="E1097" s="13">
        <v>-46294</v>
      </c>
    </row>
    <row r="1098" spans="1:5">
      <c r="A1098" s="14">
        <v>43549</v>
      </c>
      <c r="B1098" s="12">
        <v>2501</v>
      </c>
      <c r="C1098" s="12" t="s">
        <v>5</v>
      </c>
      <c r="D1098" s="12" t="s">
        <v>6</v>
      </c>
      <c r="E1098" s="12">
        <v>-123</v>
      </c>
    </row>
    <row r="1099" spans="1:5">
      <c r="A1099" s="15">
        <v>43549</v>
      </c>
      <c r="B1099" s="13">
        <v>2501</v>
      </c>
      <c r="C1099" s="13" t="s">
        <v>5</v>
      </c>
      <c r="D1099" s="13" t="s">
        <v>14</v>
      </c>
      <c r="E1099" s="13">
        <v>-141</v>
      </c>
    </row>
    <row r="1100" spans="1:5">
      <c r="A1100" s="14">
        <v>43549</v>
      </c>
      <c r="B1100" s="12">
        <v>2501</v>
      </c>
      <c r="C1100" s="12" t="s">
        <v>5</v>
      </c>
      <c r="D1100" s="12" t="s">
        <v>12</v>
      </c>
      <c r="E1100" s="12">
        <v>-272</v>
      </c>
    </row>
    <row r="1101" spans="1:5">
      <c r="A1101" s="15">
        <v>43549</v>
      </c>
      <c r="B1101" s="13">
        <v>2502</v>
      </c>
      <c r="C1101" s="13" t="s">
        <v>7</v>
      </c>
      <c r="D1101" s="13" t="s">
        <v>6</v>
      </c>
      <c r="E1101" s="13">
        <v>-5019</v>
      </c>
    </row>
    <row r="1102" spans="1:5">
      <c r="A1102" s="14">
        <v>43549</v>
      </c>
      <c r="B1102" s="12">
        <v>2512</v>
      </c>
      <c r="C1102" s="12" t="s">
        <v>16</v>
      </c>
      <c r="D1102" s="12" t="s">
        <v>12</v>
      </c>
      <c r="E1102" s="12">
        <v>-1211</v>
      </c>
    </row>
    <row r="1103" spans="1:5">
      <c r="A1103" s="15">
        <v>43549</v>
      </c>
      <c r="B1103" s="13">
        <v>2513</v>
      </c>
      <c r="C1103" s="13" t="s">
        <v>17</v>
      </c>
      <c r="D1103" s="13" t="s">
        <v>10</v>
      </c>
      <c r="E1103" s="13">
        <v>-1307</v>
      </c>
    </row>
    <row r="1104" spans="1:5">
      <c r="A1104" s="14">
        <v>43549</v>
      </c>
      <c r="B1104" s="12">
        <v>2514</v>
      </c>
      <c r="C1104" s="12" t="s">
        <v>20</v>
      </c>
      <c r="D1104" s="12" t="s">
        <v>10</v>
      </c>
      <c r="E1104" s="12">
        <v>-1153</v>
      </c>
    </row>
    <row r="1105" spans="1:5">
      <c r="A1105" s="15">
        <v>43549</v>
      </c>
      <c r="B1105" s="13">
        <v>2510</v>
      </c>
      <c r="C1105" s="13" t="s">
        <v>24</v>
      </c>
      <c r="D1105" s="13" t="s">
        <v>10</v>
      </c>
      <c r="E1105" s="13">
        <v>-1437</v>
      </c>
    </row>
    <row r="1106" spans="1:5">
      <c r="A1106" s="14">
        <v>43549</v>
      </c>
      <c r="B1106" s="12">
        <v>1500</v>
      </c>
      <c r="C1106" s="12" t="s">
        <v>26</v>
      </c>
      <c r="D1106" s="12" t="s">
        <v>19</v>
      </c>
      <c r="E1106" s="12">
        <v>-12857</v>
      </c>
    </row>
    <row r="1107" spans="1:5">
      <c r="A1107" s="15">
        <v>43550</v>
      </c>
      <c r="B1107" s="13">
        <v>2502</v>
      </c>
      <c r="C1107" s="13" t="s">
        <v>7</v>
      </c>
      <c r="D1107" s="13" t="s">
        <v>13</v>
      </c>
      <c r="E1107" s="13">
        <v>-3684</v>
      </c>
    </row>
    <row r="1108" spans="1:5">
      <c r="A1108" s="14">
        <v>43550</v>
      </c>
      <c r="B1108" s="12">
        <v>2505</v>
      </c>
      <c r="C1108" s="12" t="s">
        <v>9</v>
      </c>
      <c r="D1108" s="12" t="s">
        <v>10</v>
      </c>
      <c r="E1108" s="12">
        <v>-665</v>
      </c>
    </row>
    <row r="1109" spans="1:5">
      <c r="A1109" s="15">
        <v>43550</v>
      </c>
      <c r="B1109" s="13">
        <v>2510</v>
      </c>
      <c r="C1109" s="13" t="s">
        <v>24</v>
      </c>
      <c r="D1109" s="13" t="s">
        <v>14</v>
      </c>
      <c r="E1109" s="13">
        <v>-1113</v>
      </c>
    </row>
    <row r="1110" spans="1:5">
      <c r="A1110" s="14">
        <v>43550</v>
      </c>
      <c r="B1110" s="12">
        <v>2512</v>
      </c>
      <c r="C1110" s="12" t="s">
        <v>16</v>
      </c>
      <c r="D1110" s="12" t="s">
        <v>19</v>
      </c>
      <c r="E1110" s="12">
        <v>-9100</v>
      </c>
    </row>
    <row r="1111" spans="1:5">
      <c r="A1111" s="15">
        <v>43550</v>
      </c>
      <c r="B1111" s="13">
        <v>1500</v>
      </c>
      <c r="C1111" s="13" t="s">
        <v>26</v>
      </c>
      <c r="D1111" s="13" t="s">
        <v>19</v>
      </c>
      <c r="E1111" s="13">
        <v>-8126</v>
      </c>
    </row>
    <row r="1112" spans="1:5">
      <c r="A1112" s="14">
        <v>43550</v>
      </c>
      <c r="B1112" s="12">
        <v>2502</v>
      </c>
      <c r="C1112" s="12" t="s">
        <v>7</v>
      </c>
      <c r="D1112" s="12" t="s">
        <v>19</v>
      </c>
      <c r="E1112" s="12">
        <v>-5833</v>
      </c>
    </row>
    <row r="1113" spans="1:5">
      <c r="A1113" s="15">
        <v>43551</v>
      </c>
      <c r="B1113" s="13">
        <v>2000</v>
      </c>
      <c r="C1113" s="13" t="s">
        <v>18</v>
      </c>
      <c r="D1113" s="13" t="s">
        <v>19</v>
      </c>
      <c r="E1113" s="13">
        <v>-278739</v>
      </c>
    </row>
    <row r="1114" spans="1:5">
      <c r="A1114" s="14">
        <v>43551</v>
      </c>
      <c r="B1114" s="12">
        <v>2502</v>
      </c>
      <c r="C1114" s="12" t="s">
        <v>7</v>
      </c>
      <c r="D1114" s="12" t="s">
        <v>10</v>
      </c>
      <c r="E1114" s="12">
        <v>-2907</v>
      </c>
    </row>
    <row r="1115" spans="1:5">
      <c r="A1115" s="15">
        <v>43551</v>
      </c>
      <c r="B1115" s="13">
        <v>2508</v>
      </c>
      <c r="C1115" s="13" t="s">
        <v>15</v>
      </c>
      <c r="D1115" s="13" t="s">
        <v>10</v>
      </c>
      <c r="E1115" s="13">
        <v>-71992</v>
      </c>
    </row>
    <row r="1116" spans="1:5">
      <c r="A1116" s="14">
        <v>43551</v>
      </c>
      <c r="B1116" s="12">
        <v>2508</v>
      </c>
      <c r="C1116" s="12" t="s">
        <v>15</v>
      </c>
      <c r="D1116" s="12" t="s">
        <v>12</v>
      </c>
      <c r="E1116" s="12">
        <v>-107718</v>
      </c>
    </row>
    <row r="1117" spans="1:5">
      <c r="A1117" s="15">
        <v>43551</v>
      </c>
      <c r="B1117" s="13">
        <v>2510</v>
      </c>
      <c r="C1117" s="13" t="s">
        <v>24</v>
      </c>
      <c r="D1117" s="13" t="s">
        <v>13</v>
      </c>
      <c r="E1117" s="13">
        <v>-606</v>
      </c>
    </row>
    <row r="1118" spans="1:5">
      <c r="A1118" s="14">
        <v>43551</v>
      </c>
      <c r="B1118" s="12">
        <v>2502</v>
      </c>
      <c r="C1118" s="12" t="s">
        <v>7</v>
      </c>
      <c r="D1118" s="12" t="s">
        <v>19</v>
      </c>
      <c r="E1118" s="12">
        <v>-3424</v>
      </c>
    </row>
    <row r="1119" spans="1:5">
      <c r="A1119" s="15">
        <v>43551</v>
      </c>
      <c r="B1119" s="13">
        <v>2510</v>
      </c>
      <c r="C1119" s="13" t="s">
        <v>24</v>
      </c>
      <c r="D1119" s="13" t="s">
        <v>19</v>
      </c>
      <c r="E1119" s="13">
        <v>-1208</v>
      </c>
    </row>
    <row r="1120" spans="1:5">
      <c r="A1120" s="14">
        <v>43551</v>
      </c>
      <c r="B1120" s="12">
        <v>2514</v>
      </c>
      <c r="C1120" s="12" t="s">
        <v>20</v>
      </c>
      <c r="D1120" s="12" t="s">
        <v>19</v>
      </c>
      <c r="E1120" s="12">
        <v>-1029</v>
      </c>
    </row>
    <row r="1121" spans="1:5">
      <c r="A1121" s="15">
        <v>43551</v>
      </c>
      <c r="B1121" s="13">
        <v>2514</v>
      </c>
      <c r="C1121" s="13" t="s">
        <v>20</v>
      </c>
      <c r="D1121" s="13" t="s">
        <v>19</v>
      </c>
      <c r="E1121" s="13">
        <v>-943</v>
      </c>
    </row>
    <row r="1122" spans="1:5">
      <c r="A1122" s="14">
        <v>43551</v>
      </c>
      <c r="B1122" s="12">
        <v>2513</v>
      </c>
      <c r="C1122" s="12" t="s">
        <v>17</v>
      </c>
      <c r="D1122" s="12" t="s">
        <v>19</v>
      </c>
      <c r="E1122" s="12">
        <v>-370</v>
      </c>
    </row>
    <row r="1123" spans="1:5">
      <c r="A1123" s="15">
        <v>43551</v>
      </c>
      <c r="B1123" s="13">
        <v>2503</v>
      </c>
      <c r="C1123" s="13" t="s">
        <v>22</v>
      </c>
      <c r="D1123" s="13" t="s">
        <v>19</v>
      </c>
      <c r="E1123" s="13">
        <v>-267</v>
      </c>
    </row>
    <row r="1124" spans="1:5">
      <c r="A1124" s="14">
        <v>43551</v>
      </c>
      <c r="B1124" s="12">
        <v>2501</v>
      </c>
      <c r="C1124" s="12" t="s">
        <v>5</v>
      </c>
      <c r="D1124" s="12" t="s">
        <v>19</v>
      </c>
      <c r="E1124" s="12">
        <v>-154</v>
      </c>
    </row>
    <row r="1125" spans="1:5">
      <c r="A1125" s="15">
        <v>43552</v>
      </c>
      <c r="B1125" s="13">
        <v>2503</v>
      </c>
      <c r="C1125" s="13" t="s">
        <v>22</v>
      </c>
      <c r="D1125" s="13" t="s">
        <v>14</v>
      </c>
      <c r="E1125" s="13">
        <v>-337</v>
      </c>
    </row>
    <row r="1126" spans="1:5">
      <c r="A1126" s="14">
        <v>43552</v>
      </c>
      <c r="B1126" s="12">
        <v>2508</v>
      </c>
      <c r="C1126" s="12" t="s">
        <v>15</v>
      </c>
      <c r="D1126" s="12" t="s">
        <v>10</v>
      </c>
      <c r="E1126" s="12">
        <v>-61061</v>
      </c>
    </row>
    <row r="1127" spans="1:5">
      <c r="A1127" s="15">
        <v>43552</v>
      </c>
      <c r="B1127" s="13">
        <v>2510</v>
      </c>
      <c r="C1127" s="13" t="s">
        <v>24</v>
      </c>
      <c r="D1127" s="13" t="s">
        <v>13</v>
      </c>
      <c r="E1127" s="13">
        <v>-1419</v>
      </c>
    </row>
    <row r="1128" spans="1:5">
      <c r="A1128" s="14">
        <v>43552</v>
      </c>
      <c r="B1128" s="12">
        <v>1500</v>
      </c>
      <c r="C1128" s="12" t="s">
        <v>26</v>
      </c>
      <c r="D1128" s="12" t="s">
        <v>19</v>
      </c>
      <c r="E1128" s="12">
        <v>-17061</v>
      </c>
    </row>
    <row r="1129" spans="1:5">
      <c r="A1129" s="15">
        <v>43552</v>
      </c>
      <c r="B1129" s="13">
        <v>2500</v>
      </c>
      <c r="C1129" s="13" t="s">
        <v>25</v>
      </c>
      <c r="D1129" s="13" t="s">
        <v>19</v>
      </c>
      <c r="E1129" s="13">
        <v>-13555</v>
      </c>
    </row>
    <row r="1130" spans="1:5">
      <c r="A1130" s="14">
        <v>43552</v>
      </c>
      <c r="B1130" s="12">
        <v>2510</v>
      </c>
      <c r="C1130" s="12" t="s">
        <v>24</v>
      </c>
      <c r="D1130" s="12" t="s">
        <v>19</v>
      </c>
      <c r="E1130" s="12">
        <v>-1072</v>
      </c>
    </row>
    <row r="1131" spans="1:5">
      <c r="A1131" s="15">
        <v>43552</v>
      </c>
      <c r="B1131" s="13">
        <v>2510</v>
      </c>
      <c r="C1131" s="13" t="s">
        <v>24</v>
      </c>
      <c r="D1131" s="13" t="s">
        <v>19</v>
      </c>
      <c r="E1131" s="13">
        <v>-556</v>
      </c>
    </row>
    <row r="1132" spans="1:5">
      <c r="A1132" s="14">
        <v>43552</v>
      </c>
      <c r="B1132" s="12">
        <v>2505</v>
      </c>
      <c r="C1132" s="12" t="s">
        <v>9</v>
      </c>
      <c r="D1132" s="12" t="s">
        <v>19</v>
      </c>
      <c r="E1132" s="12">
        <v>-388</v>
      </c>
    </row>
    <row r="1133" spans="1:5">
      <c r="A1133" s="15">
        <v>43553</v>
      </c>
      <c r="B1133" s="13">
        <v>2508</v>
      </c>
      <c r="C1133" s="13" t="s">
        <v>15</v>
      </c>
      <c r="D1133" s="13" t="s">
        <v>19</v>
      </c>
      <c r="E1133" s="13">
        <v>-52330</v>
      </c>
    </row>
    <row r="1134" spans="1:5">
      <c r="A1134" s="14">
        <v>43553</v>
      </c>
      <c r="B1134" s="12">
        <v>2502</v>
      </c>
      <c r="C1134" s="12" t="s">
        <v>7</v>
      </c>
      <c r="D1134" s="12" t="s">
        <v>8</v>
      </c>
      <c r="E1134" s="12">
        <v>-3906</v>
      </c>
    </row>
    <row r="1135" spans="1:5">
      <c r="A1135" s="15">
        <v>43553</v>
      </c>
      <c r="B1135" s="13">
        <v>2505</v>
      </c>
      <c r="C1135" s="13" t="s">
        <v>9</v>
      </c>
      <c r="D1135" s="13" t="s">
        <v>8</v>
      </c>
      <c r="E1135" s="13">
        <v>-525</v>
      </c>
    </row>
    <row r="1136" spans="1:5">
      <c r="A1136" s="14">
        <v>43553</v>
      </c>
      <c r="B1136" s="12">
        <v>2508</v>
      </c>
      <c r="C1136" s="12" t="s">
        <v>15</v>
      </c>
      <c r="D1136" s="12" t="s">
        <v>13</v>
      </c>
      <c r="E1136" s="12">
        <v>-41391</v>
      </c>
    </row>
    <row r="1137" spans="1:5">
      <c r="A1137" s="15">
        <v>43553</v>
      </c>
      <c r="B1137" s="13">
        <v>2512</v>
      </c>
      <c r="C1137" s="13" t="s">
        <v>16</v>
      </c>
      <c r="D1137" s="13" t="s">
        <v>14</v>
      </c>
      <c r="E1137" s="13">
        <v>-4103</v>
      </c>
    </row>
    <row r="1138" spans="1:5">
      <c r="A1138" s="14">
        <v>43553</v>
      </c>
      <c r="B1138" s="12">
        <v>2500</v>
      </c>
      <c r="C1138" s="12" t="s">
        <v>25</v>
      </c>
      <c r="D1138" s="12" t="s">
        <v>19</v>
      </c>
      <c r="E1138" s="12">
        <v>-22167</v>
      </c>
    </row>
    <row r="1139" spans="1:5">
      <c r="A1139" s="15">
        <v>43553</v>
      </c>
      <c r="B1139" s="13">
        <v>2510</v>
      </c>
      <c r="C1139" s="13" t="s">
        <v>24</v>
      </c>
      <c r="D1139" s="13" t="s">
        <v>13</v>
      </c>
      <c r="E1139" s="13">
        <v>-962</v>
      </c>
    </row>
    <row r="1140" spans="1:5">
      <c r="A1140" s="14">
        <v>43553</v>
      </c>
      <c r="B1140" s="12">
        <v>2510</v>
      </c>
      <c r="C1140" s="12" t="s">
        <v>24</v>
      </c>
      <c r="D1140" s="12" t="s">
        <v>14</v>
      </c>
      <c r="E1140" s="12">
        <v>-1061</v>
      </c>
    </row>
    <row r="1141" spans="1:5">
      <c r="A1141" s="15">
        <v>43553</v>
      </c>
      <c r="B1141" s="13">
        <v>2512</v>
      </c>
      <c r="C1141" s="13" t="s">
        <v>16</v>
      </c>
      <c r="D1141" s="13" t="s">
        <v>19</v>
      </c>
      <c r="E1141" s="13">
        <v>-9696</v>
      </c>
    </row>
    <row r="1142" spans="1:5">
      <c r="A1142" s="14">
        <v>43553</v>
      </c>
      <c r="B1142" s="12">
        <v>2513</v>
      </c>
      <c r="C1142" s="12" t="s">
        <v>17</v>
      </c>
      <c r="D1142" s="12" t="s">
        <v>19</v>
      </c>
      <c r="E1142" s="12">
        <v>-967</v>
      </c>
    </row>
    <row r="1143" spans="1:5">
      <c r="A1143" s="15">
        <v>43553</v>
      </c>
      <c r="B1143" s="13">
        <v>2513</v>
      </c>
      <c r="C1143" s="13" t="s">
        <v>17</v>
      </c>
      <c r="D1143" s="13" t="s">
        <v>19</v>
      </c>
      <c r="E1143" s="13">
        <v>-840</v>
      </c>
    </row>
    <row r="1144" spans="1:5">
      <c r="A1144" s="14">
        <v>43553</v>
      </c>
      <c r="B1144" s="12">
        <v>2514</v>
      </c>
      <c r="C1144" s="12" t="s">
        <v>20</v>
      </c>
      <c r="D1144" s="12" t="s">
        <v>19</v>
      </c>
      <c r="E1144" s="12">
        <v>-742</v>
      </c>
    </row>
    <row r="1145" spans="1:5">
      <c r="A1145" s="15">
        <v>43553</v>
      </c>
      <c r="B1145" s="13">
        <v>2513</v>
      </c>
      <c r="C1145" s="13" t="s">
        <v>17</v>
      </c>
      <c r="D1145" s="13" t="s">
        <v>19</v>
      </c>
      <c r="E1145" s="13">
        <v>-333</v>
      </c>
    </row>
    <row r="1146" spans="1:5">
      <c r="A1146" s="14">
        <v>43553</v>
      </c>
      <c r="B1146" s="12">
        <v>1000</v>
      </c>
      <c r="C1146" s="12" t="s">
        <v>23</v>
      </c>
      <c r="D1146" s="12" t="s">
        <v>19</v>
      </c>
      <c r="E1146" s="12">
        <v>576433</v>
      </c>
    </row>
    <row r="1147" spans="1:5">
      <c r="A1147" s="15">
        <v>43554</v>
      </c>
      <c r="B1147" s="13">
        <v>1500</v>
      </c>
      <c r="C1147" s="13" t="s">
        <v>26</v>
      </c>
      <c r="D1147" s="13" t="s">
        <v>19</v>
      </c>
      <c r="E1147" s="13">
        <v>-37393</v>
      </c>
    </row>
    <row r="1148" spans="1:5">
      <c r="A1148" s="14">
        <v>43554</v>
      </c>
      <c r="B1148" s="12">
        <v>2502</v>
      </c>
      <c r="C1148" s="12" t="s">
        <v>7</v>
      </c>
      <c r="D1148" s="12" t="s">
        <v>8</v>
      </c>
      <c r="E1148" s="12">
        <v>-3704</v>
      </c>
    </row>
    <row r="1149" spans="1:5">
      <c r="A1149" s="15">
        <v>43554</v>
      </c>
      <c r="B1149" s="13">
        <v>2505</v>
      </c>
      <c r="C1149" s="13" t="s">
        <v>9</v>
      </c>
      <c r="D1149" s="13" t="s">
        <v>6</v>
      </c>
      <c r="E1149" s="13">
        <v>-668</v>
      </c>
    </row>
    <row r="1150" spans="1:5">
      <c r="A1150" s="14">
        <v>43554</v>
      </c>
      <c r="B1150" s="12">
        <v>2508</v>
      </c>
      <c r="C1150" s="12" t="s">
        <v>15</v>
      </c>
      <c r="D1150" s="12" t="s">
        <v>12</v>
      </c>
      <c r="E1150" s="12">
        <v>-92992</v>
      </c>
    </row>
    <row r="1151" spans="1:5">
      <c r="A1151" s="15">
        <v>43554</v>
      </c>
      <c r="B1151" s="13">
        <v>2508</v>
      </c>
      <c r="C1151" s="13" t="s">
        <v>15</v>
      </c>
      <c r="D1151" s="13" t="s">
        <v>10</v>
      </c>
      <c r="E1151" s="13">
        <v>-76822</v>
      </c>
    </row>
    <row r="1152" spans="1:5">
      <c r="A1152" s="14">
        <v>43554</v>
      </c>
      <c r="B1152" s="12">
        <v>2512</v>
      </c>
      <c r="C1152" s="12" t="s">
        <v>16</v>
      </c>
      <c r="D1152" s="12" t="s">
        <v>14</v>
      </c>
      <c r="E1152" s="12">
        <v>-1737</v>
      </c>
    </row>
    <row r="1153" spans="1:5">
      <c r="A1153" s="15">
        <v>43554</v>
      </c>
      <c r="B1153" s="13">
        <v>2502</v>
      </c>
      <c r="C1153" s="13" t="s">
        <v>7</v>
      </c>
      <c r="D1153" s="13" t="s">
        <v>19</v>
      </c>
      <c r="E1153" s="13">
        <v>-3805</v>
      </c>
    </row>
    <row r="1154" spans="1:5">
      <c r="A1154" s="14">
        <v>43554</v>
      </c>
      <c r="B1154" s="12">
        <v>2505</v>
      </c>
      <c r="C1154" s="12" t="s">
        <v>9</v>
      </c>
      <c r="D1154" s="12" t="s">
        <v>19</v>
      </c>
      <c r="E1154" s="12">
        <v>-587</v>
      </c>
    </row>
    <row r="1155" spans="1:5">
      <c r="A1155" s="15">
        <v>43554</v>
      </c>
      <c r="B1155" s="13">
        <v>2501</v>
      </c>
      <c r="C1155" s="13" t="s">
        <v>5</v>
      </c>
      <c r="D1155" s="13" t="s">
        <v>19</v>
      </c>
      <c r="E1155" s="13">
        <v>-71</v>
      </c>
    </row>
    <row r="1156" spans="1:5">
      <c r="A1156" s="14">
        <v>43554</v>
      </c>
      <c r="B1156" s="12">
        <v>1000</v>
      </c>
      <c r="C1156" s="12" t="s">
        <v>23</v>
      </c>
      <c r="D1156" s="12" t="s">
        <v>19</v>
      </c>
      <c r="E1156" s="12">
        <v>640649</v>
      </c>
    </row>
    <row r="1157" spans="1:5">
      <c r="A1157" s="15">
        <v>43554</v>
      </c>
      <c r="B1157" s="13">
        <v>1000</v>
      </c>
      <c r="C1157" s="13" t="s">
        <v>23</v>
      </c>
      <c r="D1157" s="13" t="s">
        <v>19</v>
      </c>
      <c r="E1157" s="13">
        <v>985722</v>
      </c>
    </row>
    <row r="1158" spans="1:5">
      <c r="A1158" s="14">
        <v>43554</v>
      </c>
      <c r="B1158" s="12">
        <v>1000</v>
      </c>
      <c r="C1158" s="12" t="s">
        <v>23</v>
      </c>
      <c r="D1158" s="12" t="s">
        <v>19</v>
      </c>
      <c r="E1158" s="12">
        <v>1309419</v>
      </c>
    </row>
    <row r="1159" spans="1:5">
      <c r="A1159" s="15">
        <v>43555</v>
      </c>
      <c r="B1159" s="13">
        <v>1500</v>
      </c>
      <c r="C1159" s="13" t="s">
        <v>26</v>
      </c>
      <c r="D1159" s="13" t="s">
        <v>19</v>
      </c>
      <c r="E1159" s="13">
        <v>-49015</v>
      </c>
    </row>
    <row r="1160" spans="1:5">
      <c r="A1160" s="14">
        <v>43555</v>
      </c>
      <c r="B1160" s="12">
        <v>2501</v>
      </c>
      <c r="C1160" s="12" t="s">
        <v>5</v>
      </c>
      <c r="D1160" s="12" t="s">
        <v>12</v>
      </c>
      <c r="E1160" s="12">
        <v>-212</v>
      </c>
    </row>
    <row r="1161" spans="1:5">
      <c r="A1161" s="15">
        <v>43555</v>
      </c>
      <c r="B1161" s="13">
        <v>2501</v>
      </c>
      <c r="C1161" s="13" t="s">
        <v>5</v>
      </c>
      <c r="D1161" s="13" t="s">
        <v>12</v>
      </c>
      <c r="E1161" s="13">
        <v>-297</v>
      </c>
    </row>
    <row r="1162" spans="1:5">
      <c r="A1162" s="14">
        <v>43555</v>
      </c>
      <c r="B1162" s="12">
        <v>2502</v>
      </c>
      <c r="C1162" s="12" t="s">
        <v>7</v>
      </c>
      <c r="D1162" s="12" t="s">
        <v>13</v>
      </c>
      <c r="E1162" s="12">
        <v>-4026</v>
      </c>
    </row>
    <row r="1163" spans="1:5">
      <c r="A1163" s="15">
        <v>43555</v>
      </c>
      <c r="B1163" s="13">
        <v>2502</v>
      </c>
      <c r="C1163" s="13" t="s">
        <v>7</v>
      </c>
      <c r="D1163" s="13" t="s">
        <v>14</v>
      </c>
      <c r="E1163" s="13">
        <v>-5111</v>
      </c>
    </row>
    <row r="1164" spans="1:5">
      <c r="A1164" s="14">
        <v>43555</v>
      </c>
      <c r="B1164" s="12">
        <v>2506</v>
      </c>
      <c r="C1164" s="12" t="s">
        <v>27</v>
      </c>
      <c r="D1164" s="12" t="s">
        <v>8</v>
      </c>
      <c r="E1164" s="12">
        <v>-466</v>
      </c>
    </row>
    <row r="1165" spans="1:5">
      <c r="A1165" s="15">
        <v>43555</v>
      </c>
      <c r="B1165" s="13">
        <v>2508</v>
      </c>
      <c r="C1165" s="13" t="s">
        <v>15</v>
      </c>
      <c r="D1165" s="13" t="s">
        <v>12</v>
      </c>
      <c r="E1165" s="13">
        <v>-85320</v>
      </c>
    </row>
    <row r="1166" spans="1:5">
      <c r="A1166" s="14">
        <v>43555</v>
      </c>
      <c r="B1166" s="12">
        <v>2514</v>
      </c>
      <c r="C1166" s="12" t="s">
        <v>20</v>
      </c>
      <c r="D1166" s="12" t="s">
        <v>13</v>
      </c>
      <c r="E1166" s="12">
        <v>-773</v>
      </c>
    </row>
    <row r="1167" spans="1:5">
      <c r="A1167" s="15">
        <v>43555</v>
      </c>
      <c r="B1167" s="13">
        <v>2510</v>
      </c>
      <c r="C1167" s="13" t="s">
        <v>24</v>
      </c>
      <c r="D1167" s="13" t="s">
        <v>13</v>
      </c>
      <c r="E1167" s="13">
        <v>-850</v>
      </c>
    </row>
    <row r="1168" spans="1:5">
      <c r="A1168" s="14">
        <v>43555</v>
      </c>
      <c r="B1168" s="12">
        <v>2512</v>
      </c>
      <c r="C1168" s="12" t="s">
        <v>16</v>
      </c>
      <c r="D1168" s="12" t="s">
        <v>19</v>
      </c>
      <c r="E1168" s="12">
        <v>-6020</v>
      </c>
    </row>
    <row r="1169" spans="1:5">
      <c r="A1169" s="15">
        <v>43555</v>
      </c>
      <c r="B1169" s="13">
        <v>2510</v>
      </c>
      <c r="C1169" s="13" t="s">
        <v>24</v>
      </c>
      <c r="D1169" s="13" t="s">
        <v>19</v>
      </c>
      <c r="E1169" s="13">
        <v>-1185</v>
      </c>
    </row>
    <row r="1170" spans="1:5">
      <c r="A1170" s="14">
        <v>43555</v>
      </c>
      <c r="B1170" s="12">
        <v>2505</v>
      </c>
      <c r="C1170" s="12" t="s">
        <v>9</v>
      </c>
      <c r="D1170" s="12" t="s">
        <v>19</v>
      </c>
      <c r="E1170" s="12">
        <v>-421</v>
      </c>
    </row>
    <row r="1171" spans="1:5">
      <c r="A1171" s="15">
        <v>43555</v>
      </c>
      <c r="B1171" s="13">
        <v>2505</v>
      </c>
      <c r="C1171" s="13" t="s">
        <v>9</v>
      </c>
      <c r="D1171" s="13" t="s">
        <v>19</v>
      </c>
      <c r="E1171" s="13">
        <v>-349</v>
      </c>
    </row>
    <row r="1172" spans="1:5">
      <c r="A1172" s="14">
        <v>43555</v>
      </c>
      <c r="B1172" s="12">
        <v>2501</v>
      </c>
      <c r="C1172" s="12" t="s">
        <v>5</v>
      </c>
      <c r="D1172" s="12" t="s">
        <v>19</v>
      </c>
      <c r="E1172" s="12">
        <v>-143</v>
      </c>
    </row>
    <row r="1173" spans="1:5">
      <c r="A1173" s="15">
        <v>43556</v>
      </c>
      <c r="B1173" s="13">
        <v>2508</v>
      </c>
      <c r="C1173" s="13" t="s">
        <v>15</v>
      </c>
      <c r="D1173" s="13" t="s">
        <v>19</v>
      </c>
      <c r="E1173" s="13">
        <v>-58942</v>
      </c>
    </row>
    <row r="1174" spans="1:5">
      <c r="A1174" s="14">
        <v>43556</v>
      </c>
      <c r="B1174" s="12">
        <v>2508</v>
      </c>
      <c r="C1174" s="12" t="s">
        <v>15</v>
      </c>
      <c r="D1174" s="12" t="s">
        <v>19</v>
      </c>
      <c r="E1174" s="12">
        <v>-46821</v>
      </c>
    </row>
    <row r="1175" spans="1:5">
      <c r="A1175" s="15">
        <v>43556</v>
      </c>
      <c r="B1175" s="13">
        <v>2500</v>
      </c>
      <c r="C1175" s="13" t="s">
        <v>25</v>
      </c>
      <c r="D1175" s="13" t="s">
        <v>19</v>
      </c>
      <c r="E1175" s="13">
        <v>-43405</v>
      </c>
    </row>
    <row r="1176" spans="1:5">
      <c r="A1176" s="14">
        <v>43556</v>
      </c>
      <c r="B1176" s="12">
        <v>2501</v>
      </c>
      <c r="C1176" s="12" t="s">
        <v>5</v>
      </c>
      <c r="D1176" s="12" t="s">
        <v>12</v>
      </c>
      <c r="E1176" s="12">
        <v>-268</v>
      </c>
    </row>
    <row r="1177" spans="1:5">
      <c r="A1177" s="15">
        <v>43556</v>
      </c>
      <c r="B1177" s="13">
        <v>2502</v>
      </c>
      <c r="C1177" s="13" t="s">
        <v>7</v>
      </c>
      <c r="D1177" s="13" t="s">
        <v>12</v>
      </c>
      <c r="E1177" s="13">
        <v>-9635</v>
      </c>
    </row>
    <row r="1178" spans="1:5">
      <c r="A1178" s="14">
        <v>43556</v>
      </c>
      <c r="B1178" s="12">
        <v>2502</v>
      </c>
      <c r="C1178" s="12" t="s">
        <v>7</v>
      </c>
      <c r="D1178" s="12" t="s">
        <v>10</v>
      </c>
      <c r="E1178" s="12">
        <v>-5229</v>
      </c>
    </row>
    <row r="1179" spans="1:5">
      <c r="A1179" s="15">
        <v>43556</v>
      </c>
      <c r="B1179" s="13">
        <v>2503</v>
      </c>
      <c r="C1179" s="13" t="s">
        <v>22</v>
      </c>
      <c r="D1179" s="13" t="s">
        <v>10</v>
      </c>
      <c r="E1179" s="13">
        <v>-396</v>
      </c>
    </row>
    <row r="1180" spans="1:5">
      <c r="A1180" s="14">
        <v>43556</v>
      </c>
      <c r="B1180" s="12">
        <v>2507</v>
      </c>
      <c r="C1180" s="12" t="s">
        <v>11</v>
      </c>
      <c r="D1180" s="12" t="s">
        <v>12</v>
      </c>
      <c r="E1180" s="12">
        <v>-2320</v>
      </c>
    </row>
    <row r="1181" spans="1:5">
      <c r="A1181" s="15">
        <v>43556</v>
      </c>
      <c r="B1181" s="13">
        <v>2507</v>
      </c>
      <c r="C1181" s="13" t="s">
        <v>11</v>
      </c>
      <c r="D1181" s="13" t="s">
        <v>13</v>
      </c>
      <c r="E1181" s="13">
        <v>-2020</v>
      </c>
    </row>
    <row r="1182" spans="1:5">
      <c r="A1182" s="14">
        <v>43556</v>
      </c>
      <c r="B1182" s="12">
        <v>2507</v>
      </c>
      <c r="C1182" s="12" t="s">
        <v>11</v>
      </c>
      <c r="D1182" s="12" t="s">
        <v>8</v>
      </c>
      <c r="E1182" s="12">
        <v>-1940</v>
      </c>
    </row>
    <row r="1183" spans="1:5">
      <c r="A1183" s="15">
        <v>43556</v>
      </c>
      <c r="B1183" s="13">
        <v>2507</v>
      </c>
      <c r="C1183" s="13" t="s">
        <v>11</v>
      </c>
      <c r="D1183" s="13" t="s">
        <v>10</v>
      </c>
      <c r="E1183" s="13">
        <v>-1550</v>
      </c>
    </row>
    <row r="1184" spans="1:5">
      <c r="A1184" s="14">
        <v>43556</v>
      </c>
      <c r="B1184" s="12">
        <v>2507</v>
      </c>
      <c r="C1184" s="12" t="s">
        <v>11</v>
      </c>
      <c r="D1184" s="12" t="s">
        <v>6</v>
      </c>
      <c r="E1184" s="12">
        <v>-1730</v>
      </c>
    </row>
    <row r="1185" spans="1:5">
      <c r="A1185" s="15">
        <v>43556</v>
      </c>
      <c r="B1185" s="13">
        <v>2507</v>
      </c>
      <c r="C1185" s="13" t="s">
        <v>11</v>
      </c>
      <c r="D1185" s="13" t="s">
        <v>14</v>
      </c>
      <c r="E1185" s="13">
        <v>-1130</v>
      </c>
    </row>
    <row r="1186" spans="1:5">
      <c r="A1186" s="14">
        <v>43556</v>
      </c>
      <c r="B1186" s="12">
        <v>2508</v>
      </c>
      <c r="C1186" s="12" t="s">
        <v>15</v>
      </c>
      <c r="D1186" s="12" t="s">
        <v>8</v>
      </c>
      <c r="E1186" s="12">
        <v>-57751</v>
      </c>
    </row>
    <row r="1187" spans="1:5">
      <c r="A1187" s="15">
        <v>43556</v>
      </c>
      <c r="B1187" s="13">
        <v>2508</v>
      </c>
      <c r="C1187" s="13" t="s">
        <v>15</v>
      </c>
      <c r="D1187" s="13" t="s">
        <v>14</v>
      </c>
      <c r="E1187" s="13">
        <v>-59806</v>
      </c>
    </row>
    <row r="1188" spans="1:5">
      <c r="A1188" s="14">
        <v>43556</v>
      </c>
      <c r="B1188" s="12">
        <v>2512</v>
      </c>
      <c r="C1188" s="12" t="s">
        <v>16</v>
      </c>
      <c r="D1188" s="12" t="s">
        <v>13</v>
      </c>
      <c r="E1188" s="12">
        <v>-603</v>
      </c>
    </row>
    <row r="1189" spans="1:5">
      <c r="A1189" s="15">
        <v>43556</v>
      </c>
      <c r="B1189" s="13">
        <v>2512</v>
      </c>
      <c r="C1189" s="13" t="s">
        <v>16</v>
      </c>
      <c r="D1189" s="13" t="s">
        <v>19</v>
      </c>
      <c r="E1189" s="13">
        <v>-10059</v>
      </c>
    </row>
    <row r="1190" spans="1:5">
      <c r="A1190" s="14">
        <v>43556</v>
      </c>
      <c r="B1190" s="12">
        <v>2502</v>
      </c>
      <c r="C1190" s="12" t="s">
        <v>7</v>
      </c>
      <c r="D1190" s="12" t="s">
        <v>19</v>
      </c>
      <c r="E1190" s="12">
        <v>-2816</v>
      </c>
    </row>
    <row r="1191" spans="1:5">
      <c r="A1191" s="15">
        <v>43556</v>
      </c>
      <c r="B1191" s="13">
        <v>2507</v>
      </c>
      <c r="C1191" s="13" t="s">
        <v>11</v>
      </c>
      <c r="D1191" s="13" t="s">
        <v>19</v>
      </c>
      <c r="E1191" s="13">
        <v>-2120</v>
      </c>
    </row>
    <row r="1192" spans="1:5">
      <c r="A1192" s="14">
        <v>43556</v>
      </c>
      <c r="B1192" s="12">
        <v>2505</v>
      </c>
      <c r="C1192" s="12" t="s">
        <v>9</v>
      </c>
      <c r="D1192" s="12" t="s">
        <v>19</v>
      </c>
      <c r="E1192" s="12">
        <v>-531</v>
      </c>
    </row>
    <row r="1193" spans="1:5">
      <c r="A1193" s="15">
        <v>43556</v>
      </c>
      <c r="B1193" s="13">
        <v>1000</v>
      </c>
      <c r="C1193" s="13" t="s">
        <v>23</v>
      </c>
      <c r="D1193" s="13" t="s">
        <v>19</v>
      </c>
      <c r="E1193" s="13">
        <v>1025800</v>
      </c>
    </row>
    <row r="1194" spans="1:5">
      <c r="A1194" s="14">
        <v>43557</v>
      </c>
      <c r="B1194" s="12">
        <v>2508</v>
      </c>
      <c r="C1194" s="12" t="s">
        <v>15</v>
      </c>
      <c r="D1194" s="12" t="s">
        <v>19</v>
      </c>
      <c r="E1194" s="12">
        <v>-52108</v>
      </c>
    </row>
    <row r="1195" spans="1:5">
      <c r="A1195" s="15">
        <v>43557</v>
      </c>
      <c r="B1195" s="13">
        <v>1500</v>
      </c>
      <c r="C1195" s="13" t="s">
        <v>26</v>
      </c>
      <c r="D1195" s="13" t="s">
        <v>19</v>
      </c>
      <c r="E1195" s="13">
        <v>-41505</v>
      </c>
    </row>
    <row r="1196" spans="1:5">
      <c r="A1196" s="14">
        <v>43557</v>
      </c>
      <c r="B1196" s="12">
        <v>2502</v>
      </c>
      <c r="C1196" s="12" t="s">
        <v>7</v>
      </c>
      <c r="D1196" s="12" t="s">
        <v>12</v>
      </c>
      <c r="E1196" s="12">
        <v>-5590</v>
      </c>
    </row>
    <row r="1197" spans="1:5">
      <c r="A1197" s="15">
        <v>43557</v>
      </c>
      <c r="B1197" s="13">
        <v>2506</v>
      </c>
      <c r="C1197" s="13" t="s">
        <v>27</v>
      </c>
      <c r="D1197" s="13" t="s">
        <v>8</v>
      </c>
      <c r="E1197" s="13">
        <v>-432</v>
      </c>
    </row>
    <row r="1198" spans="1:5">
      <c r="A1198" s="14">
        <v>43557</v>
      </c>
      <c r="B1198" s="12">
        <v>2508</v>
      </c>
      <c r="C1198" s="12" t="s">
        <v>15</v>
      </c>
      <c r="D1198" s="12" t="s">
        <v>6</v>
      </c>
      <c r="E1198" s="12">
        <v>-73245</v>
      </c>
    </row>
    <row r="1199" spans="1:5">
      <c r="A1199" s="15">
        <v>43557</v>
      </c>
      <c r="B1199" s="13">
        <v>2512</v>
      </c>
      <c r="C1199" s="13" t="s">
        <v>16</v>
      </c>
      <c r="D1199" s="13" t="s">
        <v>13</v>
      </c>
      <c r="E1199" s="13">
        <v>-525</v>
      </c>
    </row>
    <row r="1200" spans="1:5">
      <c r="A1200" s="14">
        <v>43557</v>
      </c>
      <c r="B1200" s="12">
        <v>2512</v>
      </c>
      <c r="C1200" s="12" t="s">
        <v>16</v>
      </c>
      <c r="D1200" s="12" t="s">
        <v>12</v>
      </c>
      <c r="E1200" s="12">
        <v>-1163</v>
      </c>
    </row>
    <row r="1201" spans="1:5">
      <c r="A1201" s="15">
        <v>43557</v>
      </c>
      <c r="B1201" s="13">
        <v>2513</v>
      </c>
      <c r="C1201" s="13" t="s">
        <v>17</v>
      </c>
      <c r="D1201" s="13" t="s">
        <v>13</v>
      </c>
      <c r="E1201" s="13">
        <v>-432</v>
      </c>
    </row>
    <row r="1202" spans="1:5">
      <c r="A1202" s="14">
        <v>43557</v>
      </c>
      <c r="B1202" s="12">
        <v>2513</v>
      </c>
      <c r="C1202" s="12" t="s">
        <v>17</v>
      </c>
      <c r="D1202" s="12" t="s">
        <v>8</v>
      </c>
      <c r="E1202" s="12">
        <v>-1015</v>
      </c>
    </row>
    <row r="1203" spans="1:5">
      <c r="A1203" s="15">
        <v>43557</v>
      </c>
      <c r="B1203" s="13">
        <v>2512</v>
      </c>
      <c r="C1203" s="13" t="s">
        <v>16</v>
      </c>
      <c r="D1203" s="13" t="s">
        <v>19</v>
      </c>
      <c r="E1203" s="13">
        <v>-6493</v>
      </c>
    </row>
    <row r="1204" spans="1:5">
      <c r="A1204" s="14">
        <v>43558</v>
      </c>
      <c r="B1204" s="12">
        <v>2508</v>
      </c>
      <c r="C1204" s="12" t="s">
        <v>15</v>
      </c>
      <c r="D1204" s="12" t="s">
        <v>19</v>
      </c>
      <c r="E1204" s="12">
        <v>-57972</v>
      </c>
    </row>
    <row r="1205" spans="1:5">
      <c r="A1205" s="15">
        <v>43558</v>
      </c>
      <c r="B1205" s="13">
        <v>2508</v>
      </c>
      <c r="C1205" s="13" t="s">
        <v>15</v>
      </c>
      <c r="D1205" s="13" t="s">
        <v>19</v>
      </c>
      <c r="E1205" s="13">
        <v>-45984</v>
      </c>
    </row>
    <row r="1206" spans="1:5">
      <c r="A1206" s="14">
        <v>43558</v>
      </c>
      <c r="B1206" s="12">
        <v>2508</v>
      </c>
      <c r="C1206" s="12" t="s">
        <v>15</v>
      </c>
      <c r="D1206" s="12" t="s">
        <v>19</v>
      </c>
      <c r="E1206" s="12">
        <v>-41355</v>
      </c>
    </row>
    <row r="1207" spans="1:5">
      <c r="A1207" s="15">
        <v>43558</v>
      </c>
      <c r="B1207" s="13">
        <v>2502</v>
      </c>
      <c r="C1207" s="13" t="s">
        <v>7</v>
      </c>
      <c r="D1207" s="13" t="s">
        <v>8</v>
      </c>
      <c r="E1207" s="13">
        <v>-6530</v>
      </c>
    </row>
    <row r="1208" spans="1:5">
      <c r="A1208" s="14">
        <v>43558</v>
      </c>
      <c r="B1208" s="12">
        <v>2508</v>
      </c>
      <c r="C1208" s="12" t="s">
        <v>15</v>
      </c>
      <c r="D1208" s="12" t="s">
        <v>12</v>
      </c>
      <c r="E1208" s="12">
        <v>-93709</v>
      </c>
    </row>
    <row r="1209" spans="1:5">
      <c r="A1209" s="15">
        <v>43558</v>
      </c>
      <c r="B1209" s="13">
        <v>2512</v>
      </c>
      <c r="C1209" s="13" t="s">
        <v>16</v>
      </c>
      <c r="D1209" s="13" t="s">
        <v>14</v>
      </c>
      <c r="E1209" s="13">
        <v>-3623</v>
      </c>
    </row>
    <row r="1210" spans="1:5">
      <c r="A1210" s="14">
        <v>43558</v>
      </c>
      <c r="B1210" s="12">
        <v>2513</v>
      </c>
      <c r="C1210" s="12" t="s">
        <v>17</v>
      </c>
      <c r="D1210" s="12" t="s">
        <v>8</v>
      </c>
      <c r="E1210" s="12">
        <v>-1257</v>
      </c>
    </row>
    <row r="1211" spans="1:5">
      <c r="A1211" s="15">
        <v>43558</v>
      </c>
      <c r="B1211" s="13">
        <v>2512</v>
      </c>
      <c r="C1211" s="13" t="s">
        <v>16</v>
      </c>
      <c r="D1211" s="13" t="s">
        <v>19</v>
      </c>
      <c r="E1211" s="13">
        <v>-7411</v>
      </c>
    </row>
    <row r="1212" spans="1:5">
      <c r="A1212" s="14">
        <v>43558</v>
      </c>
      <c r="B1212" s="12">
        <v>2504</v>
      </c>
      <c r="C1212" s="12" t="s">
        <v>21</v>
      </c>
      <c r="D1212" s="12" t="s">
        <v>19</v>
      </c>
      <c r="E1212" s="12">
        <v>-1905</v>
      </c>
    </row>
    <row r="1213" spans="1:5">
      <c r="A1213" s="15">
        <v>43558</v>
      </c>
      <c r="B1213" s="13">
        <v>2513</v>
      </c>
      <c r="C1213" s="13" t="s">
        <v>17</v>
      </c>
      <c r="D1213" s="13" t="s">
        <v>19</v>
      </c>
      <c r="E1213" s="13">
        <v>-881</v>
      </c>
    </row>
    <row r="1214" spans="1:5">
      <c r="A1214" s="14">
        <v>43558</v>
      </c>
      <c r="B1214" s="12">
        <v>2503</v>
      </c>
      <c r="C1214" s="12" t="s">
        <v>22</v>
      </c>
      <c r="D1214" s="12" t="s">
        <v>19</v>
      </c>
      <c r="E1214" s="12">
        <v>-275</v>
      </c>
    </row>
    <row r="1215" spans="1:5">
      <c r="A1215" s="15">
        <v>43559</v>
      </c>
      <c r="B1215" s="13">
        <v>2500</v>
      </c>
      <c r="C1215" s="13" t="s">
        <v>25</v>
      </c>
      <c r="D1215" s="13" t="s">
        <v>19</v>
      </c>
      <c r="E1215" s="13">
        <v>-32920</v>
      </c>
    </row>
    <row r="1216" spans="1:5">
      <c r="A1216" s="14">
        <v>43559</v>
      </c>
      <c r="B1216" s="12">
        <v>2502</v>
      </c>
      <c r="C1216" s="12" t="s">
        <v>7</v>
      </c>
      <c r="D1216" s="12" t="s">
        <v>6</v>
      </c>
      <c r="E1216" s="12">
        <v>-7020</v>
      </c>
    </row>
    <row r="1217" spans="1:5">
      <c r="A1217" s="15">
        <v>43559</v>
      </c>
      <c r="B1217" s="13">
        <v>2508</v>
      </c>
      <c r="C1217" s="13" t="s">
        <v>15</v>
      </c>
      <c r="D1217" s="13" t="s">
        <v>10</v>
      </c>
      <c r="E1217" s="13">
        <v>-62558</v>
      </c>
    </row>
    <row r="1218" spans="1:5">
      <c r="A1218" s="14">
        <v>43559</v>
      </c>
      <c r="B1218" s="12">
        <v>2508</v>
      </c>
      <c r="C1218" s="12" t="s">
        <v>15</v>
      </c>
      <c r="D1218" s="12" t="s">
        <v>6</v>
      </c>
      <c r="E1218" s="12">
        <v>-64792</v>
      </c>
    </row>
    <row r="1219" spans="1:5">
      <c r="A1219" s="15">
        <v>43559</v>
      </c>
      <c r="B1219" s="13">
        <v>2512</v>
      </c>
      <c r="C1219" s="13" t="s">
        <v>16</v>
      </c>
      <c r="D1219" s="13" t="s">
        <v>14</v>
      </c>
      <c r="E1219" s="13">
        <v>-2297</v>
      </c>
    </row>
    <row r="1220" spans="1:5">
      <c r="A1220" s="14">
        <v>43559</v>
      </c>
      <c r="B1220" s="12">
        <v>2512</v>
      </c>
      <c r="C1220" s="12" t="s">
        <v>16</v>
      </c>
      <c r="D1220" s="12" t="s">
        <v>19</v>
      </c>
      <c r="E1220" s="12">
        <v>-8907</v>
      </c>
    </row>
    <row r="1221" spans="1:5">
      <c r="A1221" s="15">
        <v>43559</v>
      </c>
      <c r="B1221" s="13">
        <v>2510</v>
      </c>
      <c r="C1221" s="13" t="s">
        <v>24</v>
      </c>
      <c r="D1221" s="13" t="s">
        <v>19</v>
      </c>
      <c r="E1221" s="13">
        <v>-1320</v>
      </c>
    </row>
    <row r="1222" spans="1:5">
      <c r="A1222" s="14">
        <v>43559</v>
      </c>
      <c r="B1222" s="12">
        <v>2505</v>
      </c>
      <c r="C1222" s="12" t="s">
        <v>9</v>
      </c>
      <c r="D1222" s="12" t="s">
        <v>19</v>
      </c>
      <c r="E1222" s="12">
        <v>-367</v>
      </c>
    </row>
    <row r="1223" spans="1:5">
      <c r="A1223" s="15">
        <v>43559</v>
      </c>
      <c r="B1223" s="13">
        <v>2503</v>
      </c>
      <c r="C1223" s="13" t="s">
        <v>22</v>
      </c>
      <c r="D1223" s="13" t="s">
        <v>19</v>
      </c>
      <c r="E1223" s="13">
        <v>-307</v>
      </c>
    </row>
    <row r="1224" spans="1:5">
      <c r="A1224" s="14">
        <v>43559</v>
      </c>
      <c r="B1224" s="12">
        <v>2501</v>
      </c>
      <c r="C1224" s="12" t="s">
        <v>5</v>
      </c>
      <c r="D1224" s="12" t="s">
        <v>19</v>
      </c>
      <c r="E1224" s="12">
        <v>-154</v>
      </c>
    </row>
    <row r="1225" spans="1:5">
      <c r="A1225" s="15">
        <v>43559</v>
      </c>
      <c r="B1225" s="13">
        <v>2501</v>
      </c>
      <c r="C1225" s="13" t="s">
        <v>5</v>
      </c>
      <c r="D1225" s="13" t="s">
        <v>19</v>
      </c>
      <c r="E1225" s="13">
        <v>-122</v>
      </c>
    </row>
    <row r="1226" spans="1:5">
      <c r="A1226" s="14">
        <v>43560</v>
      </c>
      <c r="B1226" s="12">
        <v>2503</v>
      </c>
      <c r="C1226" s="12" t="s">
        <v>22</v>
      </c>
      <c r="D1226" s="12" t="s">
        <v>13</v>
      </c>
      <c r="E1226" s="12">
        <v>-287</v>
      </c>
    </row>
    <row r="1227" spans="1:5">
      <c r="A1227" s="15">
        <v>43560</v>
      </c>
      <c r="B1227" s="13">
        <v>2503</v>
      </c>
      <c r="C1227" s="13" t="s">
        <v>22</v>
      </c>
      <c r="D1227" s="13" t="s">
        <v>13</v>
      </c>
      <c r="E1227" s="13">
        <v>-212</v>
      </c>
    </row>
    <row r="1228" spans="1:5">
      <c r="A1228" s="14">
        <v>43560</v>
      </c>
      <c r="B1228" s="12">
        <v>2508</v>
      </c>
      <c r="C1228" s="12" t="s">
        <v>15</v>
      </c>
      <c r="D1228" s="12" t="s">
        <v>14</v>
      </c>
      <c r="E1228" s="12">
        <v>-65453</v>
      </c>
    </row>
    <row r="1229" spans="1:5">
      <c r="A1229" s="15">
        <v>43560</v>
      </c>
      <c r="B1229" s="13">
        <v>2513</v>
      </c>
      <c r="C1229" s="13" t="s">
        <v>17</v>
      </c>
      <c r="D1229" s="13" t="s">
        <v>13</v>
      </c>
      <c r="E1229" s="13">
        <v>-788</v>
      </c>
    </row>
    <row r="1230" spans="1:5">
      <c r="A1230" s="14">
        <v>43560</v>
      </c>
      <c r="B1230" s="12">
        <v>2512</v>
      </c>
      <c r="C1230" s="12" t="s">
        <v>16</v>
      </c>
      <c r="D1230" s="12" t="s">
        <v>19</v>
      </c>
      <c r="E1230" s="12">
        <v>-4272</v>
      </c>
    </row>
    <row r="1231" spans="1:5">
      <c r="A1231" s="15">
        <v>43560</v>
      </c>
      <c r="B1231" s="13">
        <v>2513</v>
      </c>
      <c r="C1231" s="13" t="s">
        <v>17</v>
      </c>
      <c r="D1231" s="13" t="s">
        <v>19</v>
      </c>
      <c r="E1231" s="13">
        <v>-990</v>
      </c>
    </row>
    <row r="1232" spans="1:5">
      <c r="A1232" s="14">
        <v>43560</v>
      </c>
      <c r="B1232" s="12">
        <v>2514</v>
      </c>
      <c r="C1232" s="12" t="s">
        <v>20</v>
      </c>
      <c r="D1232" s="12" t="s">
        <v>19</v>
      </c>
      <c r="E1232" s="12">
        <v>-903</v>
      </c>
    </row>
    <row r="1233" spans="1:5">
      <c r="A1233" s="15">
        <v>43560</v>
      </c>
      <c r="B1233" s="13">
        <v>2505</v>
      </c>
      <c r="C1233" s="13" t="s">
        <v>9</v>
      </c>
      <c r="D1233" s="13" t="s">
        <v>19</v>
      </c>
      <c r="E1233" s="13">
        <v>-562</v>
      </c>
    </row>
    <row r="1234" spans="1:5">
      <c r="A1234" s="14">
        <v>43560</v>
      </c>
      <c r="B1234" s="12">
        <v>2501</v>
      </c>
      <c r="C1234" s="12" t="s">
        <v>5</v>
      </c>
      <c r="D1234" s="12" t="s">
        <v>19</v>
      </c>
      <c r="E1234" s="12">
        <v>-71</v>
      </c>
    </row>
    <row r="1235" spans="1:5">
      <c r="A1235" s="15">
        <v>43560</v>
      </c>
      <c r="B1235" s="13">
        <v>1000</v>
      </c>
      <c r="C1235" s="13" t="s">
        <v>23</v>
      </c>
      <c r="D1235" s="13" t="s">
        <v>19</v>
      </c>
      <c r="E1235" s="13">
        <v>1245989</v>
      </c>
    </row>
    <row r="1236" spans="1:5">
      <c r="A1236" s="14">
        <v>43561</v>
      </c>
      <c r="B1236" s="12">
        <v>2500</v>
      </c>
      <c r="C1236" s="12" t="s">
        <v>25</v>
      </c>
      <c r="D1236" s="12" t="s">
        <v>19</v>
      </c>
      <c r="E1236" s="12">
        <v>-24269</v>
      </c>
    </row>
    <row r="1237" spans="1:5">
      <c r="A1237" s="15">
        <v>43561</v>
      </c>
      <c r="B1237" s="13">
        <v>2501</v>
      </c>
      <c r="C1237" s="13" t="s">
        <v>5</v>
      </c>
      <c r="D1237" s="13" t="s">
        <v>12</v>
      </c>
      <c r="E1237" s="13">
        <v>-180</v>
      </c>
    </row>
    <row r="1238" spans="1:5">
      <c r="A1238" s="14">
        <v>43561</v>
      </c>
      <c r="B1238" s="12">
        <v>2502</v>
      </c>
      <c r="C1238" s="12" t="s">
        <v>7</v>
      </c>
      <c r="D1238" s="12" t="s">
        <v>14</v>
      </c>
      <c r="E1238" s="12">
        <v>-3209</v>
      </c>
    </row>
    <row r="1239" spans="1:5">
      <c r="A1239" s="15">
        <v>43561</v>
      </c>
      <c r="B1239" s="13">
        <v>2503</v>
      </c>
      <c r="C1239" s="13" t="s">
        <v>22</v>
      </c>
      <c r="D1239" s="13" t="s">
        <v>8</v>
      </c>
      <c r="E1239" s="13">
        <v>-407</v>
      </c>
    </row>
    <row r="1240" spans="1:5">
      <c r="A1240" s="14">
        <v>43561</v>
      </c>
      <c r="B1240" s="12">
        <v>2506</v>
      </c>
      <c r="C1240" s="12" t="s">
        <v>27</v>
      </c>
      <c r="D1240" s="12" t="s">
        <v>8</v>
      </c>
      <c r="E1240" s="12">
        <v>-473</v>
      </c>
    </row>
    <row r="1241" spans="1:5">
      <c r="A1241" s="15">
        <v>43561</v>
      </c>
      <c r="B1241" s="13">
        <v>2506</v>
      </c>
      <c r="C1241" s="13" t="s">
        <v>27</v>
      </c>
      <c r="D1241" s="13" t="s">
        <v>8</v>
      </c>
      <c r="E1241" s="13">
        <v>-470</v>
      </c>
    </row>
    <row r="1242" spans="1:5">
      <c r="A1242" s="14">
        <v>43561</v>
      </c>
      <c r="B1242" s="12">
        <v>2508</v>
      </c>
      <c r="C1242" s="12" t="s">
        <v>15</v>
      </c>
      <c r="D1242" s="12" t="s">
        <v>10</v>
      </c>
      <c r="E1242" s="12">
        <v>-66840</v>
      </c>
    </row>
    <row r="1243" spans="1:5">
      <c r="A1243" s="15">
        <v>43561</v>
      </c>
      <c r="B1243" s="13">
        <v>2512</v>
      </c>
      <c r="C1243" s="13" t="s">
        <v>16</v>
      </c>
      <c r="D1243" s="13" t="s">
        <v>13</v>
      </c>
      <c r="E1243" s="13">
        <v>-450</v>
      </c>
    </row>
    <row r="1244" spans="1:5">
      <c r="A1244" s="14">
        <v>43561</v>
      </c>
      <c r="B1244" s="12">
        <v>2502</v>
      </c>
      <c r="C1244" s="12" t="s">
        <v>7</v>
      </c>
      <c r="D1244" s="12" t="s">
        <v>19</v>
      </c>
      <c r="E1244" s="12">
        <v>-3030</v>
      </c>
    </row>
    <row r="1245" spans="1:5">
      <c r="A1245" s="15">
        <v>43561</v>
      </c>
      <c r="B1245" s="13">
        <v>2514</v>
      </c>
      <c r="C1245" s="13" t="s">
        <v>20</v>
      </c>
      <c r="D1245" s="13" t="s">
        <v>19</v>
      </c>
      <c r="E1245" s="13">
        <v>-1161</v>
      </c>
    </row>
    <row r="1246" spans="1:5">
      <c r="A1246" s="14">
        <v>43561</v>
      </c>
      <c r="B1246" s="12">
        <v>2513</v>
      </c>
      <c r="C1246" s="12" t="s">
        <v>17</v>
      </c>
      <c r="D1246" s="12" t="s">
        <v>19</v>
      </c>
      <c r="E1246" s="12">
        <v>-927</v>
      </c>
    </row>
    <row r="1247" spans="1:5">
      <c r="A1247" s="15">
        <v>43561</v>
      </c>
      <c r="B1247" s="13">
        <v>2505</v>
      </c>
      <c r="C1247" s="13" t="s">
        <v>9</v>
      </c>
      <c r="D1247" s="13" t="s">
        <v>19</v>
      </c>
      <c r="E1247" s="13">
        <v>-499</v>
      </c>
    </row>
    <row r="1248" spans="1:5">
      <c r="A1248" s="14">
        <v>43561</v>
      </c>
      <c r="B1248" s="12">
        <v>2503</v>
      </c>
      <c r="C1248" s="12" t="s">
        <v>22</v>
      </c>
      <c r="D1248" s="12" t="s">
        <v>19</v>
      </c>
      <c r="E1248" s="12">
        <v>-286</v>
      </c>
    </row>
    <row r="1249" spans="1:5">
      <c r="A1249" s="15">
        <v>43561</v>
      </c>
      <c r="B1249" s="13">
        <v>2503</v>
      </c>
      <c r="C1249" s="13" t="s">
        <v>22</v>
      </c>
      <c r="D1249" s="13" t="s">
        <v>19</v>
      </c>
      <c r="E1249" s="13">
        <v>-221</v>
      </c>
    </row>
    <row r="1250" spans="1:5">
      <c r="A1250" s="14">
        <v>43561</v>
      </c>
      <c r="B1250" s="12">
        <v>1000</v>
      </c>
      <c r="C1250" s="12" t="s">
        <v>23</v>
      </c>
      <c r="D1250" s="12" t="s">
        <v>19</v>
      </c>
      <c r="E1250" s="12">
        <v>806833</v>
      </c>
    </row>
    <row r="1251" spans="1:5">
      <c r="A1251" s="15">
        <v>43562</v>
      </c>
      <c r="B1251" s="13">
        <v>2000</v>
      </c>
      <c r="C1251" s="13" t="s">
        <v>18</v>
      </c>
      <c r="D1251" s="13" t="s">
        <v>19</v>
      </c>
      <c r="E1251" s="13">
        <v>-191202</v>
      </c>
    </row>
    <row r="1252" spans="1:5">
      <c r="A1252" s="14">
        <v>43562</v>
      </c>
      <c r="B1252" s="12">
        <v>2508</v>
      </c>
      <c r="C1252" s="12" t="s">
        <v>15</v>
      </c>
      <c r="D1252" s="12" t="s">
        <v>19</v>
      </c>
      <c r="E1252" s="12">
        <v>-50128</v>
      </c>
    </row>
    <row r="1253" spans="1:5">
      <c r="A1253" s="15">
        <v>43562</v>
      </c>
      <c r="B1253" s="13">
        <v>2500</v>
      </c>
      <c r="C1253" s="13" t="s">
        <v>25</v>
      </c>
      <c r="D1253" s="13" t="s">
        <v>19</v>
      </c>
      <c r="E1253" s="13">
        <v>-29005</v>
      </c>
    </row>
    <row r="1254" spans="1:5">
      <c r="A1254" s="14">
        <v>43562</v>
      </c>
      <c r="B1254" s="12">
        <v>2501</v>
      </c>
      <c r="C1254" s="12" t="s">
        <v>5</v>
      </c>
      <c r="D1254" s="12" t="s">
        <v>13</v>
      </c>
      <c r="E1254" s="12">
        <v>-131</v>
      </c>
    </row>
    <row r="1255" spans="1:5">
      <c r="A1255" s="15">
        <v>43562</v>
      </c>
      <c r="B1255" s="13">
        <v>2501</v>
      </c>
      <c r="C1255" s="13" t="s">
        <v>5</v>
      </c>
      <c r="D1255" s="13" t="s">
        <v>14</v>
      </c>
      <c r="E1255" s="13">
        <v>-133</v>
      </c>
    </row>
    <row r="1256" spans="1:5">
      <c r="A1256" s="14">
        <v>43562</v>
      </c>
      <c r="B1256" s="12">
        <v>2505</v>
      </c>
      <c r="C1256" s="12" t="s">
        <v>9</v>
      </c>
      <c r="D1256" s="12" t="s">
        <v>13</v>
      </c>
      <c r="E1256" s="12">
        <v>-361</v>
      </c>
    </row>
    <row r="1257" spans="1:5">
      <c r="A1257" s="15">
        <v>43562</v>
      </c>
      <c r="B1257" s="13">
        <v>2513</v>
      </c>
      <c r="C1257" s="13" t="s">
        <v>17</v>
      </c>
      <c r="D1257" s="13" t="s">
        <v>10</v>
      </c>
      <c r="E1257" s="13">
        <v>-975</v>
      </c>
    </row>
    <row r="1258" spans="1:5">
      <c r="A1258" s="14">
        <v>43562</v>
      </c>
      <c r="B1258" s="12">
        <v>2510</v>
      </c>
      <c r="C1258" s="12" t="s">
        <v>24</v>
      </c>
      <c r="D1258" s="12" t="s">
        <v>19</v>
      </c>
      <c r="E1258" s="12">
        <v>-1200</v>
      </c>
    </row>
    <row r="1259" spans="1:5">
      <c r="A1259" s="15">
        <v>43562</v>
      </c>
      <c r="B1259" s="13">
        <v>2513</v>
      </c>
      <c r="C1259" s="13" t="s">
        <v>17</v>
      </c>
      <c r="D1259" s="13" t="s">
        <v>19</v>
      </c>
      <c r="E1259" s="13">
        <v>-658</v>
      </c>
    </row>
    <row r="1260" spans="1:5">
      <c r="A1260" s="14">
        <v>43562</v>
      </c>
      <c r="B1260" s="12">
        <v>2505</v>
      </c>
      <c r="C1260" s="12" t="s">
        <v>9</v>
      </c>
      <c r="D1260" s="12" t="s">
        <v>19</v>
      </c>
      <c r="E1260" s="12">
        <v>-374</v>
      </c>
    </row>
    <row r="1261" spans="1:5">
      <c r="A1261" s="15">
        <v>43562</v>
      </c>
      <c r="B1261" s="13">
        <v>2503</v>
      </c>
      <c r="C1261" s="13" t="s">
        <v>22</v>
      </c>
      <c r="D1261" s="13" t="s">
        <v>19</v>
      </c>
      <c r="E1261" s="13">
        <v>-265</v>
      </c>
    </row>
    <row r="1262" spans="1:5">
      <c r="A1262" s="14">
        <v>43563</v>
      </c>
      <c r="B1262" s="12">
        <v>2000</v>
      </c>
      <c r="C1262" s="12" t="s">
        <v>18</v>
      </c>
      <c r="D1262" s="12" t="s">
        <v>19</v>
      </c>
      <c r="E1262" s="12">
        <v>-292814</v>
      </c>
    </row>
    <row r="1263" spans="1:5">
      <c r="A1263" s="15">
        <v>43563</v>
      </c>
      <c r="B1263" s="13">
        <v>2508</v>
      </c>
      <c r="C1263" s="13" t="s">
        <v>15</v>
      </c>
      <c r="D1263" s="13" t="s">
        <v>19</v>
      </c>
      <c r="E1263" s="13">
        <v>-58249</v>
      </c>
    </row>
    <row r="1264" spans="1:5">
      <c r="A1264" s="14">
        <v>43563</v>
      </c>
      <c r="B1264" s="12">
        <v>2500</v>
      </c>
      <c r="C1264" s="12" t="s">
        <v>25</v>
      </c>
      <c r="D1264" s="12" t="s">
        <v>19</v>
      </c>
      <c r="E1264" s="12">
        <v>-15824</v>
      </c>
    </row>
    <row r="1265" spans="1:5">
      <c r="A1265" s="15">
        <v>43563</v>
      </c>
      <c r="B1265" s="13">
        <v>2501</v>
      </c>
      <c r="C1265" s="13" t="s">
        <v>5</v>
      </c>
      <c r="D1265" s="13" t="s">
        <v>14</v>
      </c>
      <c r="E1265" s="13">
        <v>-116</v>
      </c>
    </row>
    <row r="1266" spans="1:5">
      <c r="A1266" s="14">
        <v>43563</v>
      </c>
      <c r="B1266" s="12">
        <v>2503</v>
      </c>
      <c r="C1266" s="12" t="s">
        <v>22</v>
      </c>
      <c r="D1266" s="12" t="s">
        <v>10</v>
      </c>
      <c r="E1266" s="12">
        <v>-271</v>
      </c>
    </row>
    <row r="1267" spans="1:5">
      <c r="A1267" s="15">
        <v>43563</v>
      </c>
      <c r="B1267" s="13">
        <v>2512</v>
      </c>
      <c r="C1267" s="13" t="s">
        <v>16</v>
      </c>
      <c r="D1267" s="13" t="s">
        <v>13</v>
      </c>
      <c r="E1267" s="13">
        <v>-478</v>
      </c>
    </row>
    <row r="1268" spans="1:5">
      <c r="A1268" s="14">
        <v>43563</v>
      </c>
      <c r="B1268" s="12">
        <v>2512</v>
      </c>
      <c r="C1268" s="12" t="s">
        <v>16</v>
      </c>
      <c r="D1268" s="12" t="s">
        <v>19</v>
      </c>
      <c r="E1268" s="12">
        <v>-6115</v>
      </c>
    </row>
    <row r="1269" spans="1:5">
      <c r="A1269" s="15">
        <v>43563</v>
      </c>
      <c r="B1269" s="13">
        <v>2512</v>
      </c>
      <c r="C1269" s="13" t="s">
        <v>16</v>
      </c>
      <c r="D1269" s="13" t="s">
        <v>19</v>
      </c>
      <c r="E1269" s="13">
        <v>-3794</v>
      </c>
    </row>
    <row r="1270" spans="1:5">
      <c r="A1270" s="14">
        <v>43563</v>
      </c>
      <c r="B1270" s="12">
        <v>2510</v>
      </c>
      <c r="C1270" s="12" t="s">
        <v>24</v>
      </c>
      <c r="D1270" s="12" t="s">
        <v>19</v>
      </c>
      <c r="E1270" s="12">
        <v>-1167</v>
      </c>
    </row>
    <row r="1271" spans="1:5">
      <c r="A1271" s="15">
        <v>43563</v>
      </c>
      <c r="B1271" s="13">
        <v>2513</v>
      </c>
      <c r="C1271" s="13" t="s">
        <v>17</v>
      </c>
      <c r="D1271" s="13" t="s">
        <v>19</v>
      </c>
      <c r="E1271" s="13">
        <v>-609</v>
      </c>
    </row>
    <row r="1272" spans="1:5">
      <c r="A1272" s="14">
        <v>43563</v>
      </c>
      <c r="B1272" s="12">
        <v>2505</v>
      </c>
      <c r="C1272" s="12" t="s">
        <v>9</v>
      </c>
      <c r="D1272" s="12" t="s">
        <v>19</v>
      </c>
      <c r="E1272" s="12">
        <v>-574</v>
      </c>
    </row>
    <row r="1273" spans="1:5">
      <c r="A1273" s="15">
        <v>43564</v>
      </c>
      <c r="B1273" s="13">
        <v>2500</v>
      </c>
      <c r="C1273" s="13" t="s">
        <v>25</v>
      </c>
      <c r="D1273" s="13" t="s">
        <v>19</v>
      </c>
      <c r="E1273" s="13">
        <v>-53803</v>
      </c>
    </row>
    <row r="1274" spans="1:5">
      <c r="A1274" s="14">
        <v>43564</v>
      </c>
      <c r="B1274" s="12">
        <v>2503</v>
      </c>
      <c r="C1274" s="12" t="s">
        <v>22</v>
      </c>
      <c r="D1274" s="12" t="s">
        <v>6</v>
      </c>
      <c r="E1274" s="12">
        <v>-308</v>
      </c>
    </row>
    <row r="1275" spans="1:5">
      <c r="A1275" s="15">
        <v>43564</v>
      </c>
      <c r="B1275" s="13">
        <v>2512</v>
      </c>
      <c r="C1275" s="13" t="s">
        <v>16</v>
      </c>
      <c r="D1275" s="13" t="s">
        <v>14</v>
      </c>
      <c r="E1275" s="13">
        <v>-2441</v>
      </c>
    </row>
    <row r="1276" spans="1:5">
      <c r="A1276" s="14">
        <v>43564</v>
      </c>
      <c r="B1276" s="12">
        <v>2513</v>
      </c>
      <c r="C1276" s="12" t="s">
        <v>17</v>
      </c>
      <c r="D1276" s="12" t="s">
        <v>8</v>
      </c>
      <c r="E1276" s="12">
        <v>-1043</v>
      </c>
    </row>
    <row r="1277" spans="1:5">
      <c r="A1277" s="15">
        <v>43564</v>
      </c>
      <c r="B1277" s="13">
        <v>2513</v>
      </c>
      <c r="C1277" s="13" t="s">
        <v>17</v>
      </c>
      <c r="D1277" s="13" t="s">
        <v>13</v>
      </c>
      <c r="E1277" s="13">
        <v>-755</v>
      </c>
    </row>
    <row r="1278" spans="1:5">
      <c r="A1278" s="14">
        <v>43564</v>
      </c>
      <c r="B1278" s="12">
        <v>2514</v>
      </c>
      <c r="C1278" s="12" t="s">
        <v>20</v>
      </c>
      <c r="D1278" s="12" t="s">
        <v>8</v>
      </c>
      <c r="E1278" s="12">
        <v>-1209</v>
      </c>
    </row>
    <row r="1279" spans="1:5">
      <c r="A1279" s="15">
        <v>43564</v>
      </c>
      <c r="B1279" s="13">
        <v>2514</v>
      </c>
      <c r="C1279" s="13" t="s">
        <v>20</v>
      </c>
      <c r="D1279" s="13" t="s">
        <v>6</v>
      </c>
      <c r="E1279" s="13">
        <v>-1557</v>
      </c>
    </row>
    <row r="1280" spans="1:5">
      <c r="A1280" s="14">
        <v>43564</v>
      </c>
      <c r="B1280" s="12">
        <v>2510</v>
      </c>
      <c r="C1280" s="12" t="s">
        <v>24</v>
      </c>
      <c r="D1280" s="12" t="s">
        <v>10</v>
      </c>
      <c r="E1280" s="12">
        <v>-1570</v>
      </c>
    </row>
    <row r="1281" spans="1:5">
      <c r="A1281" s="15">
        <v>43564</v>
      </c>
      <c r="B1281" s="13">
        <v>2513</v>
      </c>
      <c r="C1281" s="13" t="s">
        <v>17</v>
      </c>
      <c r="D1281" s="13" t="s">
        <v>19</v>
      </c>
      <c r="E1281" s="13">
        <v>-573</v>
      </c>
    </row>
    <row r="1282" spans="1:5">
      <c r="A1282" s="14">
        <v>43564</v>
      </c>
      <c r="B1282" s="12">
        <v>2505</v>
      </c>
      <c r="C1282" s="12" t="s">
        <v>9</v>
      </c>
      <c r="D1282" s="12" t="s">
        <v>19</v>
      </c>
      <c r="E1282" s="12">
        <v>-524</v>
      </c>
    </row>
    <row r="1283" spans="1:5">
      <c r="A1283" s="15">
        <v>43564</v>
      </c>
      <c r="B1283" s="13">
        <v>2505</v>
      </c>
      <c r="C1283" s="13" t="s">
        <v>9</v>
      </c>
      <c r="D1283" s="13" t="s">
        <v>19</v>
      </c>
      <c r="E1283" s="13">
        <v>-305</v>
      </c>
    </row>
    <row r="1284" spans="1:5">
      <c r="A1284" s="14">
        <v>43564</v>
      </c>
      <c r="B1284" s="12">
        <v>2503</v>
      </c>
      <c r="C1284" s="12" t="s">
        <v>22</v>
      </c>
      <c r="D1284" s="12" t="s">
        <v>19</v>
      </c>
      <c r="E1284" s="12">
        <v>-290</v>
      </c>
    </row>
    <row r="1285" spans="1:5">
      <c r="A1285" s="15">
        <v>43564</v>
      </c>
      <c r="B1285" s="13">
        <v>2501</v>
      </c>
      <c r="C1285" s="13" t="s">
        <v>5</v>
      </c>
      <c r="D1285" s="13" t="s">
        <v>19</v>
      </c>
      <c r="E1285" s="13">
        <v>-152</v>
      </c>
    </row>
    <row r="1286" spans="1:5">
      <c r="A1286" s="14">
        <v>43565</v>
      </c>
      <c r="B1286" s="12">
        <v>2508</v>
      </c>
      <c r="C1286" s="12" t="s">
        <v>15</v>
      </c>
      <c r="D1286" s="12" t="s">
        <v>19</v>
      </c>
      <c r="E1286" s="12">
        <v>-59058</v>
      </c>
    </row>
    <row r="1287" spans="1:5">
      <c r="A1287" s="15">
        <v>43565</v>
      </c>
      <c r="B1287" s="13">
        <v>2502</v>
      </c>
      <c r="C1287" s="13" t="s">
        <v>7</v>
      </c>
      <c r="D1287" s="13" t="s">
        <v>12</v>
      </c>
      <c r="E1287" s="13">
        <v>-6372</v>
      </c>
    </row>
    <row r="1288" spans="1:5">
      <c r="A1288" s="14">
        <v>43565</v>
      </c>
      <c r="B1288" s="12">
        <v>2503</v>
      </c>
      <c r="C1288" s="12" t="s">
        <v>22</v>
      </c>
      <c r="D1288" s="12" t="s">
        <v>10</v>
      </c>
      <c r="E1288" s="12">
        <v>-429</v>
      </c>
    </row>
    <row r="1289" spans="1:5">
      <c r="A1289" s="15">
        <v>43565</v>
      </c>
      <c r="B1289" s="13">
        <v>2505</v>
      </c>
      <c r="C1289" s="13" t="s">
        <v>9</v>
      </c>
      <c r="D1289" s="13" t="s">
        <v>13</v>
      </c>
      <c r="E1289" s="13">
        <v>-373</v>
      </c>
    </row>
    <row r="1290" spans="1:5">
      <c r="A1290" s="14">
        <v>43565</v>
      </c>
      <c r="B1290" s="12">
        <v>2508</v>
      </c>
      <c r="C1290" s="12" t="s">
        <v>15</v>
      </c>
      <c r="D1290" s="12" t="s">
        <v>13</v>
      </c>
      <c r="E1290" s="12">
        <v>-54484</v>
      </c>
    </row>
    <row r="1291" spans="1:5">
      <c r="A1291" s="15">
        <v>43565</v>
      </c>
      <c r="B1291" s="13">
        <v>2513</v>
      </c>
      <c r="C1291" s="13" t="s">
        <v>17</v>
      </c>
      <c r="D1291" s="13" t="s">
        <v>8</v>
      </c>
      <c r="E1291" s="13">
        <v>-720</v>
      </c>
    </row>
    <row r="1292" spans="1:5">
      <c r="A1292" s="14">
        <v>43565</v>
      </c>
      <c r="B1292" s="12">
        <v>2502</v>
      </c>
      <c r="C1292" s="12" t="s">
        <v>7</v>
      </c>
      <c r="D1292" s="12" t="s">
        <v>19</v>
      </c>
      <c r="E1292" s="12">
        <v>-4117</v>
      </c>
    </row>
    <row r="1293" spans="1:5">
      <c r="A1293" s="15">
        <v>43565</v>
      </c>
      <c r="B1293" s="13">
        <v>2513</v>
      </c>
      <c r="C1293" s="13" t="s">
        <v>17</v>
      </c>
      <c r="D1293" s="13" t="s">
        <v>19</v>
      </c>
      <c r="E1293" s="13">
        <v>-1004</v>
      </c>
    </row>
    <row r="1294" spans="1:5">
      <c r="A1294" s="14">
        <v>43565</v>
      </c>
      <c r="B1294" s="12">
        <v>2503</v>
      </c>
      <c r="C1294" s="12" t="s">
        <v>22</v>
      </c>
      <c r="D1294" s="12" t="s">
        <v>19</v>
      </c>
      <c r="E1294" s="12">
        <v>-243</v>
      </c>
    </row>
    <row r="1295" spans="1:5">
      <c r="A1295" s="15">
        <v>43565</v>
      </c>
      <c r="B1295" s="13">
        <v>2501</v>
      </c>
      <c r="C1295" s="13" t="s">
        <v>5</v>
      </c>
      <c r="D1295" s="13" t="s">
        <v>19</v>
      </c>
      <c r="E1295" s="13">
        <v>-147</v>
      </c>
    </row>
    <row r="1296" spans="1:5">
      <c r="A1296" s="14">
        <v>43565</v>
      </c>
      <c r="B1296" s="12">
        <v>1000</v>
      </c>
      <c r="C1296" s="12" t="s">
        <v>23</v>
      </c>
      <c r="D1296" s="12" t="s">
        <v>19</v>
      </c>
      <c r="E1296" s="12">
        <v>1342885</v>
      </c>
    </row>
    <row r="1297" spans="1:5">
      <c r="A1297" s="15">
        <v>43566</v>
      </c>
      <c r="B1297" s="13">
        <v>2000</v>
      </c>
      <c r="C1297" s="13" t="s">
        <v>18</v>
      </c>
      <c r="D1297" s="13" t="s">
        <v>19</v>
      </c>
      <c r="E1297" s="13">
        <v>-305753</v>
      </c>
    </row>
    <row r="1298" spans="1:5">
      <c r="A1298" s="14">
        <v>43566</v>
      </c>
      <c r="B1298" s="12">
        <v>2000</v>
      </c>
      <c r="C1298" s="12" t="s">
        <v>18</v>
      </c>
      <c r="D1298" s="12" t="s">
        <v>19</v>
      </c>
      <c r="E1298" s="12">
        <v>-127414</v>
      </c>
    </row>
    <row r="1299" spans="1:5">
      <c r="A1299" s="15">
        <v>43566</v>
      </c>
      <c r="B1299" s="13">
        <v>1500</v>
      </c>
      <c r="C1299" s="13" t="s">
        <v>26</v>
      </c>
      <c r="D1299" s="13" t="s">
        <v>19</v>
      </c>
      <c r="E1299" s="13">
        <v>-52112</v>
      </c>
    </row>
    <row r="1300" spans="1:5">
      <c r="A1300" s="14">
        <v>43566</v>
      </c>
      <c r="B1300" s="12">
        <v>2501</v>
      </c>
      <c r="C1300" s="12" t="s">
        <v>5</v>
      </c>
      <c r="D1300" s="12" t="s">
        <v>10</v>
      </c>
      <c r="E1300" s="12">
        <v>-107</v>
      </c>
    </row>
    <row r="1301" spans="1:5">
      <c r="A1301" s="15">
        <v>43566</v>
      </c>
      <c r="B1301" s="13">
        <v>2502</v>
      </c>
      <c r="C1301" s="13" t="s">
        <v>7</v>
      </c>
      <c r="D1301" s="13" t="s">
        <v>6</v>
      </c>
      <c r="E1301" s="13">
        <v>-7684</v>
      </c>
    </row>
    <row r="1302" spans="1:5">
      <c r="A1302" s="14">
        <v>43566</v>
      </c>
      <c r="B1302" s="12">
        <v>2508</v>
      </c>
      <c r="C1302" s="12" t="s">
        <v>15</v>
      </c>
      <c r="D1302" s="12" t="s">
        <v>6</v>
      </c>
      <c r="E1302" s="12">
        <v>-62180</v>
      </c>
    </row>
    <row r="1303" spans="1:5">
      <c r="A1303" s="15">
        <v>43566</v>
      </c>
      <c r="B1303" s="13">
        <v>2512</v>
      </c>
      <c r="C1303" s="13" t="s">
        <v>16</v>
      </c>
      <c r="D1303" s="13" t="s">
        <v>10</v>
      </c>
      <c r="E1303" s="13">
        <v>-2738</v>
      </c>
    </row>
    <row r="1304" spans="1:5">
      <c r="A1304" s="14">
        <v>43566</v>
      </c>
      <c r="B1304" s="12">
        <v>2514</v>
      </c>
      <c r="C1304" s="12" t="s">
        <v>20</v>
      </c>
      <c r="D1304" s="12" t="s">
        <v>13</v>
      </c>
      <c r="E1304" s="12">
        <v>-1006</v>
      </c>
    </row>
    <row r="1305" spans="1:5">
      <c r="A1305" s="15">
        <v>43566</v>
      </c>
      <c r="B1305" s="13">
        <v>2514</v>
      </c>
      <c r="C1305" s="13" t="s">
        <v>20</v>
      </c>
      <c r="D1305" s="13" t="s">
        <v>10</v>
      </c>
      <c r="E1305" s="13">
        <v>-1270</v>
      </c>
    </row>
    <row r="1306" spans="1:5">
      <c r="A1306" s="14">
        <v>43566</v>
      </c>
      <c r="B1306" s="12">
        <v>2514</v>
      </c>
      <c r="C1306" s="12" t="s">
        <v>20</v>
      </c>
      <c r="D1306" s="12" t="s">
        <v>13</v>
      </c>
      <c r="E1306" s="12">
        <v>-876</v>
      </c>
    </row>
    <row r="1307" spans="1:5">
      <c r="A1307" s="15">
        <v>43566</v>
      </c>
      <c r="B1307" s="13">
        <v>2514</v>
      </c>
      <c r="C1307" s="13" t="s">
        <v>20</v>
      </c>
      <c r="D1307" s="13" t="s">
        <v>8</v>
      </c>
      <c r="E1307" s="13">
        <v>-1486</v>
      </c>
    </row>
    <row r="1308" spans="1:5">
      <c r="A1308" s="14">
        <v>43566</v>
      </c>
      <c r="B1308" s="12">
        <v>2502</v>
      </c>
      <c r="C1308" s="12" t="s">
        <v>7</v>
      </c>
      <c r="D1308" s="12" t="s">
        <v>19</v>
      </c>
      <c r="E1308" s="12">
        <v>-3512</v>
      </c>
    </row>
    <row r="1309" spans="1:5">
      <c r="A1309" s="15">
        <v>43566</v>
      </c>
      <c r="B1309" s="13">
        <v>2513</v>
      </c>
      <c r="C1309" s="13" t="s">
        <v>17</v>
      </c>
      <c r="D1309" s="13" t="s">
        <v>19</v>
      </c>
      <c r="E1309" s="13">
        <v>-517</v>
      </c>
    </row>
    <row r="1310" spans="1:5">
      <c r="A1310" s="14">
        <v>43567</v>
      </c>
      <c r="B1310" s="12">
        <v>2505</v>
      </c>
      <c r="C1310" s="12" t="s">
        <v>9</v>
      </c>
      <c r="D1310" s="12" t="s">
        <v>13</v>
      </c>
      <c r="E1310" s="12">
        <v>-385</v>
      </c>
    </row>
    <row r="1311" spans="1:5">
      <c r="A1311" s="15">
        <v>43567</v>
      </c>
      <c r="B1311" s="13">
        <v>2506</v>
      </c>
      <c r="C1311" s="13" t="s">
        <v>27</v>
      </c>
      <c r="D1311" s="13" t="s">
        <v>8</v>
      </c>
      <c r="E1311" s="13">
        <v>-500</v>
      </c>
    </row>
    <row r="1312" spans="1:5">
      <c r="A1312" s="14">
        <v>43567</v>
      </c>
      <c r="B1312" s="12">
        <v>2508</v>
      </c>
      <c r="C1312" s="12" t="s">
        <v>15</v>
      </c>
      <c r="D1312" s="12" t="s">
        <v>6</v>
      </c>
      <c r="E1312" s="12">
        <v>-77347</v>
      </c>
    </row>
    <row r="1313" spans="1:5">
      <c r="A1313" s="15">
        <v>43567</v>
      </c>
      <c r="B1313" s="13">
        <v>2513</v>
      </c>
      <c r="C1313" s="13" t="s">
        <v>17</v>
      </c>
      <c r="D1313" s="13" t="s">
        <v>13</v>
      </c>
      <c r="E1313" s="13">
        <v>-740</v>
      </c>
    </row>
    <row r="1314" spans="1:5">
      <c r="A1314" s="14">
        <v>43567</v>
      </c>
      <c r="B1314" s="12">
        <v>2513</v>
      </c>
      <c r="C1314" s="12" t="s">
        <v>17</v>
      </c>
      <c r="D1314" s="12" t="s">
        <v>10</v>
      </c>
      <c r="E1314" s="12">
        <v>-1169</v>
      </c>
    </row>
    <row r="1315" spans="1:5">
      <c r="A1315" s="15">
        <v>43567</v>
      </c>
      <c r="B1315" s="13">
        <v>2510</v>
      </c>
      <c r="C1315" s="13" t="s">
        <v>24</v>
      </c>
      <c r="D1315" s="13" t="s">
        <v>6</v>
      </c>
      <c r="E1315" s="13">
        <v>-847</v>
      </c>
    </row>
    <row r="1316" spans="1:5">
      <c r="A1316" s="14">
        <v>43567</v>
      </c>
      <c r="B1316" s="12">
        <v>2513</v>
      </c>
      <c r="C1316" s="12" t="s">
        <v>17</v>
      </c>
      <c r="D1316" s="12" t="s">
        <v>19</v>
      </c>
      <c r="E1316" s="12">
        <v>-333</v>
      </c>
    </row>
    <row r="1317" spans="1:5">
      <c r="A1317" s="15">
        <v>43567</v>
      </c>
      <c r="B1317" s="13">
        <v>1000</v>
      </c>
      <c r="C1317" s="13" t="s">
        <v>23</v>
      </c>
      <c r="D1317" s="13" t="s">
        <v>19</v>
      </c>
      <c r="E1317" s="13">
        <v>1081012</v>
      </c>
    </row>
    <row r="1318" spans="1:5">
      <c r="A1318" s="14">
        <v>43568</v>
      </c>
      <c r="B1318" s="12">
        <v>1500</v>
      </c>
      <c r="C1318" s="12" t="s">
        <v>26</v>
      </c>
      <c r="D1318" s="12" t="s">
        <v>19</v>
      </c>
      <c r="E1318" s="12">
        <v>-60165</v>
      </c>
    </row>
    <row r="1319" spans="1:5">
      <c r="A1319" s="15">
        <v>43568</v>
      </c>
      <c r="B1319" s="13">
        <v>2503</v>
      </c>
      <c r="C1319" s="13" t="s">
        <v>22</v>
      </c>
      <c r="D1319" s="13" t="s">
        <v>12</v>
      </c>
      <c r="E1319" s="13">
        <v>-547</v>
      </c>
    </row>
    <row r="1320" spans="1:5">
      <c r="A1320" s="14">
        <v>43568</v>
      </c>
      <c r="B1320" s="12">
        <v>2505</v>
      </c>
      <c r="C1320" s="12" t="s">
        <v>9</v>
      </c>
      <c r="D1320" s="12" t="s">
        <v>12</v>
      </c>
      <c r="E1320" s="12">
        <v>-1135</v>
      </c>
    </row>
    <row r="1321" spans="1:5">
      <c r="A1321" s="15">
        <v>43568</v>
      </c>
      <c r="B1321" s="13">
        <v>2508</v>
      </c>
      <c r="C1321" s="13" t="s">
        <v>15</v>
      </c>
      <c r="D1321" s="13" t="s">
        <v>12</v>
      </c>
      <c r="E1321" s="13">
        <v>-96349</v>
      </c>
    </row>
    <row r="1322" spans="1:5">
      <c r="A1322" s="14">
        <v>43568</v>
      </c>
      <c r="B1322" s="12">
        <v>2508</v>
      </c>
      <c r="C1322" s="12" t="s">
        <v>15</v>
      </c>
      <c r="D1322" s="12" t="s">
        <v>13</v>
      </c>
      <c r="E1322" s="12">
        <v>-49384</v>
      </c>
    </row>
    <row r="1323" spans="1:5">
      <c r="A1323" s="15">
        <v>43568</v>
      </c>
      <c r="B1323" s="13">
        <v>2512</v>
      </c>
      <c r="C1323" s="13" t="s">
        <v>16</v>
      </c>
      <c r="D1323" s="13" t="s">
        <v>6</v>
      </c>
      <c r="E1323" s="13">
        <v>-3513</v>
      </c>
    </row>
    <row r="1324" spans="1:5">
      <c r="A1324" s="14">
        <v>43568</v>
      </c>
      <c r="B1324" s="12">
        <v>2512</v>
      </c>
      <c r="C1324" s="12" t="s">
        <v>16</v>
      </c>
      <c r="D1324" s="12" t="s">
        <v>14</v>
      </c>
      <c r="E1324" s="12">
        <v>-3010</v>
      </c>
    </row>
    <row r="1325" spans="1:5">
      <c r="A1325" s="15">
        <v>43568</v>
      </c>
      <c r="B1325" s="13">
        <v>2504</v>
      </c>
      <c r="C1325" s="13" t="s">
        <v>21</v>
      </c>
      <c r="D1325" s="13" t="s">
        <v>19</v>
      </c>
      <c r="E1325" s="13">
        <v>-1452</v>
      </c>
    </row>
    <row r="1326" spans="1:5">
      <c r="A1326" s="14">
        <v>43568</v>
      </c>
      <c r="B1326" s="12">
        <v>2510</v>
      </c>
      <c r="C1326" s="12" t="s">
        <v>24</v>
      </c>
      <c r="D1326" s="12" t="s">
        <v>19</v>
      </c>
      <c r="E1326" s="12">
        <v>-1281</v>
      </c>
    </row>
    <row r="1327" spans="1:5">
      <c r="A1327" s="15">
        <v>43568</v>
      </c>
      <c r="B1327" s="13">
        <v>2505</v>
      </c>
      <c r="C1327" s="13" t="s">
        <v>9</v>
      </c>
      <c r="D1327" s="13" t="s">
        <v>19</v>
      </c>
      <c r="E1327" s="13">
        <v>-527</v>
      </c>
    </row>
    <row r="1328" spans="1:5">
      <c r="A1328" s="14">
        <v>43568</v>
      </c>
      <c r="B1328" s="12">
        <v>2503</v>
      </c>
      <c r="C1328" s="12" t="s">
        <v>22</v>
      </c>
      <c r="D1328" s="12" t="s">
        <v>19</v>
      </c>
      <c r="E1328" s="12">
        <v>-251</v>
      </c>
    </row>
    <row r="1329" spans="1:5">
      <c r="A1329" s="15">
        <v>43568</v>
      </c>
      <c r="B1329" s="13">
        <v>2503</v>
      </c>
      <c r="C1329" s="13" t="s">
        <v>22</v>
      </c>
      <c r="D1329" s="13" t="s">
        <v>19</v>
      </c>
      <c r="E1329" s="13">
        <v>-230</v>
      </c>
    </row>
    <row r="1330" spans="1:5">
      <c r="A1330" s="14">
        <v>43568</v>
      </c>
      <c r="B1330" s="12">
        <v>2501</v>
      </c>
      <c r="C1330" s="12" t="s">
        <v>5</v>
      </c>
      <c r="D1330" s="12" t="s">
        <v>19</v>
      </c>
      <c r="E1330" s="12">
        <v>-140</v>
      </c>
    </row>
    <row r="1331" spans="1:5">
      <c r="A1331" s="15">
        <v>43569</v>
      </c>
      <c r="B1331" s="13">
        <v>2501</v>
      </c>
      <c r="C1331" s="13" t="s">
        <v>5</v>
      </c>
      <c r="D1331" s="13" t="s">
        <v>12</v>
      </c>
      <c r="E1331" s="13">
        <v>-137</v>
      </c>
    </row>
    <row r="1332" spans="1:5">
      <c r="A1332" s="14">
        <v>43569</v>
      </c>
      <c r="B1332" s="12">
        <v>2502</v>
      </c>
      <c r="C1332" s="12" t="s">
        <v>7</v>
      </c>
      <c r="D1332" s="12" t="s">
        <v>10</v>
      </c>
      <c r="E1332" s="12">
        <v>-3381</v>
      </c>
    </row>
    <row r="1333" spans="1:5">
      <c r="A1333" s="15">
        <v>43569</v>
      </c>
      <c r="B1333" s="13">
        <v>2505</v>
      </c>
      <c r="C1333" s="13" t="s">
        <v>9</v>
      </c>
      <c r="D1333" s="13" t="s">
        <v>6</v>
      </c>
      <c r="E1333" s="13">
        <v>-596</v>
      </c>
    </row>
    <row r="1334" spans="1:5">
      <c r="A1334" s="14">
        <v>43569</v>
      </c>
      <c r="B1334" s="12">
        <v>2508</v>
      </c>
      <c r="C1334" s="12" t="s">
        <v>15</v>
      </c>
      <c r="D1334" s="12" t="s">
        <v>10</v>
      </c>
      <c r="E1334" s="12">
        <v>-62443</v>
      </c>
    </row>
    <row r="1335" spans="1:5">
      <c r="A1335" s="15">
        <v>43569</v>
      </c>
      <c r="B1335" s="13">
        <v>2514</v>
      </c>
      <c r="C1335" s="13" t="s">
        <v>20</v>
      </c>
      <c r="D1335" s="13" t="s">
        <v>8</v>
      </c>
      <c r="E1335" s="13">
        <v>-1075</v>
      </c>
    </row>
    <row r="1336" spans="1:5">
      <c r="A1336" s="14">
        <v>43569</v>
      </c>
      <c r="B1336" s="12">
        <v>2514</v>
      </c>
      <c r="C1336" s="12" t="s">
        <v>20</v>
      </c>
      <c r="D1336" s="12" t="s">
        <v>12</v>
      </c>
      <c r="E1336" s="12">
        <v>-1740</v>
      </c>
    </row>
    <row r="1337" spans="1:5">
      <c r="A1337" s="15">
        <v>43569</v>
      </c>
      <c r="B1337" s="13">
        <v>2514</v>
      </c>
      <c r="C1337" s="13" t="s">
        <v>20</v>
      </c>
      <c r="D1337" s="13" t="s">
        <v>13</v>
      </c>
      <c r="E1337" s="13">
        <v>-929</v>
      </c>
    </row>
    <row r="1338" spans="1:5">
      <c r="A1338" s="14">
        <v>43569</v>
      </c>
      <c r="B1338" s="12">
        <v>2502</v>
      </c>
      <c r="C1338" s="12" t="s">
        <v>7</v>
      </c>
      <c r="D1338" s="12" t="s">
        <v>19</v>
      </c>
      <c r="E1338" s="12">
        <v>-3250</v>
      </c>
    </row>
    <row r="1339" spans="1:5">
      <c r="A1339" s="15">
        <v>43569</v>
      </c>
      <c r="B1339" s="13">
        <v>2502</v>
      </c>
      <c r="C1339" s="13" t="s">
        <v>7</v>
      </c>
      <c r="D1339" s="13" t="s">
        <v>19</v>
      </c>
      <c r="E1339" s="13">
        <v>-3209</v>
      </c>
    </row>
    <row r="1340" spans="1:5">
      <c r="A1340" s="14">
        <v>43569</v>
      </c>
      <c r="B1340" s="12">
        <v>2504</v>
      </c>
      <c r="C1340" s="12" t="s">
        <v>21</v>
      </c>
      <c r="D1340" s="12" t="s">
        <v>19</v>
      </c>
      <c r="E1340" s="12">
        <v>-2110</v>
      </c>
    </row>
    <row r="1341" spans="1:5">
      <c r="A1341" s="15">
        <v>43569</v>
      </c>
      <c r="B1341" s="13">
        <v>2504</v>
      </c>
      <c r="C1341" s="13" t="s">
        <v>21</v>
      </c>
      <c r="D1341" s="13" t="s">
        <v>19</v>
      </c>
      <c r="E1341" s="13">
        <v>-1382</v>
      </c>
    </row>
    <row r="1342" spans="1:5">
      <c r="A1342" s="14">
        <v>43569</v>
      </c>
      <c r="B1342" s="12">
        <v>2510</v>
      </c>
      <c r="C1342" s="12" t="s">
        <v>24</v>
      </c>
      <c r="D1342" s="12" t="s">
        <v>19</v>
      </c>
      <c r="E1342" s="12">
        <v>-1294</v>
      </c>
    </row>
    <row r="1343" spans="1:5">
      <c r="A1343" s="15">
        <v>43569</v>
      </c>
      <c r="B1343" s="13">
        <v>2513</v>
      </c>
      <c r="C1343" s="13" t="s">
        <v>17</v>
      </c>
      <c r="D1343" s="13" t="s">
        <v>19</v>
      </c>
      <c r="E1343" s="13">
        <v>-665</v>
      </c>
    </row>
    <row r="1344" spans="1:5">
      <c r="A1344" s="14">
        <v>43569</v>
      </c>
      <c r="B1344" s="12">
        <v>1000</v>
      </c>
      <c r="C1344" s="12" t="s">
        <v>23</v>
      </c>
      <c r="D1344" s="12" t="s">
        <v>19</v>
      </c>
      <c r="E1344" s="12">
        <v>953959</v>
      </c>
    </row>
    <row r="1345" spans="1:5">
      <c r="A1345" s="15">
        <v>43570</v>
      </c>
      <c r="B1345" s="13">
        <v>1500</v>
      </c>
      <c r="C1345" s="13" t="s">
        <v>26</v>
      </c>
      <c r="D1345" s="13" t="s">
        <v>19</v>
      </c>
      <c r="E1345" s="13">
        <v>-61797</v>
      </c>
    </row>
    <row r="1346" spans="1:5">
      <c r="A1346" s="14">
        <v>43570</v>
      </c>
      <c r="B1346" s="12">
        <v>1500</v>
      </c>
      <c r="C1346" s="12" t="s">
        <v>26</v>
      </c>
      <c r="D1346" s="12" t="s">
        <v>19</v>
      </c>
      <c r="E1346" s="12">
        <v>-26308</v>
      </c>
    </row>
    <row r="1347" spans="1:5">
      <c r="A1347" s="15">
        <v>43570</v>
      </c>
      <c r="B1347" s="13">
        <v>2500</v>
      </c>
      <c r="C1347" s="13" t="s">
        <v>25</v>
      </c>
      <c r="D1347" s="13" t="s">
        <v>19</v>
      </c>
      <c r="E1347" s="13">
        <v>-16397</v>
      </c>
    </row>
    <row r="1348" spans="1:5">
      <c r="A1348" s="14">
        <v>43570</v>
      </c>
      <c r="B1348" s="12">
        <v>2505</v>
      </c>
      <c r="C1348" s="12" t="s">
        <v>9</v>
      </c>
      <c r="D1348" s="12" t="s">
        <v>13</v>
      </c>
      <c r="E1348" s="12">
        <v>-531</v>
      </c>
    </row>
    <row r="1349" spans="1:5">
      <c r="A1349" s="15">
        <v>43570</v>
      </c>
      <c r="B1349" s="13">
        <v>2505</v>
      </c>
      <c r="C1349" s="13" t="s">
        <v>9</v>
      </c>
      <c r="D1349" s="13" t="s">
        <v>6</v>
      </c>
      <c r="E1349" s="13">
        <v>-692</v>
      </c>
    </row>
    <row r="1350" spans="1:5">
      <c r="A1350" s="14">
        <v>43570</v>
      </c>
      <c r="B1350" s="12">
        <v>2514</v>
      </c>
      <c r="C1350" s="12" t="s">
        <v>20</v>
      </c>
      <c r="D1350" s="12" t="s">
        <v>14</v>
      </c>
      <c r="E1350" s="12">
        <v>-1417</v>
      </c>
    </row>
    <row r="1351" spans="1:5">
      <c r="A1351" s="15">
        <v>43570</v>
      </c>
      <c r="B1351" s="13">
        <v>2512</v>
      </c>
      <c r="C1351" s="13" t="s">
        <v>16</v>
      </c>
      <c r="D1351" s="13" t="s">
        <v>19</v>
      </c>
      <c r="E1351" s="13">
        <v>-6525</v>
      </c>
    </row>
    <row r="1352" spans="1:5">
      <c r="A1352" s="14">
        <v>43570</v>
      </c>
      <c r="B1352" s="12">
        <v>2510</v>
      </c>
      <c r="C1352" s="12" t="s">
        <v>24</v>
      </c>
      <c r="D1352" s="12" t="s">
        <v>19</v>
      </c>
      <c r="E1352" s="12">
        <v>-600</v>
      </c>
    </row>
    <row r="1353" spans="1:5">
      <c r="A1353" s="15">
        <v>43570</v>
      </c>
      <c r="B1353" s="13">
        <v>1000</v>
      </c>
      <c r="C1353" s="13" t="s">
        <v>23</v>
      </c>
      <c r="D1353" s="13" t="s">
        <v>19</v>
      </c>
      <c r="E1353" s="13">
        <v>439404</v>
      </c>
    </row>
    <row r="1354" spans="1:5">
      <c r="A1354" s="14">
        <v>43571</v>
      </c>
      <c r="B1354" s="12">
        <v>1500</v>
      </c>
      <c r="C1354" s="12" t="s">
        <v>26</v>
      </c>
      <c r="D1354" s="12" t="s">
        <v>19</v>
      </c>
      <c r="E1354" s="12">
        <v>-17344</v>
      </c>
    </row>
    <row r="1355" spans="1:5">
      <c r="A1355" s="15">
        <v>43571</v>
      </c>
      <c r="B1355" s="13">
        <v>2503</v>
      </c>
      <c r="C1355" s="13" t="s">
        <v>22</v>
      </c>
      <c r="D1355" s="13" t="s">
        <v>8</v>
      </c>
      <c r="E1355" s="13">
        <v>-387</v>
      </c>
    </row>
    <row r="1356" spans="1:5">
      <c r="A1356" s="14">
        <v>43571</v>
      </c>
      <c r="B1356" s="12">
        <v>2503</v>
      </c>
      <c r="C1356" s="12" t="s">
        <v>22</v>
      </c>
      <c r="D1356" s="12" t="s">
        <v>14</v>
      </c>
      <c r="E1356" s="12">
        <v>-282</v>
      </c>
    </row>
    <row r="1357" spans="1:5">
      <c r="A1357" s="15">
        <v>43571</v>
      </c>
      <c r="B1357" s="13">
        <v>2512</v>
      </c>
      <c r="C1357" s="13" t="s">
        <v>16</v>
      </c>
      <c r="D1357" s="13" t="s">
        <v>8</v>
      </c>
      <c r="E1357" s="13">
        <v>-4275</v>
      </c>
    </row>
    <row r="1358" spans="1:5">
      <c r="A1358" s="14">
        <v>43571</v>
      </c>
      <c r="B1358" s="12">
        <v>2512</v>
      </c>
      <c r="C1358" s="12" t="s">
        <v>16</v>
      </c>
      <c r="D1358" s="12" t="s">
        <v>6</v>
      </c>
      <c r="E1358" s="12">
        <v>-3478</v>
      </c>
    </row>
    <row r="1359" spans="1:5">
      <c r="A1359" s="15">
        <v>43571</v>
      </c>
      <c r="B1359" s="13">
        <v>2513</v>
      </c>
      <c r="C1359" s="13" t="s">
        <v>17</v>
      </c>
      <c r="D1359" s="13" t="s">
        <v>14</v>
      </c>
      <c r="E1359" s="13">
        <v>-1119</v>
      </c>
    </row>
    <row r="1360" spans="1:5">
      <c r="A1360" s="14">
        <v>43571</v>
      </c>
      <c r="B1360" s="12">
        <v>2514</v>
      </c>
      <c r="C1360" s="12" t="s">
        <v>20</v>
      </c>
      <c r="D1360" s="12" t="s">
        <v>8</v>
      </c>
      <c r="E1360" s="12">
        <v>-1118</v>
      </c>
    </row>
    <row r="1361" spans="1:5">
      <c r="A1361" s="15">
        <v>43571</v>
      </c>
      <c r="B1361" s="13">
        <v>2504</v>
      </c>
      <c r="C1361" s="13" t="s">
        <v>21</v>
      </c>
      <c r="D1361" s="13" t="s">
        <v>19</v>
      </c>
      <c r="E1361" s="13">
        <v>-2353</v>
      </c>
    </row>
    <row r="1362" spans="1:5">
      <c r="A1362" s="14">
        <v>43571</v>
      </c>
      <c r="B1362" s="12">
        <v>2504</v>
      </c>
      <c r="C1362" s="12" t="s">
        <v>21</v>
      </c>
      <c r="D1362" s="12" t="s">
        <v>19</v>
      </c>
      <c r="E1362" s="12">
        <v>-2330</v>
      </c>
    </row>
    <row r="1363" spans="1:5">
      <c r="A1363" s="15">
        <v>43571</v>
      </c>
      <c r="B1363" s="13">
        <v>2504</v>
      </c>
      <c r="C1363" s="13" t="s">
        <v>21</v>
      </c>
      <c r="D1363" s="13" t="s">
        <v>19</v>
      </c>
      <c r="E1363" s="13">
        <v>-1357</v>
      </c>
    </row>
    <row r="1364" spans="1:5">
      <c r="A1364" s="14">
        <v>43571</v>
      </c>
      <c r="B1364" s="12">
        <v>2510</v>
      </c>
      <c r="C1364" s="12" t="s">
        <v>24</v>
      </c>
      <c r="D1364" s="12" t="s">
        <v>19</v>
      </c>
      <c r="E1364" s="12">
        <v>-662</v>
      </c>
    </row>
    <row r="1365" spans="1:5">
      <c r="A1365" s="15">
        <v>43571</v>
      </c>
      <c r="B1365" s="13">
        <v>2503</v>
      </c>
      <c r="C1365" s="13" t="s">
        <v>22</v>
      </c>
      <c r="D1365" s="13" t="s">
        <v>19</v>
      </c>
      <c r="E1365" s="13">
        <v>-262</v>
      </c>
    </row>
    <row r="1366" spans="1:5">
      <c r="A1366" s="14">
        <v>43571</v>
      </c>
      <c r="B1366" s="12">
        <v>2501</v>
      </c>
      <c r="C1366" s="12" t="s">
        <v>5</v>
      </c>
      <c r="D1366" s="12" t="s">
        <v>19</v>
      </c>
      <c r="E1366" s="12">
        <v>-70</v>
      </c>
    </row>
    <row r="1367" spans="1:5">
      <c r="A1367" s="15">
        <v>43571</v>
      </c>
      <c r="B1367" s="13">
        <v>2501</v>
      </c>
      <c r="C1367" s="13" t="s">
        <v>5</v>
      </c>
      <c r="D1367" s="13" t="s">
        <v>19</v>
      </c>
      <c r="E1367" s="13">
        <v>-63</v>
      </c>
    </row>
    <row r="1368" spans="1:5">
      <c r="A1368" s="14">
        <v>43572</v>
      </c>
      <c r="B1368" s="12">
        <v>2000</v>
      </c>
      <c r="C1368" s="12" t="s">
        <v>18</v>
      </c>
      <c r="D1368" s="12" t="s">
        <v>19</v>
      </c>
      <c r="E1368" s="12">
        <v>-147565</v>
      </c>
    </row>
    <row r="1369" spans="1:5">
      <c r="A1369" s="15">
        <v>43572</v>
      </c>
      <c r="B1369" s="13">
        <v>1500</v>
      </c>
      <c r="C1369" s="13" t="s">
        <v>26</v>
      </c>
      <c r="D1369" s="13" t="s">
        <v>19</v>
      </c>
      <c r="E1369" s="13">
        <v>-53530</v>
      </c>
    </row>
    <row r="1370" spans="1:5">
      <c r="A1370" s="14">
        <v>43572</v>
      </c>
      <c r="B1370" s="12">
        <v>2503</v>
      </c>
      <c r="C1370" s="12" t="s">
        <v>22</v>
      </c>
      <c r="D1370" s="12" t="s">
        <v>8</v>
      </c>
      <c r="E1370" s="12">
        <v>-326</v>
      </c>
    </row>
    <row r="1371" spans="1:5">
      <c r="A1371" s="15">
        <v>43572</v>
      </c>
      <c r="B1371" s="13">
        <v>2508</v>
      </c>
      <c r="C1371" s="13" t="s">
        <v>15</v>
      </c>
      <c r="D1371" s="13" t="s">
        <v>12</v>
      </c>
      <c r="E1371" s="13">
        <v>-103204</v>
      </c>
    </row>
    <row r="1372" spans="1:5">
      <c r="A1372" s="14">
        <v>43572</v>
      </c>
      <c r="B1372" s="12">
        <v>2513</v>
      </c>
      <c r="C1372" s="12" t="s">
        <v>17</v>
      </c>
      <c r="D1372" s="12" t="s">
        <v>8</v>
      </c>
      <c r="E1372" s="12">
        <v>-1114</v>
      </c>
    </row>
    <row r="1373" spans="1:5">
      <c r="A1373" s="15">
        <v>43572</v>
      </c>
      <c r="B1373" s="13">
        <v>2510</v>
      </c>
      <c r="C1373" s="13" t="s">
        <v>24</v>
      </c>
      <c r="D1373" s="13" t="s">
        <v>14</v>
      </c>
      <c r="E1373" s="13">
        <v>-958</v>
      </c>
    </row>
    <row r="1374" spans="1:5">
      <c r="A1374" s="14">
        <v>43572</v>
      </c>
      <c r="B1374" s="12">
        <v>2510</v>
      </c>
      <c r="C1374" s="12" t="s">
        <v>24</v>
      </c>
      <c r="D1374" s="12" t="s">
        <v>8</v>
      </c>
      <c r="E1374" s="12">
        <v>-1504</v>
      </c>
    </row>
    <row r="1375" spans="1:5">
      <c r="A1375" s="15">
        <v>43572</v>
      </c>
      <c r="B1375" s="13">
        <v>2510</v>
      </c>
      <c r="C1375" s="13" t="s">
        <v>24</v>
      </c>
      <c r="D1375" s="13" t="s">
        <v>8</v>
      </c>
      <c r="E1375" s="13">
        <v>-1018</v>
      </c>
    </row>
    <row r="1376" spans="1:5">
      <c r="A1376" s="14">
        <v>43572</v>
      </c>
      <c r="B1376" s="12">
        <v>2512</v>
      </c>
      <c r="C1376" s="12" t="s">
        <v>16</v>
      </c>
      <c r="D1376" s="12" t="s">
        <v>19</v>
      </c>
      <c r="E1376" s="12">
        <v>-5595</v>
      </c>
    </row>
    <row r="1377" spans="1:5">
      <c r="A1377" s="15">
        <v>43572</v>
      </c>
      <c r="B1377" s="13">
        <v>2504</v>
      </c>
      <c r="C1377" s="13" t="s">
        <v>21</v>
      </c>
      <c r="D1377" s="13" t="s">
        <v>19</v>
      </c>
      <c r="E1377" s="13">
        <v>-1532</v>
      </c>
    </row>
    <row r="1378" spans="1:5">
      <c r="A1378" s="14">
        <v>43572</v>
      </c>
      <c r="B1378" s="12">
        <v>2510</v>
      </c>
      <c r="C1378" s="12" t="s">
        <v>24</v>
      </c>
      <c r="D1378" s="12" t="s">
        <v>19</v>
      </c>
      <c r="E1378" s="12">
        <v>-691</v>
      </c>
    </row>
    <row r="1379" spans="1:5">
      <c r="A1379" s="15">
        <v>43572</v>
      </c>
      <c r="B1379" s="13">
        <v>2505</v>
      </c>
      <c r="C1379" s="13" t="s">
        <v>9</v>
      </c>
      <c r="D1379" s="13" t="s">
        <v>19</v>
      </c>
      <c r="E1379" s="13">
        <v>-467</v>
      </c>
    </row>
    <row r="1380" spans="1:5">
      <c r="A1380" s="14">
        <v>43572</v>
      </c>
      <c r="B1380" s="12">
        <v>2503</v>
      </c>
      <c r="C1380" s="12" t="s">
        <v>22</v>
      </c>
      <c r="D1380" s="12" t="s">
        <v>19</v>
      </c>
      <c r="E1380" s="12">
        <v>-280</v>
      </c>
    </row>
    <row r="1381" spans="1:5">
      <c r="A1381" s="15">
        <v>43572</v>
      </c>
      <c r="B1381" s="13">
        <v>2501</v>
      </c>
      <c r="C1381" s="13" t="s">
        <v>5</v>
      </c>
      <c r="D1381" s="13" t="s">
        <v>19</v>
      </c>
      <c r="E1381" s="13">
        <v>-91</v>
      </c>
    </row>
    <row r="1382" spans="1:5">
      <c r="A1382" s="14">
        <v>43572</v>
      </c>
      <c r="B1382" s="12">
        <v>1000</v>
      </c>
      <c r="C1382" s="12" t="s">
        <v>23</v>
      </c>
      <c r="D1382" s="12" t="s">
        <v>19</v>
      </c>
      <c r="E1382" s="12">
        <v>624723</v>
      </c>
    </row>
    <row r="1383" spans="1:5">
      <c r="A1383" s="15">
        <v>43573</v>
      </c>
      <c r="B1383" s="13">
        <v>2000</v>
      </c>
      <c r="C1383" s="13" t="s">
        <v>18</v>
      </c>
      <c r="D1383" s="13" t="s">
        <v>19</v>
      </c>
      <c r="E1383" s="13">
        <v>-212540</v>
      </c>
    </row>
    <row r="1384" spans="1:5">
      <c r="A1384" s="14">
        <v>43573</v>
      </c>
      <c r="B1384" s="12">
        <v>2000</v>
      </c>
      <c r="C1384" s="12" t="s">
        <v>18</v>
      </c>
      <c r="D1384" s="12" t="s">
        <v>19</v>
      </c>
      <c r="E1384" s="12">
        <v>-120654</v>
      </c>
    </row>
    <row r="1385" spans="1:5">
      <c r="A1385" s="15">
        <v>43573</v>
      </c>
      <c r="B1385" s="13">
        <v>2508</v>
      </c>
      <c r="C1385" s="13" t="s">
        <v>15</v>
      </c>
      <c r="D1385" s="13" t="s">
        <v>19</v>
      </c>
      <c r="E1385" s="13">
        <v>-52365</v>
      </c>
    </row>
    <row r="1386" spans="1:5">
      <c r="A1386" s="14">
        <v>43573</v>
      </c>
      <c r="B1386" s="12">
        <v>2512</v>
      </c>
      <c r="C1386" s="12" t="s">
        <v>16</v>
      </c>
      <c r="D1386" s="12" t="s">
        <v>19</v>
      </c>
      <c r="E1386" s="12">
        <v>-11331</v>
      </c>
    </row>
    <row r="1387" spans="1:5">
      <c r="A1387" s="15">
        <v>43573</v>
      </c>
      <c r="B1387" s="13">
        <v>2501</v>
      </c>
      <c r="C1387" s="13" t="s">
        <v>5</v>
      </c>
      <c r="D1387" s="13" t="s">
        <v>10</v>
      </c>
      <c r="E1387" s="13">
        <v>-173</v>
      </c>
    </row>
    <row r="1388" spans="1:5">
      <c r="A1388" s="14">
        <v>43573</v>
      </c>
      <c r="B1388" s="12">
        <v>2502</v>
      </c>
      <c r="C1388" s="12" t="s">
        <v>7</v>
      </c>
      <c r="D1388" s="12" t="s">
        <v>6</v>
      </c>
      <c r="E1388" s="12">
        <v>-5062</v>
      </c>
    </row>
    <row r="1389" spans="1:5">
      <c r="A1389" s="15">
        <v>43573</v>
      </c>
      <c r="B1389" s="13">
        <v>2505</v>
      </c>
      <c r="C1389" s="13" t="s">
        <v>9</v>
      </c>
      <c r="D1389" s="13" t="s">
        <v>6</v>
      </c>
      <c r="E1389" s="13">
        <v>-744</v>
      </c>
    </row>
    <row r="1390" spans="1:5">
      <c r="A1390" s="14">
        <v>43573</v>
      </c>
      <c r="B1390" s="12">
        <v>2508</v>
      </c>
      <c r="C1390" s="12" t="s">
        <v>15</v>
      </c>
      <c r="D1390" s="12" t="s">
        <v>13</v>
      </c>
      <c r="E1390" s="12">
        <v>-38062</v>
      </c>
    </row>
    <row r="1391" spans="1:5">
      <c r="A1391" s="15">
        <v>43573</v>
      </c>
      <c r="B1391" s="13">
        <v>2508</v>
      </c>
      <c r="C1391" s="13" t="s">
        <v>15</v>
      </c>
      <c r="D1391" s="13" t="s">
        <v>6</v>
      </c>
      <c r="E1391" s="13">
        <v>-70048</v>
      </c>
    </row>
    <row r="1392" spans="1:5">
      <c r="A1392" s="14">
        <v>43573</v>
      </c>
      <c r="B1392" s="12">
        <v>2512</v>
      </c>
      <c r="C1392" s="12" t="s">
        <v>16</v>
      </c>
      <c r="D1392" s="12" t="s">
        <v>6</v>
      </c>
      <c r="E1392" s="12">
        <v>-3213</v>
      </c>
    </row>
    <row r="1393" spans="1:5">
      <c r="A1393" s="15">
        <v>43573</v>
      </c>
      <c r="B1393" s="13">
        <v>2512</v>
      </c>
      <c r="C1393" s="13" t="s">
        <v>16</v>
      </c>
      <c r="D1393" s="13" t="s">
        <v>13</v>
      </c>
      <c r="E1393" s="13">
        <v>-590</v>
      </c>
    </row>
    <row r="1394" spans="1:5">
      <c r="A1394" s="14">
        <v>43573</v>
      </c>
      <c r="B1394" s="12">
        <v>2514</v>
      </c>
      <c r="C1394" s="12" t="s">
        <v>20</v>
      </c>
      <c r="D1394" s="12" t="s">
        <v>13</v>
      </c>
      <c r="E1394" s="12">
        <v>-789</v>
      </c>
    </row>
    <row r="1395" spans="1:5">
      <c r="A1395" s="15">
        <v>43573</v>
      </c>
      <c r="B1395" s="13">
        <v>2514</v>
      </c>
      <c r="C1395" s="13" t="s">
        <v>20</v>
      </c>
      <c r="D1395" s="13" t="s">
        <v>13</v>
      </c>
      <c r="E1395" s="13">
        <v>-1113</v>
      </c>
    </row>
    <row r="1396" spans="1:5">
      <c r="A1396" s="14">
        <v>43573</v>
      </c>
      <c r="B1396" s="12">
        <v>2502</v>
      </c>
      <c r="C1396" s="12" t="s">
        <v>7</v>
      </c>
      <c r="D1396" s="12" t="s">
        <v>19</v>
      </c>
      <c r="E1396" s="12">
        <v>-3112</v>
      </c>
    </row>
    <row r="1397" spans="1:5">
      <c r="A1397" s="15">
        <v>43573</v>
      </c>
      <c r="B1397" s="13">
        <v>2505</v>
      </c>
      <c r="C1397" s="13" t="s">
        <v>9</v>
      </c>
      <c r="D1397" s="13" t="s">
        <v>19</v>
      </c>
      <c r="E1397" s="13">
        <v>-384</v>
      </c>
    </row>
    <row r="1398" spans="1:5">
      <c r="A1398" s="14">
        <v>43573</v>
      </c>
      <c r="B1398" s="12">
        <v>2501</v>
      </c>
      <c r="C1398" s="12" t="s">
        <v>5</v>
      </c>
      <c r="D1398" s="12" t="s">
        <v>19</v>
      </c>
      <c r="E1398" s="12">
        <v>-79</v>
      </c>
    </row>
    <row r="1399" spans="1:5">
      <c r="A1399" s="15">
        <v>43573</v>
      </c>
      <c r="B1399" s="13">
        <v>1000</v>
      </c>
      <c r="C1399" s="13" t="s">
        <v>23</v>
      </c>
      <c r="D1399" s="13" t="s">
        <v>19</v>
      </c>
      <c r="E1399" s="13">
        <v>881023</v>
      </c>
    </row>
    <row r="1400" spans="1:5">
      <c r="A1400" s="14">
        <v>43574</v>
      </c>
      <c r="B1400" s="12">
        <v>2500</v>
      </c>
      <c r="C1400" s="12" t="s">
        <v>25</v>
      </c>
      <c r="D1400" s="12" t="s">
        <v>19</v>
      </c>
      <c r="E1400" s="12">
        <v>-18794</v>
      </c>
    </row>
    <row r="1401" spans="1:5">
      <c r="A1401" s="15">
        <v>43574</v>
      </c>
      <c r="B1401" s="13">
        <v>2501</v>
      </c>
      <c r="C1401" s="13" t="s">
        <v>5</v>
      </c>
      <c r="D1401" s="13" t="s">
        <v>13</v>
      </c>
      <c r="E1401" s="13">
        <v>-74</v>
      </c>
    </row>
    <row r="1402" spans="1:5">
      <c r="A1402" s="14">
        <v>43574</v>
      </c>
      <c r="B1402" s="12">
        <v>2505</v>
      </c>
      <c r="C1402" s="12" t="s">
        <v>9</v>
      </c>
      <c r="D1402" s="12" t="s">
        <v>13</v>
      </c>
      <c r="E1402" s="12">
        <v>-404</v>
      </c>
    </row>
    <row r="1403" spans="1:5">
      <c r="A1403" s="15">
        <v>43574</v>
      </c>
      <c r="B1403" s="13">
        <v>2512</v>
      </c>
      <c r="C1403" s="13" t="s">
        <v>16</v>
      </c>
      <c r="D1403" s="13" t="s">
        <v>6</v>
      </c>
      <c r="E1403" s="13">
        <v>-3931</v>
      </c>
    </row>
    <row r="1404" spans="1:5">
      <c r="A1404" s="14">
        <v>43574</v>
      </c>
      <c r="B1404" s="12">
        <v>2513</v>
      </c>
      <c r="C1404" s="12" t="s">
        <v>17</v>
      </c>
      <c r="D1404" s="12" t="s">
        <v>14</v>
      </c>
      <c r="E1404" s="12">
        <v>-577</v>
      </c>
    </row>
    <row r="1405" spans="1:5">
      <c r="A1405" s="15">
        <v>43574</v>
      </c>
      <c r="B1405" s="13">
        <v>2514</v>
      </c>
      <c r="C1405" s="13" t="s">
        <v>20</v>
      </c>
      <c r="D1405" s="13" t="s">
        <v>12</v>
      </c>
      <c r="E1405" s="13">
        <v>-2132</v>
      </c>
    </row>
    <row r="1406" spans="1:5">
      <c r="A1406" s="14">
        <v>43574</v>
      </c>
      <c r="B1406" s="12">
        <v>2514</v>
      </c>
      <c r="C1406" s="12" t="s">
        <v>20</v>
      </c>
      <c r="D1406" s="12" t="s">
        <v>14</v>
      </c>
      <c r="E1406" s="12">
        <v>-1172</v>
      </c>
    </row>
    <row r="1407" spans="1:5">
      <c r="A1407" s="15">
        <v>43574</v>
      </c>
      <c r="B1407" s="13">
        <v>2514</v>
      </c>
      <c r="C1407" s="13" t="s">
        <v>20</v>
      </c>
      <c r="D1407" s="13" t="s">
        <v>8</v>
      </c>
      <c r="E1407" s="13">
        <v>-1090</v>
      </c>
    </row>
    <row r="1408" spans="1:5">
      <c r="A1408" s="14">
        <v>43574</v>
      </c>
      <c r="B1408" s="12">
        <v>2512</v>
      </c>
      <c r="C1408" s="12" t="s">
        <v>16</v>
      </c>
      <c r="D1408" s="12" t="s">
        <v>19</v>
      </c>
      <c r="E1408" s="12">
        <v>-8006</v>
      </c>
    </row>
    <row r="1409" spans="1:5">
      <c r="A1409" s="15">
        <v>43574</v>
      </c>
      <c r="B1409" s="13">
        <v>2502</v>
      </c>
      <c r="C1409" s="13" t="s">
        <v>7</v>
      </c>
      <c r="D1409" s="13" t="s">
        <v>19</v>
      </c>
      <c r="E1409" s="13">
        <v>-5009</v>
      </c>
    </row>
    <row r="1410" spans="1:5">
      <c r="A1410" s="14">
        <v>43574</v>
      </c>
      <c r="B1410" s="12">
        <v>2514</v>
      </c>
      <c r="C1410" s="12" t="s">
        <v>20</v>
      </c>
      <c r="D1410" s="12" t="s">
        <v>19</v>
      </c>
      <c r="E1410" s="12">
        <v>-1091</v>
      </c>
    </row>
    <row r="1411" spans="1:5">
      <c r="A1411" s="15">
        <v>43574</v>
      </c>
      <c r="B1411" s="13">
        <v>2510</v>
      </c>
      <c r="C1411" s="13" t="s">
        <v>24</v>
      </c>
      <c r="D1411" s="13" t="s">
        <v>19</v>
      </c>
      <c r="E1411" s="13">
        <v>-982</v>
      </c>
    </row>
    <row r="1412" spans="1:5">
      <c r="A1412" s="14">
        <v>43574</v>
      </c>
      <c r="B1412" s="12">
        <v>2503</v>
      </c>
      <c r="C1412" s="12" t="s">
        <v>22</v>
      </c>
      <c r="D1412" s="12" t="s">
        <v>19</v>
      </c>
      <c r="E1412" s="12">
        <v>-255</v>
      </c>
    </row>
    <row r="1413" spans="1:5">
      <c r="A1413" s="15">
        <v>43575</v>
      </c>
      <c r="B1413" s="13">
        <v>2500</v>
      </c>
      <c r="C1413" s="13" t="s">
        <v>25</v>
      </c>
      <c r="D1413" s="13" t="s">
        <v>19</v>
      </c>
      <c r="E1413" s="13">
        <v>-50115</v>
      </c>
    </row>
    <row r="1414" spans="1:5">
      <c r="A1414" s="14">
        <v>43575</v>
      </c>
      <c r="B1414" s="12">
        <v>2502</v>
      </c>
      <c r="C1414" s="12" t="s">
        <v>7</v>
      </c>
      <c r="D1414" s="12" t="s">
        <v>8</v>
      </c>
      <c r="E1414" s="12">
        <v>-2999</v>
      </c>
    </row>
    <row r="1415" spans="1:5">
      <c r="A1415" s="15">
        <v>43575</v>
      </c>
      <c r="B1415" s="13">
        <v>2503</v>
      </c>
      <c r="C1415" s="13" t="s">
        <v>22</v>
      </c>
      <c r="D1415" s="13" t="s">
        <v>14</v>
      </c>
      <c r="E1415" s="13">
        <v>-277</v>
      </c>
    </row>
    <row r="1416" spans="1:5">
      <c r="A1416" s="14">
        <v>43575</v>
      </c>
      <c r="B1416" s="12">
        <v>2510</v>
      </c>
      <c r="C1416" s="12" t="s">
        <v>24</v>
      </c>
      <c r="D1416" s="12" t="s">
        <v>6</v>
      </c>
      <c r="E1416" s="12">
        <v>-1123</v>
      </c>
    </row>
    <row r="1417" spans="1:5">
      <c r="A1417" s="15">
        <v>43575</v>
      </c>
      <c r="B1417" s="13">
        <v>2502</v>
      </c>
      <c r="C1417" s="13" t="s">
        <v>7</v>
      </c>
      <c r="D1417" s="13" t="s">
        <v>19</v>
      </c>
      <c r="E1417" s="13">
        <v>-5198</v>
      </c>
    </row>
    <row r="1418" spans="1:5">
      <c r="A1418" s="14">
        <v>43575</v>
      </c>
      <c r="B1418" s="12">
        <v>2502</v>
      </c>
      <c r="C1418" s="12" t="s">
        <v>7</v>
      </c>
      <c r="D1418" s="12" t="s">
        <v>19</v>
      </c>
      <c r="E1418" s="12">
        <v>-4793</v>
      </c>
    </row>
    <row r="1419" spans="1:5">
      <c r="A1419" s="15">
        <v>43575</v>
      </c>
      <c r="B1419" s="13">
        <v>2502</v>
      </c>
      <c r="C1419" s="13" t="s">
        <v>7</v>
      </c>
      <c r="D1419" s="13" t="s">
        <v>19</v>
      </c>
      <c r="E1419" s="13">
        <v>-2328</v>
      </c>
    </row>
    <row r="1420" spans="1:5">
      <c r="A1420" s="14">
        <v>43575</v>
      </c>
      <c r="B1420" s="12">
        <v>2514</v>
      </c>
      <c r="C1420" s="12" t="s">
        <v>20</v>
      </c>
      <c r="D1420" s="12" t="s">
        <v>19</v>
      </c>
      <c r="E1420" s="12">
        <v>-1140</v>
      </c>
    </row>
    <row r="1421" spans="1:5">
      <c r="A1421" s="15">
        <v>43575</v>
      </c>
      <c r="B1421" s="13">
        <v>2514</v>
      </c>
      <c r="C1421" s="13" t="s">
        <v>20</v>
      </c>
      <c r="D1421" s="13" t="s">
        <v>19</v>
      </c>
      <c r="E1421" s="13">
        <v>-1028</v>
      </c>
    </row>
    <row r="1422" spans="1:5">
      <c r="A1422" s="14">
        <v>43575</v>
      </c>
      <c r="B1422" s="12">
        <v>2503</v>
      </c>
      <c r="C1422" s="12" t="s">
        <v>22</v>
      </c>
      <c r="D1422" s="12" t="s">
        <v>19</v>
      </c>
      <c r="E1422" s="12">
        <v>-247</v>
      </c>
    </row>
    <row r="1423" spans="1:5">
      <c r="A1423" s="15">
        <v>43576</v>
      </c>
      <c r="B1423" s="13">
        <v>2000</v>
      </c>
      <c r="C1423" s="13" t="s">
        <v>18</v>
      </c>
      <c r="D1423" s="13" t="s">
        <v>19</v>
      </c>
      <c r="E1423" s="13">
        <v>-157735</v>
      </c>
    </row>
    <row r="1424" spans="1:5">
      <c r="A1424" s="14">
        <v>43576</v>
      </c>
      <c r="B1424" s="12">
        <v>2508</v>
      </c>
      <c r="C1424" s="12" t="s">
        <v>15</v>
      </c>
      <c r="D1424" s="12" t="s">
        <v>19</v>
      </c>
      <c r="E1424" s="12">
        <v>-61934</v>
      </c>
    </row>
    <row r="1425" spans="1:5">
      <c r="A1425" s="15">
        <v>43576</v>
      </c>
      <c r="B1425" s="13">
        <v>2508</v>
      </c>
      <c r="C1425" s="13" t="s">
        <v>15</v>
      </c>
      <c r="D1425" s="13" t="s">
        <v>19</v>
      </c>
      <c r="E1425" s="13">
        <v>-60274</v>
      </c>
    </row>
    <row r="1426" spans="1:5">
      <c r="A1426" s="14">
        <v>43576</v>
      </c>
      <c r="B1426" s="12">
        <v>1500</v>
      </c>
      <c r="C1426" s="12" t="s">
        <v>26</v>
      </c>
      <c r="D1426" s="12" t="s">
        <v>19</v>
      </c>
      <c r="E1426" s="12">
        <v>-37241</v>
      </c>
    </row>
    <row r="1427" spans="1:5">
      <c r="A1427" s="15">
        <v>43576</v>
      </c>
      <c r="B1427" s="13">
        <v>2512</v>
      </c>
      <c r="C1427" s="13" t="s">
        <v>16</v>
      </c>
      <c r="D1427" s="13" t="s">
        <v>19</v>
      </c>
      <c r="E1427" s="13">
        <v>-12204</v>
      </c>
    </row>
    <row r="1428" spans="1:5">
      <c r="A1428" s="14">
        <v>43576</v>
      </c>
      <c r="B1428" s="12">
        <v>2512</v>
      </c>
      <c r="C1428" s="12" t="s">
        <v>16</v>
      </c>
      <c r="D1428" s="12" t="s">
        <v>19</v>
      </c>
      <c r="E1428" s="12">
        <v>-10118</v>
      </c>
    </row>
    <row r="1429" spans="1:5">
      <c r="A1429" s="15">
        <v>43576</v>
      </c>
      <c r="B1429" s="13">
        <v>2501</v>
      </c>
      <c r="C1429" s="13" t="s">
        <v>5</v>
      </c>
      <c r="D1429" s="13" t="s">
        <v>14</v>
      </c>
      <c r="E1429" s="13">
        <v>-137</v>
      </c>
    </row>
    <row r="1430" spans="1:5">
      <c r="A1430" s="14">
        <v>43576</v>
      </c>
      <c r="B1430" s="12">
        <v>2501</v>
      </c>
      <c r="C1430" s="12" t="s">
        <v>5</v>
      </c>
      <c r="D1430" s="12" t="s">
        <v>14</v>
      </c>
      <c r="E1430" s="12">
        <v>-147</v>
      </c>
    </row>
    <row r="1431" spans="1:5">
      <c r="A1431" s="15">
        <v>43576</v>
      </c>
      <c r="B1431" s="13">
        <v>2503</v>
      </c>
      <c r="C1431" s="13" t="s">
        <v>22</v>
      </c>
      <c r="D1431" s="13" t="s">
        <v>13</v>
      </c>
      <c r="E1431" s="13">
        <v>-215</v>
      </c>
    </row>
    <row r="1432" spans="1:5">
      <c r="A1432" s="14">
        <v>43576</v>
      </c>
      <c r="B1432" s="12">
        <v>2505</v>
      </c>
      <c r="C1432" s="12" t="s">
        <v>9</v>
      </c>
      <c r="D1432" s="12" t="s">
        <v>10</v>
      </c>
      <c r="E1432" s="12">
        <v>-800</v>
      </c>
    </row>
    <row r="1433" spans="1:5">
      <c r="A1433" s="15">
        <v>43576</v>
      </c>
      <c r="B1433" s="13">
        <v>2513</v>
      </c>
      <c r="C1433" s="13" t="s">
        <v>17</v>
      </c>
      <c r="D1433" s="13" t="s">
        <v>14</v>
      </c>
      <c r="E1433" s="13">
        <v>-594</v>
      </c>
    </row>
    <row r="1434" spans="1:5">
      <c r="A1434" s="14">
        <v>43576</v>
      </c>
      <c r="B1434" s="12">
        <v>2514</v>
      </c>
      <c r="C1434" s="12" t="s">
        <v>20</v>
      </c>
      <c r="D1434" s="12" t="s">
        <v>6</v>
      </c>
      <c r="E1434" s="12">
        <v>-1250</v>
      </c>
    </row>
    <row r="1435" spans="1:5">
      <c r="A1435" s="15">
        <v>43576</v>
      </c>
      <c r="B1435" s="13">
        <v>2510</v>
      </c>
      <c r="C1435" s="13" t="s">
        <v>24</v>
      </c>
      <c r="D1435" s="13" t="s">
        <v>14</v>
      </c>
      <c r="E1435" s="13">
        <v>-1761</v>
      </c>
    </row>
    <row r="1436" spans="1:5">
      <c r="A1436" s="14">
        <v>43576</v>
      </c>
      <c r="B1436" s="12">
        <v>2502</v>
      </c>
      <c r="C1436" s="12" t="s">
        <v>7</v>
      </c>
      <c r="D1436" s="12" t="s">
        <v>19</v>
      </c>
      <c r="E1436" s="12">
        <v>-6001</v>
      </c>
    </row>
    <row r="1437" spans="1:5">
      <c r="A1437" s="15">
        <v>43576</v>
      </c>
      <c r="B1437" s="13">
        <v>2513</v>
      </c>
      <c r="C1437" s="13" t="s">
        <v>17</v>
      </c>
      <c r="D1437" s="13" t="s">
        <v>19</v>
      </c>
      <c r="E1437" s="13">
        <v>-753</v>
      </c>
    </row>
    <row r="1438" spans="1:5">
      <c r="A1438" s="14">
        <v>43576</v>
      </c>
      <c r="B1438" s="12">
        <v>2513</v>
      </c>
      <c r="C1438" s="12" t="s">
        <v>17</v>
      </c>
      <c r="D1438" s="12" t="s">
        <v>19</v>
      </c>
      <c r="E1438" s="12">
        <v>-714</v>
      </c>
    </row>
    <row r="1439" spans="1:5">
      <c r="A1439" s="15">
        <v>43576</v>
      </c>
      <c r="B1439" s="13">
        <v>2503</v>
      </c>
      <c r="C1439" s="13" t="s">
        <v>22</v>
      </c>
      <c r="D1439" s="13" t="s">
        <v>19</v>
      </c>
      <c r="E1439" s="13">
        <v>-258</v>
      </c>
    </row>
    <row r="1440" spans="1:5">
      <c r="A1440" s="14">
        <v>43577</v>
      </c>
      <c r="B1440" s="12">
        <v>2500</v>
      </c>
      <c r="C1440" s="12" t="s">
        <v>25</v>
      </c>
      <c r="D1440" s="12" t="s">
        <v>19</v>
      </c>
      <c r="E1440" s="12">
        <v>-43908</v>
      </c>
    </row>
    <row r="1441" spans="1:5">
      <c r="A1441" s="15">
        <v>43577</v>
      </c>
      <c r="B1441" s="13">
        <v>2501</v>
      </c>
      <c r="C1441" s="13" t="s">
        <v>5</v>
      </c>
      <c r="D1441" s="13" t="s">
        <v>6</v>
      </c>
      <c r="E1441" s="13">
        <v>-103</v>
      </c>
    </row>
    <row r="1442" spans="1:5">
      <c r="A1442" s="14">
        <v>43577</v>
      </c>
      <c r="B1442" s="12">
        <v>2502</v>
      </c>
      <c r="C1442" s="12" t="s">
        <v>7</v>
      </c>
      <c r="D1442" s="12" t="s">
        <v>6</v>
      </c>
      <c r="E1442" s="12">
        <v>-3765</v>
      </c>
    </row>
    <row r="1443" spans="1:5">
      <c r="A1443" s="15">
        <v>43577</v>
      </c>
      <c r="B1443" s="13">
        <v>2503</v>
      </c>
      <c r="C1443" s="13" t="s">
        <v>22</v>
      </c>
      <c r="D1443" s="13" t="s">
        <v>8</v>
      </c>
      <c r="E1443" s="13">
        <v>-354</v>
      </c>
    </row>
    <row r="1444" spans="1:5">
      <c r="A1444" s="14">
        <v>43577</v>
      </c>
      <c r="B1444" s="12">
        <v>2508</v>
      </c>
      <c r="C1444" s="12" t="s">
        <v>15</v>
      </c>
      <c r="D1444" s="12" t="s">
        <v>13</v>
      </c>
      <c r="E1444" s="12">
        <v>-48631</v>
      </c>
    </row>
    <row r="1445" spans="1:5">
      <c r="A1445" s="15">
        <v>43577</v>
      </c>
      <c r="B1445" s="13">
        <v>2508</v>
      </c>
      <c r="C1445" s="13" t="s">
        <v>15</v>
      </c>
      <c r="D1445" s="13" t="s">
        <v>12</v>
      </c>
      <c r="E1445" s="13">
        <v>-88280</v>
      </c>
    </row>
    <row r="1446" spans="1:5">
      <c r="A1446" s="14">
        <v>43577</v>
      </c>
      <c r="B1446" s="12">
        <v>2508</v>
      </c>
      <c r="C1446" s="12" t="s">
        <v>15</v>
      </c>
      <c r="D1446" s="12" t="s">
        <v>8</v>
      </c>
      <c r="E1446" s="12">
        <v>-55492</v>
      </c>
    </row>
    <row r="1447" spans="1:5">
      <c r="A1447" s="15">
        <v>43577</v>
      </c>
      <c r="B1447" s="13">
        <v>2508</v>
      </c>
      <c r="C1447" s="13" t="s">
        <v>15</v>
      </c>
      <c r="D1447" s="13" t="s">
        <v>10</v>
      </c>
      <c r="E1447" s="13">
        <v>-54457</v>
      </c>
    </row>
    <row r="1448" spans="1:5">
      <c r="A1448" s="14">
        <v>43577</v>
      </c>
      <c r="B1448" s="12">
        <v>2513</v>
      </c>
      <c r="C1448" s="12" t="s">
        <v>17</v>
      </c>
      <c r="D1448" s="12" t="s">
        <v>10</v>
      </c>
      <c r="E1448" s="12">
        <v>-852</v>
      </c>
    </row>
    <row r="1449" spans="1:5">
      <c r="A1449" s="15">
        <v>43577</v>
      </c>
      <c r="B1449" s="13">
        <v>2510</v>
      </c>
      <c r="C1449" s="13" t="s">
        <v>24</v>
      </c>
      <c r="D1449" s="13" t="s">
        <v>14</v>
      </c>
      <c r="E1449" s="13">
        <v>-1316</v>
      </c>
    </row>
    <row r="1450" spans="1:5">
      <c r="A1450" s="14">
        <v>43577</v>
      </c>
      <c r="B1450" s="12">
        <v>2502</v>
      </c>
      <c r="C1450" s="12" t="s">
        <v>7</v>
      </c>
      <c r="D1450" s="12" t="s">
        <v>19</v>
      </c>
      <c r="E1450" s="12">
        <v>-5203</v>
      </c>
    </row>
    <row r="1451" spans="1:5">
      <c r="A1451" s="15">
        <v>43577</v>
      </c>
      <c r="B1451" s="13">
        <v>2504</v>
      </c>
      <c r="C1451" s="13" t="s">
        <v>21</v>
      </c>
      <c r="D1451" s="13" t="s">
        <v>19</v>
      </c>
      <c r="E1451" s="13">
        <v>-2545</v>
      </c>
    </row>
    <row r="1452" spans="1:5">
      <c r="A1452" s="14">
        <v>43577</v>
      </c>
      <c r="B1452" s="12">
        <v>2505</v>
      </c>
      <c r="C1452" s="12" t="s">
        <v>9</v>
      </c>
      <c r="D1452" s="12" t="s">
        <v>19</v>
      </c>
      <c r="E1452" s="12">
        <v>-323</v>
      </c>
    </row>
    <row r="1453" spans="1:5">
      <c r="A1453" s="15">
        <v>43578</v>
      </c>
      <c r="B1453" s="13">
        <v>1500</v>
      </c>
      <c r="C1453" s="13" t="s">
        <v>26</v>
      </c>
      <c r="D1453" s="13" t="s">
        <v>19</v>
      </c>
      <c r="E1453" s="13">
        <v>-54457</v>
      </c>
    </row>
    <row r="1454" spans="1:5">
      <c r="A1454" s="14">
        <v>43578</v>
      </c>
      <c r="B1454" s="12">
        <v>2500</v>
      </c>
      <c r="C1454" s="12" t="s">
        <v>25</v>
      </c>
      <c r="D1454" s="12" t="s">
        <v>19</v>
      </c>
      <c r="E1454" s="12">
        <v>-34144</v>
      </c>
    </row>
    <row r="1455" spans="1:5">
      <c r="A1455" s="15">
        <v>43578</v>
      </c>
      <c r="B1455" s="13">
        <v>2501</v>
      </c>
      <c r="C1455" s="13" t="s">
        <v>5</v>
      </c>
      <c r="D1455" s="13" t="s">
        <v>14</v>
      </c>
      <c r="E1455" s="13">
        <v>-121</v>
      </c>
    </row>
    <row r="1456" spans="1:5">
      <c r="A1456" s="14">
        <v>43578</v>
      </c>
      <c r="B1456" s="12">
        <v>2502</v>
      </c>
      <c r="C1456" s="12" t="s">
        <v>7</v>
      </c>
      <c r="D1456" s="12" t="s">
        <v>14</v>
      </c>
      <c r="E1456" s="12">
        <v>-5370</v>
      </c>
    </row>
    <row r="1457" spans="1:5">
      <c r="A1457" s="15">
        <v>43578</v>
      </c>
      <c r="B1457" s="13">
        <v>2502</v>
      </c>
      <c r="C1457" s="13" t="s">
        <v>7</v>
      </c>
      <c r="D1457" s="13" t="s">
        <v>14</v>
      </c>
      <c r="E1457" s="13">
        <v>-7290</v>
      </c>
    </row>
    <row r="1458" spans="1:5">
      <c r="A1458" s="14">
        <v>43578</v>
      </c>
      <c r="B1458" s="12">
        <v>2503</v>
      </c>
      <c r="C1458" s="12" t="s">
        <v>22</v>
      </c>
      <c r="D1458" s="12" t="s">
        <v>12</v>
      </c>
      <c r="E1458" s="12">
        <v>-623</v>
      </c>
    </row>
    <row r="1459" spans="1:5">
      <c r="A1459" s="15">
        <v>43578</v>
      </c>
      <c r="B1459" s="13">
        <v>2503</v>
      </c>
      <c r="C1459" s="13" t="s">
        <v>22</v>
      </c>
      <c r="D1459" s="13" t="s">
        <v>13</v>
      </c>
      <c r="E1459" s="13">
        <v>-215</v>
      </c>
    </row>
    <row r="1460" spans="1:5">
      <c r="A1460" s="14">
        <v>43578</v>
      </c>
      <c r="B1460" s="12">
        <v>2505</v>
      </c>
      <c r="C1460" s="12" t="s">
        <v>9</v>
      </c>
      <c r="D1460" s="12" t="s">
        <v>10</v>
      </c>
      <c r="E1460" s="12">
        <v>-769</v>
      </c>
    </row>
    <row r="1461" spans="1:5">
      <c r="A1461" s="15">
        <v>43578</v>
      </c>
      <c r="B1461" s="13">
        <v>2508</v>
      </c>
      <c r="C1461" s="13" t="s">
        <v>15</v>
      </c>
      <c r="D1461" s="13" t="s">
        <v>6</v>
      </c>
      <c r="E1461" s="13">
        <v>-57539</v>
      </c>
    </row>
    <row r="1462" spans="1:5">
      <c r="A1462" s="14">
        <v>43578</v>
      </c>
      <c r="B1462" s="12">
        <v>2513</v>
      </c>
      <c r="C1462" s="12" t="s">
        <v>17</v>
      </c>
      <c r="D1462" s="12" t="s">
        <v>13</v>
      </c>
      <c r="E1462" s="12">
        <v>-532</v>
      </c>
    </row>
    <row r="1463" spans="1:5">
      <c r="A1463" s="15">
        <v>43578</v>
      </c>
      <c r="B1463" s="13">
        <v>2514</v>
      </c>
      <c r="C1463" s="13" t="s">
        <v>20</v>
      </c>
      <c r="D1463" s="13" t="s">
        <v>10</v>
      </c>
      <c r="E1463" s="13">
        <v>-1593</v>
      </c>
    </row>
    <row r="1464" spans="1:5">
      <c r="A1464" s="14">
        <v>43578</v>
      </c>
      <c r="B1464" s="12">
        <v>2510</v>
      </c>
      <c r="C1464" s="12" t="s">
        <v>24</v>
      </c>
      <c r="D1464" s="12" t="s">
        <v>6</v>
      </c>
      <c r="E1464" s="12">
        <v>-1746</v>
      </c>
    </row>
    <row r="1465" spans="1:5">
      <c r="A1465" s="15">
        <v>43578</v>
      </c>
      <c r="B1465" s="13">
        <v>2502</v>
      </c>
      <c r="C1465" s="13" t="s">
        <v>7</v>
      </c>
      <c r="D1465" s="13" t="s">
        <v>19</v>
      </c>
      <c r="E1465" s="13">
        <v>-3325</v>
      </c>
    </row>
    <row r="1466" spans="1:5">
      <c r="A1466" s="14">
        <v>43578</v>
      </c>
      <c r="B1466" s="12">
        <v>2514</v>
      </c>
      <c r="C1466" s="12" t="s">
        <v>20</v>
      </c>
      <c r="D1466" s="12" t="s">
        <v>19</v>
      </c>
      <c r="E1466" s="12">
        <v>-935</v>
      </c>
    </row>
    <row r="1467" spans="1:5">
      <c r="A1467" s="15">
        <v>43578</v>
      </c>
      <c r="B1467" s="13">
        <v>2514</v>
      </c>
      <c r="C1467" s="13" t="s">
        <v>20</v>
      </c>
      <c r="D1467" s="13" t="s">
        <v>19</v>
      </c>
      <c r="E1467" s="13">
        <v>-821</v>
      </c>
    </row>
    <row r="1468" spans="1:5">
      <c r="A1468" s="14">
        <v>43578</v>
      </c>
      <c r="B1468" s="12">
        <v>2513</v>
      </c>
      <c r="C1468" s="12" t="s">
        <v>17</v>
      </c>
      <c r="D1468" s="12" t="s">
        <v>19</v>
      </c>
      <c r="E1468" s="12">
        <v>-703</v>
      </c>
    </row>
    <row r="1469" spans="1:5">
      <c r="A1469" s="15">
        <v>43578</v>
      </c>
      <c r="B1469" s="13">
        <v>2505</v>
      </c>
      <c r="C1469" s="13" t="s">
        <v>9</v>
      </c>
      <c r="D1469" s="13" t="s">
        <v>19</v>
      </c>
      <c r="E1469" s="13">
        <v>-533</v>
      </c>
    </row>
    <row r="1470" spans="1:5">
      <c r="A1470" s="14">
        <v>43578</v>
      </c>
      <c r="B1470" s="12">
        <v>2503</v>
      </c>
      <c r="C1470" s="12" t="s">
        <v>22</v>
      </c>
      <c r="D1470" s="12" t="s">
        <v>19</v>
      </c>
      <c r="E1470" s="12">
        <v>-223</v>
      </c>
    </row>
    <row r="1471" spans="1:5">
      <c r="A1471" s="15">
        <v>43578</v>
      </c>
      <c r="B1471" s="13">
        <v>2501</v>
      </c>
      <c r="C1471" s="13" t="s">
        <v>5</v>
      </c>
      <c r="D1471" s="13" t="s">
        <v>19</v>
      </c>
      <c r="E1471" s="13">
        <v>-131</v>
      </c>
    </row>
    <row r="1472" spans="1:5">
      <c r="A1472" s="14">
        <v>43578</v>
      </c>
      <c r="B1472" s="12">
        <v>1000</v>
      </c>
      <c r="C1472" s="12" t="s">
        <v>23</v>
      </c>
      <c r="D1472" s="12" t="s">
        <v>19</v>
      </c>
      <c r="E1472" s="12">
        <v>995162</v>
      </c>
    </row>
    <row r="1473" spans="1:5">
      <c r="A1473" s="15">
        <v>43579</v>
      </c>
      <c r="B1473" s="13">
        <v>2500</v>
      </c>
      <c r="C1473" s="13" t="s">
        <v>25</v>
      </c>
      <c r="D1473" s="13" t="s">
        <v>19</v>
      </c>
      <c r="E1473" s="13">
        <v>-43842</v>
      </c>
    </row>
    <row r="1474" spans="1:5">
      <c r="A1474" s="14">
        <v>43579</v>
      </c>
      <c r="B1474" s="12">
        <v>2502</v>
      </c>
      <c r="C1474" s="12" t="s">
        <v>7</v>
      </c>
      <c r="D1474" s="12" t="s">
        <v>8</v>
      </c>
      <c r="E1474" s="12">
        <v>-4833</v>
      </c>
    </row>
    <row r="1475" spans="1:5">
      <c r="A1475" s="15">
        <v>43579</v>
      </c>
      <c r="B1475" s="13">
        <v>2502</v>
      </c>
      <c r="C1475" s="13" t="s">
        <v>7</v>
      </c>
      <c r="D1475" s="13" t="s">
        <v>8</v>
      </c>
      <c r="E1475" s="13">
        <v>-3534</v>
      </c>
    </row>
    <row r="1476" spans="1:5">
      <c r="A1476" s="14">
        <v>43579</v>
      </c>
      <c r="B1476" s="12">
        <v>2508</v>
      </c>
      <c r="C1476" s="12" t="s">
        <v>15</v>
      </c>
      <c r="D1476" s="12" t="s">
        <v>12</v>
      </c>
      <c r="E1476" s="12">
        <v>-106371</v>
      </c>
    </row>
    <row r="1477" spans="1:5">
      <c r="A1477" s="15">
        <v>43579</v>
      </c>
      <c r="B1477" s="13">
        <v>2508</v>
      </c>
      <c r="C1477" s="13" t="s">
        <v>15</v>
      </c>
      <c r="D1477" s="13" t="s">
        <v>12</v>
      </c>
      <c r="E1477" s="13">
        <v>-108030</v>
      </c>
    </row>
    <row r="1478" spans="1:5">
      <c r="A1478" s="14">
        <v>43579</v>
      </c>
      <c r="B1478" s="12">
        <v>2514</v>
      </c>
      <c r="C1478" s="12" t="s">
        <v>20</v>
      </c>
      <c r="D1478" s="12" t="s">
        <v>8</v>
      </c>
      <c r="E1478" s="12">
        <v>-1601</v>
      </c>
    </row>
    <row r="1479" spans="1:5">
      <c r="A1479" s="15">
        <v>43579</v>
      </c>
      <c r="B1479" s="13">
        <v>2510</v>
      </c>
      <c r="C1479" s="13" t="s">
        <v>24</v>
      </c>
      <c r="D1479" s="13" t="s">
        <v>13</v>
      </c>
      <c r="E1479" s="13">
        <v>-805</v>
      </c>
    </row>
    <row r="1480" spans="1:5">
      <c r="A1480" s="14">
        <v>43579</v>
      </c>
      <c r="B1480" s="12">
        <v>2502</v>
      </c>
      <c r="C1480" s="12" t="s">
        <v>7</v>
      </c>
      <c r="D1480" s="12" t="s">
        <v>19</v>
      </c>
      <c r="E1480" s="12">
        <v>-5665</v>
      </c>
    </row>
    <row r="1481" spans="1:5">
      <c r="A1481" s="15">
        <v>43579</v>
      </c>
      <c r="B1481" s="13">
        <v>2502</v>
      </c>
      <c r="C1481" s="13" t="s">
        <v>7</v>
      </c>
      <c r="D1481" s="13" t="s">
        <v>19</v>
      </c>
      <c r="E1481" s="13">
        <v>-3524</v>
      </c>
    </row>
    <row r="1482" spans="1:5">
      <c r="A1482" s="14">
        <v>43579</v>
      </c>
      <c r="B1482" s="12">
        <v>2502</v>
      </c>
      <c r="C1482" s="12" t="s">
        <v>7</v>
      </c>
      <c r="D1482" s="12" t="s">
        <v>19</v>
      </c>
      <c r="E1482" s="12">
        <v>-2982</v>
      </c>
    </row>
    <row r="1483" spans="1:5">
      <c r="A1483" s="15">
        <v>43580</v>
      </c>
      <c r="B1483" s="13">
        <v>2503</v>
      </c>
      <c r="C1483" s="13" t="s">
        <v>22</v>
      </c>
      <c r="D1483" s="13" t="s">
        <v>13</v>
      </c>
      <c r="E1483" s="13">
        <v>-232</v>
      </c>
    </row>
    <row r="1484" spans="1:5">
      <c r="A1484" s="14">
        <v>43580</v>
      </c>
      <c r="B1484" s="12">
        <v>2508</v>
      </c>
      <c r="C1484" s="12" t="s">
        <v>15</v>
      </c>
      <c r="D1484" s="12" t="s">
        <v>13</v>
      </c>
      <c r="E1484" s="12">
        <v>-57431</v>
      </c>
    </row>
    <row r="1485" spans="1:5">
      <c r="A1485" s="15">
        <v>43580</v>
      </c>
      <c r="B1485" s="13">
        <v>2513</v>
      </c>
      <c r="C1485" s="13" t="s">
        <v>17</v>
      </c>
      <c r="D1485" s="13" t="s">
        <v>6</v>
      </c>
      <c r="E1485" s="13">
        <v>-1248</v>
      </c>
    </row>
    <row r="1486" spans="1:5">
      <c r="A1486" s="14">
        <v>43580</v>
      </c>
      <c r="B1486" s="12">
        <v>2510</v>
      </c>
      <c r="C1486" s="12" t="s">
        <v>24</v>
      </c>
      <c r="D1486" s="12" t="s">
        <v>14</v>
      </c>
      <c r="E1486" s="12">
        <v>-1917</v>
      </c>
    </row>
    <row r="1487" spans="1:5">
      <c r="A1487" s="15">
        <v>43580</v>
      </c>
      <c r="B1487" s="13">
        <v>2502</v>
      </c>
      <c r="C1487" s="13" t="s">
        <v>7</v>
      </c>
      <c r="D1487" s="13" t="s">
        <v>19</v>
      </c>
      <c r="E1487" s="13">
        <v>-5675</v>
      </c>
    </row>
    <row r="1488" spans="1:5">
      <c r="A1488" s="14">
        <v>43580</v>
      </c>
      <c r="B1488" s="12">
        <v>2501</v>
      </c>
      <c r="C1488" s="12" t="s">
        <v>5</v>
      </c>
      <c r="D1488" s="12" t="s">
        <v>19</v>
      </c>
      <c r="E1488" s="12">
        <v>-117</v>
      </c>
    </row>
    <row r="1489" spans="1:5">
      <c r="A1489" s="15">
        <v>43581</v>
      </c>
      <c r="B1489" s="13">
        <v>2000</v>
      </c>
      <c r="C1489" s="13" t="s">
        <v>18</v>
      </c>
      <c r="D1489" s="13" t="s">
        <v>19</v>
      </c>
      <c r="E1489" s="13">
        <v>-135262</v>
      </c>
    </row>
    <row r="1490" spans="1:5">
      <c r="A1490" s="14">
        <v>43581</v>
      </c>
      <c r="B1490" s="12">
        <v>1500</v>
      </c>
      <c r="C1490" s="12" t="s">
        <v>26</v>
      </c>
      <c r="D1490" s="12" t="s">
        <v>19</v>
      </c>
      <c r="E1490" s="12">
        <v>-55400</v>
      </c>
    </row>
    <row r="1491" spans="1:5">
      <c r="A1491" s="15">
        <v>43581</v>
      </c>
      <c r="B1491" s="13">
        <v>2512</v>
      </c>
      <c r="C1491" s="13" t="s">
        <v>16</v>
      </c>
      <c r="D1491" s="13" t="s">
        <v>19</v>
      </c>
      <c r="E1491" s="13">
        <v>-12469</v>
      </c>
    </row>
    <row r="1492" spans="1:5">
      <c r="A1492" s="14">
        <v>43581</v>
      </c>
      <c r="B1492" s="12">
        <v>2501</v>
      </c>
      <c r="C1492" s="12" t="s">
        <v>5</v>
      </c>
      <c r="D1492" s="12" t="s">
        <v>14</v>
      </c>
      <c r="E1492" s="12">
        <v>-180</v>
      </c>
    </row>
    <row r="1493" spans="1:5">
      <c r="A1493" s="15">
        <v>43581</v>
      </c>
      <c r="B1493" s="13">
        <v>2503</v>
      </c>
      <c r="C1493" s="13" t="s">
        <v>22</v>
      </c>
      <c r="D1493" s="13" t="s">
        <v>6</v>
      </c>
      <c r="E1493" s="13">
        <v>-295</v>
      </c>
    </row>
    <row r="1494" spans="1:5">
      <c r="A1494" s="14">
        <v>43581</v>
      </c>
      <c r="B1494" s="12">
        <v>2503</v>
      </c>
      <c r="C1494" s="12" t="s">
        <v>22</v>
      </c>
      <c r="D1494" s="12" t="s">
        <v>10</v>
      </c>
      <c r="E1494" s="12">
        <v>-416</v>
      </c>
    </row>
    <row r="1495" spans="1:5">
      <c r="A1495" s="15">
        <v>43581</v>
      </c>
      <c r="B1495" s="13">
        <v>2506</v>
      </c>
      <c r="C1495" s="13" t="s">
        <v>27</v>
      </c>
      <c r="D1495" s="13" t="s">
        <v>8</v>
      </c>
      <c r="E1495" s="13">
        <v>-692</v>
      </c>
    </row>
    <row r="1496" spans="1:5">
      <c r="A1496" s="14">
        <v>43581</v>
      </c>
      <c r="B1496" s="12">
        <v>2512</v>
      </c>
      <c r="C1496" s="12" t="s">
        <v>16</v>
      </c>
      <c r="D1496" s="12" t="s">
        <v>12</v>
      </c>
      <c r="E1496" s="12">
        <v>-933</v>
      </c>
    </row>
    <row r="1497" spans="1:5">
      <c r="A1497" s="15">
        <v>43581</v>
      </c>
      <c r="B1497" s="13">
        <v>2513</v>
      </c>
      <c r="C1497" s="13" t="s">
        <v>17</v>
      </c>
      <c r="D1497" s="13" t="s">
        <v>10</v>
      </c>
      <c r="E1497" s="13">
        <v>-545</v>
      </c>
    </row>
    <row r="1498" spans="1:5">
      <c r="A1498" s="14">
        <v>43581</v>
      </c>
      <c r="B1498" s="12">
        <v>2513</v>
      </c>
      <c r="C1498" s="12" t="s">
        <v>17</v>
      </c>
      <c r="D1498" s="12" t="s">
        <v>6</v>
      </c>
      <c r="E1498" s="12">
        <v>-573</v>
      </c>
    </row>
    <row r="1499" spans="1:5">
      <c r="A1499" s="15">
        <v>43581</v>
      </c>
      <c r="B1499" s="13">
        <v>2514</v>
      </c>
      <c r="C1499" s="13" t="s">
        <v>20</v>
      </c>
      <c r="D1499" s="13" t="s">
        <v>8</v>
      </c>
      <c r="E1499" s="13">
        <v>-1349</v>
      </c>
    </row>
    <row r="1500" spans="1:5">
      <c r="A1500" s="14">
        <v>43581</v>
      </c>
      <c r="B1500" s="12">
        <v>2514</v>
      </c>
      <c r="C1500" s="12" t="s">
        <v>20</v>
      </c>
      <c r="D1500" s="12" t="s">
        <v>6</v>
      </c>
      <c r="E1500" s="12">
        <v>-1028</v>
      </c>
    </row>
    <row r="1501" spans="1:5">
      <c r="A1501" s="15">
        <v>43581</v>
      </c>
      <c r="B1501" s="13">
        <v>2510</v>
      </c>
      <c r="C1501" s="13" t="s">
        <v>24</v>
      </c>
      <c r="D1501" s="13" t="s">
        <v>8</v>
      </c>
      <c r="E1501" s="13">
        <v>-1146</v>
      </c>
    </row>
    <row r="1502" spans="1:5">
      <c r="A1502" s="14">
        <v>43581</v>
      </c>
      <c r="B1502" s="12">
        <v>2512</v>
      </c>
      <c r="C1502" s="12" t="s">
        <v>16</v>
      </c>
      <c r="D1502" s="12" t="s">
        <v>19</v>
      </c>
      <c r="E1502" s="12">
        <v>-6935</v>
      </c>
    </row>
    <row r="1503" spans="1:5">
      <c r="A1503" s="15">
        <v>43581</v>
      </c>
      <c r="B1503" s="13">
        <v>2502</v>
      </c>
      <c r="C1503" s="13" t="s">
        <v>7</v>
      </c>
      <c r="D1503" s="13" t="s">
        <v>19</v>
      </c>
      <c r="E1503" s="13">
        <v>-3554</v>
      </c>
    </row>
    <row r="1504" spans="1:5">
      <c r="A1504" s="14">
        <v>43581</v>
      </c>
      <c r="B1504" s="12">
        <v>2503</v>
      </c>
      <c r="C1504" s="12" t="s">
        <v>22</v>
      </c>
      <c r="D1504" s="12" t="s">
        <v>19</v>
      </c>
      <c r="E1504" s="12">
        <v>-274</v>
      </c>
    </row>
    <row r="1505" spans="1:5">
      <c r="A1505" s="15">
        <v>43581</v>
      </c>
      <c r="B1505" s="13">
        <v>2503</v>
      </c>
      <c r="C1505" s="13" t="s">
        <v>22</v>
      </c>
      <c r="D1505" s="13" t="s">
        <v>19</v>
      </c>
      <c r="E1505" s="13">
        <v>-225</v>
      </c>
    </row>
    <row r="1506" spans="1:5">
      <c r="A1506" s="14">
        <v>43582</v>
      </c>
      <c r="B1506" s="12">
        <v>2508</v>
      </c>
      <c r="C1506" s="12" t="s">
        <v>15</v>
      </c>
      <c r="D1506" s="12" t="s">
        <v>19</v>
      </c>
      <c r="E1506" s="12">
        <v>-63050</v>
      </c>
    </row>
    <row r="1507" spans="1:5">
      <c r="A1507" s="15">
        <v>43582</v>
      </c>
      <c r="B1507" s="13">
        <v>2512</v>
      </c>
      <c r="C1507" s="13" t="s">
        <v>16</v>
      </c>
      <c r="D1507" s="13" t="s">
        <v>19</v>
      </c>
      <c r="E1507" s="13">
        <v>-8696</v>
      </c>
    </row>
    <row r="1508" spans="1:5">
      <c r="A1508" s="14">
        <v>43582</v>
      </c>
      <c r="B1508" s="12">
        <v>2505</v>
      </c>
      <c r="C1508" s="12" t="s">
        <v>9</v>
      </c>
      <c r="D1508" s="12" t="s">
        <v>13</v>
      </c>
      <c r="E1508" s="12">
        <v>-487</v>
      </c>
    </row>
    <row r="1509" spans="1:5">
      <c r="A1509" s="15">
        <v>43582</v>
      </c>
      <c r="B1509" s="13">
        <v>2508</v>
      </c>
      <c r="C1509" s="13" t="s">
        <v>15</v>
      </c>
      <c r="D1509" s="13" t="s">
        <v>14</v>
      </c>
      <c r="E1509" s="13">
        <v>-73290</v>
      </c>
    </row>
    <row r="1510" spans="1:5">
      <c r="A1510" s="14">
        <v>43582</v>
      </c>
      <c r="B1510" s="12">
        <v>2508</v>
      </c>
      <c r="C1510" s="12" t="s">
        <v>15</v>
      </c>
      <c r="D1510" s="12" t="s">
        <v>6</v>
      </c>
      <c r="E1510" s="12">
        <v>-76122</v>
      </c>
    </row>
    <row r="1511" spans="1:5">
      <c r="A1511" s="15">
        <v>43582</v>
      </c>
      <c r="B1511" s="13">
        <v>2504</v>
      </c>
      <c r="C1511" s="13" t="s">
        <v>21</v>
      </c>
      <c r="D1511" s="13" t="s">
        <v>19</v>
      </c>
      <c r="E1511" s="13">
        <v>-1283</v>
      </c>
    </row>
    <row r="1512" spans="1:5">
      <c r="A1512" s="14">
        <v>43583</v>
      </c>
      <c r="B1512" s="12">
        <v>2000</v>
      </c>
      <c r="C1512" s="12" t="s">
        <v>18</v>
      </c>
      <c r="D1512" s="12" t="s">
        <v>19</v>
      </c>
      <c r="E1512" s="12">
        <v>-318936</v>
      </c>
    </row>
    <row r="1513" spans="1:5">
      <c r="A1513" s="15">
        <v>43583</v>
      </c>
      <c r="B1513" s="13">
        <v>2000</v>
      </c>
      <c r="C1513" s="13" t="s">
        <v>18</v>
      </c>
      <c r="D1513" s="13" t="s">
        <v>19</v>
      </c>
      <c r="E1513" s="13">
        <v>-237254</v>
      </c>
    </row>
    <row r="1514" spans="1:5">
      <c r="A1514" s="14">
        <v>43583</v>
      </c>
      <c r="B1514" s="12">
        <v>2500</v>
      </c>
      <c r="C1514" s="12" t="s">
        <v>25</v>
      </c>
      <c r="D1514" s="12" t="s">
        <v>19</v>
      </c>
      <c r="E1514" s="12">
        <v>-45204</v>
      </c>
    </row>
    <row r="1515" spans="1:5">
      <c r="A1515" s="15">
        <v>43583</v>
      </c>
      <c r="B1515" s="13">
        <v>2500</v>
      </c>
      <c r="C1515" s="13" t="s">
        <v>25</v>
      </c>
      <c r="D1515" s="13" t="s">
        <v>19</v>
      </c>
      <c r="E1515" s="13">
        <v>-31840</v>
      </c>
    </row>
    <row r="1516" spans="1:5">
      <c r="A1516" s="14">
        <v>43583</v>
      </c>
      <c r="B1516" s="12">
        <v>2512</v>
      </c>
      <c r="C1516" s="12" t="s">
        <v>16</v>
      </c>
      <c r="D1516" s="12" t="s">
        <v>19</v>
      </c>
      <c r="E1516" s="12">
        <v>-10563</v>
      </c>
    </row>
    <row r="1517" spans="1:5">
      <c r="A1517" s="15">
        <v>43583</v>
      </c>
      <c r="B1517" s="13">
        <v>2501</v>
      </c>
      <c r="C1517" s="13" t="s">
        <v>5</v>
      </c>
      <c r="D1517" s="13" t="s">
        <v>12</v>
      </c>
      <c r="E1517" s="13">
        <v>-223</v>
      </c>
    </row>
    <row r="1518" spans="1:5">
      <c r="A1518" s="14">
        <v>43583</v>
      </c>
      <c r="B1518" s="12">
        <v>2502</v>
      </c>
      <c r="C1518" s="12" t="s">
        <v>7</v>
      </c>
      <c r="D1518" s="12" t="s">
        <v>12</v>
      </c>
      <c r="E1518" s="12">
        <v>-10633</v>
      </c>
    </row>
    <row r="1519" spans="1:5">
      <c r="A1519" s="15">
        <v>43583</v>
      </c>
      <c r="B1519" s="13">
        <v>2508</v>
      </c>
      <c r="C1519" s="13" t="s">
        <v>15</v>
      </c>
      <c r="D1519" s="13" t="s">
        <v>14</v>
      </c>
      <c r="E1519" s="13">
        <v>-64765</v>
      </c>
    </row>
    <row r="1520" spans="1:5">
      <c r="A1520" s="14">
        <v>43583</v>
      </c>
      <c r="B1520" s="12">
        <v>2512</v>
      </c>
      <c r="C1520" s="12" t="s">
        <v>16</v>
      </c>
      <c r="D1520" s="12" t="s">
        <v>12</v>
      </c>
      <c r="E1520" s="12">
        <v>-974</v>
      </c>
    </row>
    <row r="1521" spans="1:5">
      <c r="A1521" s="15">
        <v>43583</v>
      </c>
      <c r="B1521" s="13">
        <v>2510</v>
      </c>
      <c r="C1521" s="13" t="s">
        <v>24</v>
      </c>
      <c r="D1521" s="13" t="s">
        <v>10</v>
      </c>
      <c r="E1521" s="13">
        <v>-828</v>
      </c>
    </row>
    <row r="1522" spans="1:5">
      <c r="A1522" s="14">
        <v>43583</v>
      </c>
      <c r="B1522" s="12">
        <v>2510</v>
      </c>
      <c r="C1522" s="12" t="s">
        <v>24</v>
      </c>
      <c r="D1522" s="12" t="s">
        <v>8</v>
      </c>
      <c r="E1522" s="12">
        <v>-1926</v>
      </c>
    </row>
    <row r="1523" spans="1:5">
      <c r="A1523" s="15">
        <v>43583</v>
      </c>
      <c r="B1523" s="13">
        <v>2510</v>
      </c>
      <c r="C1523" s="13" t="s">
        <v>24</v>
      </c>
      <c r="D1523" s="13" t="s">
        <v>10</v>
      </c>
      <c r="E1523" s="13">
        <v>-1443</v>
      </c>
    </row>
    <row r="1524" spans="1:5">
      <c r="A1524" s="14">
        <v>43583</v>
      </c>
      <c r="B1524" s="12">
        <v>2502</v>
      </c>
      <c r="C1524" s="12" t="s">
        <v>7</v>
      </c>
      <c r="D1524" s="12" t="s">
        <v>19</v>
      </c>
      <c r="E1524" s="12">
        <v>-3246</v>
      </c>
    </row>
    <row r="1525" spans="1:5">
      <c r="A1525" s="15">
        <v>43583</v>
      </c>
      <c r="B1525" s="13">
        <v>2504</v>
      </c>
      <c r="C1525" s="13" t="s">
        <v>21</v>
      </c>
      <c r="D1525" s="13" t="s">
        <v>19</v>
      </c>
      <c r="E1525" s="13">
        <v>-2076</v>
      </c>
    </row>
    <row r="1526" spans="1:5">
      <c r="A1526" s="14">
        <v>43583</v>
      </c>
      <c r="B1526" s="12">
        <v>2510</v>
      </c>
      <c r="C1526" s="12" t="s">
        <v>24</v>
      </c>
      <c r="D1526" s="12" t="s">
        <v>19</v>
      </c>
      <c r="E1526" s="12">
        <v>-1202</v>
      </c>
    </row>
    <row r="1527" spans="1:5">
      <c r="A1527" s="15">
        <v>43583</v>
      </c>
      <c r="B1527" s="13">
        <v>2513</v>
      </c>
      <c r="C1527" s="13" t="s">
        <v>17</v>
      </c>
      <c r="D1527" s="13" t="s">
        <v>19</v>
      </c>
      <c r="E1527" s="13">
        <v>-461</v>
      </c>
    </row>
    <row r="1528" spans="1:5">
      <c r="A1528" s="14">
        <v>43584</v>
      </c>
      <c r="B1528" s="12">
        <v>2500</v>
      </c>
      <c r="C1528" s="12" t="s">
        <v>25</v>
      </c>
      <c r="D1528" s="12" t="s">
        <v>19</v>
      </c>
      <c r="E1528" s="12">
        <v>-54304</v>
      </c>
    </row>
    <row r="1529" spans="1:5">
      <c r="A1529" s="15">
        <v>43584</v>
      </c>
      <c r="B1529" s="13">
        <v>2508</v>
      </c>
      <c r="C1529" s="13" t="s">
        <v>15</v>
      </c>
      <c r="D1529" s="13" t="s">
        <v>19</v>
      </c>
      <c r="E1529" s="13">
        <v>-43970</v>
      </c>
    </row>
    <row r="1530" spans="1:5">
      <c r="A1530" s="14">
        <v>43584</v>
      </c>
      <c r="B1530" s="12">
        <v>2500</v>
      </c>
      <c r="C1530" s="12" t="s">
        <v>25</v>
      </c>
      <c r="D1530" s="12" t="s">
        <v>19</v>
      </c>
      <c r="E1530" s="12">
        <v>-25138</v>
      </c>
    </row>
    <row r="1531" spans="1:5">
      <c r="A1531" s="15">
        <v>43584</v>
      </c>
      <c r="B1531" s="13">
        <v>2501</v>
      </c>
      <c r="C1531" s="13" t="s">
        <v>5</v>
      </c>
      <c r="D1531" s="13" t="s">
        <v>14</v>
      </c>
      <c r="E1531" s="13">
        <v>-134</v>
      </c>
    </row>
    <row r="1532" spans="1:5">
      <c r="A1532" s="14">
        <v>43584</v>
      </c>
      <c r="B1532" s="12">
        <v>2502</v>
      </c>
      <c r="C1532" s="12" t="s">
        <v>7</v>
      </c>
      <c r="D1532" s="12" t="s">
        <v>8</v>
      </c>
      <c r="E1532" s="12">
        <v>-3077</v>
      </c>
    </row>
    <row r="1533" spans="1:5">
      <c r="A1533" s="15">
        <v>43584</v>
      </c>
      <c r="B1533" s="13">
        <v>2512</v>
      </c>
      <c r="C1533" s="13" t="s">
        <v>16</v>
      </c>
      <c r="D1533" s="13" t="s">
        <v>8</v>
      </c>
      <c r="E1533" s="13">
        <v>-2277</v>
      </c>
    </row>
    <row r="1534" spans="1:5">
      <c r="A1534" s="14">
        <v>43584</v>
      </c>
      <c r="B1534" s="12">
        <v>2513</v>
      </c>
      <c r="C1534" s="12" t="s">
        <v>17</v>
      </c>
      <c r="D1534" s="12" t="s">
        <v>10</v>
      </c>
      <c r="E1534" s="12">
        <v>-1272</v>
      </c>
    </row>
    <row r="1535" spans="1:5">
      <c r="A1535" s="15">
        <v>43584</v>
      </c>
      <c r="B1535" s="13">
        <v>2514</v>
      </c>
      <c r="C1535" s="13" t="s">
        <v>20</v>
      </c>
      <c r="D1535" s="13" t="s">
        <v>8</v>
      </c>
      <c r="E1535" s="13">
        <v>-1562</v>
      </c>
    </row>
    <row r="1536" spans="1:5">
      <c r="A1536" s="14">
        <v>43584</v>
      </c>
      <c r="B1536" s="12">
        <v>2514</v>
      </c>
      <c r="C1536" s="12" t="s">
        <v>20</v>
      </c>
      <c r="D1536" s="12" t="s">
        <v>8</v>
      </c>
      <c r="E1536" s="12">
        <v>-1542</v>
      </c>
    </row>
    <row r="1537" spans="1:5">
      <c r="A1537" s="15">
        <v>43584</v>
      </c>
      <c r="B1537" s="13">
        <v>2510</v>
      </c>
      <c r="C1537" s="13" t="s">
        <v>24</v>
      </c>
      <c r="D1537" s="13" t="s">
        <v>12</v>
      </c>
      <c r="E1537" s="13">
        <v>-2187</v>
      </c>
    </row>
    <row r="1538" spans="1:5">
      <c r="A1538" s="14">
        <v>43584</v>
      </c>
      <c r="B1538" s="12">
        <v>2510</v>
      </c>
      <c r="C1538" s="12" t="s">
        <v>24</v>
      </c>
      <c r="D1538" s="12" t="s">
        <v>14</v>
      </c>
      <c r="E1538" s="12">
        <v>-1934</v>
      </c>
    </row>
    <row r="1539" spans="1:5">
      <c r="A1539" s="15">
        <v>43584</v>
      </c>
      <c r="B1539" s="13">
        <v>2510</v>
      </c>
      <c r="C1539" s="13" t="s">
        <v>24</v>
      </c>
      <c r="D1539" s="13" t="s">
        <v>14</v>
      </c>
      <c r="E1539" s="13">
        <v>-1950</v>
      </c>
    </row>
    <row r="1540" spans="1:5">
      <c r="A1540" s="14">
        <v>43584</v>
      </c>
      <c r="B1540" s="12">
        <v>2512</v>
      </c>
      <c r="C1540" s="12" t="s">
        <v>16</v>
      </c>
      <c r="D1540" s="12" t="s">
        <v>19</v>
      </c>
      <c r="E1540" s="12">
        <v>-5384</v>
      </c>
    </row>
    <row r="1541" spans="1:5">
      <c r="A1541" s="15">
        <v>43584</v>
      </c>
      <c r="B1541" s="13">
        <v>2502</v>
      </c>
      <c r="C1541" s="13" t="s">
        <v>7</v>
      </c>
      <c r="D1541" s="13" t="s">
        <v>19</v>
      </c>
      <c r="E1541" s="13">
        <v>-5331</v>
      </c>
    </row>
    <row r="1542" spans="1:5">
      <c r="A1542" s="14">
        <v>43584</v>
      </c>
      <c r="B1542" s="12">
        <v>2512</v>
      </c>
      <c r="C1542" s="12" t="s">
        <v>16</v>
      </c>
      <c r="D1542" s="12" t="s">
        <v>19</v>
      </c>
      <c r="E1542" s="12">
        <v>-4787</v>
      </c>
    </row>
    <row r="1543" spans="1:5">
      <c r="A1543" s="15">
        <v>43584</v>
      </c>
      <c r="B1543" s="13">
        <v>2502</v>
      </c>
      <c r="C1543" s="13" t="s">
        <v>7</v>
      </c>
      <c r="D1543" s="13" t="s">
        <v>19</v>
      </c>
      <c r="E1543" s="13">
        <v>-3796</v>
      </c>
    </row>
    <row r="1544" spans="1:5">
      <c r="A1544" s="14">
        <v>43584</v>
      </c>
      <c r="B1544" s="12">
        <v>2504</v>
      </c>
      <c r="C1544" s="12" t="s">
        <v>21</v>
      </c>
      <c r="D1544" s="12" t="s">
        <v>19</v>
      </c>
      <c r="E1544" s="12">
        <v>-1464</v>
      </c>
    </row>
    <row r="1545" spans="1:5">
      <c r="A1545" s="15">
        <v>43584</v>
      </c>
      <c r="B1545" s="13">
        <v>2510</v>
      </c>
      <c r="C1545" s="13" t="s">
        <v>24</v>
      </c>
      <c r="D1545" s="13" t="s">
        <v>19</v>
      </c>
      <c r="E1545" s="13">
        <v>-1314</v>
      </c>
    </row>
    <row r="1546" spans="1:5">
      <c r="A1546" s="14">
        <v>43584</v>
      </c>
      <c r="B1546" s="12">
        <v>2514</v>
      </c>
      <c r="C1546" s="12" t="s">
        <v>20</v>
      </c>
      <c r="D1546" s="12" t="s">
        <v>19</v>
      </c>
      <c r="E1546" s="12">
        <v>-1048</v>
      </c>
    </row>
    <row r="1547" spans="1:5">
      <c r="A1547" s="15">
        <v>43584</v>
      </c>
      <c r="B1547" s="13">
        <v>1000</v>
      </c>
      <c r="C1547" s="13" t="s">
        <v>23</v>
      </c>
      <c r="D1547" s="13" t="s">
        <v>19</v>
      </c>
      <c r="E1547" s="13">
        <v>449231</v>
      </c>
    </row>
    <row r="1548" spans="1:5">
      <c r="A1548" s="14">
        <v>43585</v>
      </c>
      <c r="B1548" s="12">
        <v>2000</v>
      </c>
      <c r="C1548" s="12" t="s">
        <v>18</v>
      </c>
      <c r="D1548" s="12" t="s">
        <v>19</v>
      </c>
      <c r="E1548" s="12">
        <v>-236433</v>
      </c>
    </row>
    <row r="1549" spans="1:5">
      <c r="A1549" s="15">
        <v>43585</v>
      </c>
      <c r="B1549" s="13">
        <v>2000</v>
      </c>
      <c r="C1549" s="13" t="s">
        <v>18</v>
      </c>
      <c r="D1549" s="13" t="s">
        <v>19</v>
      </c>
      <c r="E1549" s="13">
        <v>-227217</v>
      </c>
    </row>
    <row r="1550" spans="1:5">
      <c r="A1550" s="14">
        <v>43585</v>
      </c>
      <c r="B1550" s="12">
        <v>1500</v>
      </c>
      <c r="C1550" s="12" t="s">
        <v>26</v>
      </c>
      <c r="D1550" s="12" t="s">
        <v>19</v>
      </c>
      <c r="E1550" s="12">
        <v>-33074</v>
      </c>
    </row>
    <row r="1551" spans="1:5">
      <c r="A1551" s="15">
        <v>43585</v>
      </c>
      <c r="B1551" s="13">
        <v>1500</v>
      </c>
      <c r="C1551" s="13" t="s">
        <v>26</v>
      </c>
      <c r="D1551" s="13" t="s">
        <v>19</v>
      </c>
      <c r="E1551" s="13">
        <v>-22954</v>
      </c>
    </row>
    <row r="1552" spans="1:5">
      <c r="A1552" s="14">
        <v>43585</v>
      </c>
      <c r="B1552" s="12">
        <v>1500</v>
      </c>
      <c r="C1552" s="12" t="s">
        <v>26</v>
      </c>
      <c r="D1552" s="12" t="s">
        <v>19</v>
      </c>
      <c r="E1552" s="12">
        <v>-12155</v>
      </c>
    </row>
    <row r="1553" spans="1:5">
      <c r="A1553" s="15">
        <v>43585</v>
      </c>
      <c r="B1553" s="13">
        <v>2502</v>
      </c>
      <c r="C1553" s="13" t="s">
        <v>7</v>
      </c>
      <c r="D1553" s="13" t="s">
        <v>12</v>
      </c>
      <c r="E1553" s="13">
        <v>-6252</v>
      </c>
    </row>
    <row r="1554" spans="1:5">
      <c r="A1554" s="14">
        <v>43585</v>
      </c>
      <c r="B1554" s="12">
        <v>2503</v>
      </c>
      <c r="C1554" s="12" t="s">
        <v>22</v>
      </c>
      <c r="D1554" s="12" t="s">
        <v>8</v>
      </c>
      <c r="E1554" s="12">
        <v>-293</v>
      </c>
    </row>
    <row r="1555" spans="1:5">
      <c r="A1555" s="15">
        <v>43585</v>
      </c>
      <c r="B1555" s="13">
        <v>2503</v>
      </c>
      <c r="C1555" s="13" t="s">
        <v>22</v>
      </c>
      <c r="D1555" s="13" t="s">
        <v>6</v>
      </c>
      <c r="E1555" s="13">
        <v>-305</v>
      </c>
    </row>
    <row r="1556" spans="1:5">
      <c r="A1556" s="14">
        <v>43585</v>
      </c>
      <c r="B1556" s="12">
        <v>2503</v>
      </c>
      <c r="C1556" s="12" t="s">
        <v>22</v>
      </c>
      <c r="D1556" s="12" t="s">
        <v>14</v>
      </c>
      <c r="E1556" s="12">
        <v>-422</v>
      </c>
    </row>
    <row r="1557" spans="1:5">
      <c r="A1557" s="15">
        <v>43585</v>
      </c>
      <c r="B1557" s="13">
        <v>2505</v>
      </c>
      <c r="C1557" s="13" t="s">
        <v>9</v>
      </c>
      <c r="D1557" s="13" t="s">
        <v>13</v>
      </c>
      <c r="E1557" s="13">
        <v>-469</v>
      </c>
    </row>
    <row r="1558" spans="1:5">
      <c r="A1558" s="14">
        <v>43585</v>
      </c>
      <c r="B1558" s="12">
        <v>2508</v>
      </c>
      <c r="C1558" s="12" t="s">
        <v>15</v>
      </c>
      <c r="D1558" s="12" t="s">
        <v>14</v>
      </c>
      <c r="E1558" s="12">
        <v>-64983</v>
      </c>
    </row>
    <row r="1559" spans="1:5">
      <c r="A1559" s="15">
        <v>43585</v>
      </c>
      <c r="B1559" s="13">
        <v>2513</v>
      </c>
      <c r="C1559" s="13" t="s">
        <v>17</v>
      </c>
      <c r="D1559" s="13" t="s">
        <v>6</v>
      </c>
      <c r="E1559" s="13">
        <v>-733</v>
      </c>
    </row>
    <row r="1560" spans="1:5">
      <c r="A1560" s="14">
        <v>43585</v>
      </c>
      <c r="B1560" s="12">
        <v>2513</v>
      </c>
      <c r="C1560" s="12" t="s">
        <v>17</v>
      </c>
      <c r="D1560" s="12" t="s">
        <v>14</v>
      </c>
      <c r="E1560" s="12">
        <v>-1288</v>
      </c>
    </row>
    <row r="1561" spans="1:5">
      <c r="A1561" s="15">
        <v>43585</v>
      </c>
      <c r="B1561" s="13">
        <v>2514</v>
      </c>
      <c r="C1561" s="13" t="s">
        <v>20</v>
      </c>
      <c r="D1561" s="13" t="s">
        <v>8</v>
      </c>
      <c r="E1561" s="13">
        <v>-1570</v>
      </c>
    </row>
    <row r="1562" spans="1:5">
      <c r="A1562" s="14">
        <v>43585</v>
      </c>
      <c r="B1562" s="12">
        <v>2512</v>
      </c>
      <c r="C1562" s="12" t="s">
        <v>16</v>
      </c>
      <c r="D1562" s="12" t="s">
        <v>19</v>
      </c>
      <c r="E1562" s="12">
        <v>-6419</v>
      </c>
    </row>
    <row r="1563" spans="1:5">
      <c r="A1563" s="15">
        <v>43585</v>
      </c>
      <c r="B1563" s="13">
        <v>2514</v>
      </c>
      <c r="C1563" s="13" t="s">
        <v>20</v>
      </c>
      <c r="D1563" s="13" t="s">
        <v>19</v>
      </c>
      <c r="E1563" s="13">
        <v>-1193</v>
      </c>
    </row>
    <row r="1564" spans="1:5">
      <c r="A1564" s="14">
        <v>43585</v>
      </c>
      <c r="B1564" s="12">
        <v>2503</v>
      </c>
      <c r="C1564" s="12" t="s">
        <v>22</v>
      </c>
      <c r="D1564" s="12" t="s">
        <v>19</v>
      </c>
      <c r="E1564" s="12">
        <v>-288</v>
      </c>
    </row>
    <row r="1565" spans="1:5">
      <c r="A1565" s="15">
        <v>43585</v>
      </c>
      <c r="B1565" s="13">
        <v>2503</v>
      </c>
      <c r="C1565" s="13" t="s">
        <v>22</v>
      </c>
      <c r="D1565" s="13" t="s">
        <v>19</v>
      </c>
      <c r="E1565" s="13">
        <v>-225</v>
      </c>
    </row>
    <row r="1566" spans="1:5">
      <c r="A1566" s="14">
        <v>43586</v>
      </c>
      <c r="B1566" s="12">
        <v>2000</v>
      </c>
      <c r="C1566" s="12" t="s">
        <v>18</v>
      </c>
      <c r="D1566" s="12" t="s">
        <v>19</v>
      </c>
      <c r="E1566" s="12">
        <v>-181475</v>
      </c>
    </row>
    <row r="1567" spans="1:5">
      <c r="A1567" s="15">
        <v>43586</v>
      </c>
      <c r="B1567" s="13">
        <v>2508</v>
      </c>
      <c r="C1567" s="13" t="s">
        <v>15</v>
      </c>
      <c r="D1567" s="13" t="s">
        <v>19</v>
      </c>
      <c r="E1567" s="13">
        <v>-53301</v>
      </c>
    </row>
    <row r="1568" spans="1:5">
      <c r="A1568" s="14">
        <v>43586</v>
      </c>
      <c r="B1568" s="12">
        <v>1500</v>
      </c>
      <c r="C1568" s="12" t="s">
        <v>26</v>
      </c>
      <c r="D1568" s="12" t="s">
        <v>19</v>
      </c>
      <c r="E1568" s="12">
        <v>-45263</v>
      </c>
    </row>
    <row r="1569" spans="1:5">
      <c r="A1569" s="15">
        <v>43586</v>
      </c>
      <c r="B1569" s="13">
        <v>2501</v>
      </c>
      <c r="C1569" s="13" t="s">
        <v>5</v>
      </c>
      <c r="D1569" s="13" t="s">
        <v>8</v>
      </c>
      <c r="E1569" s="13">
        <v>-97</v>
      </c>
    </row>
    <row r="1570" spans="1:5">
      <c r="A1570" s="14">
        <v>43586</v>
      </c>
      <c r="B1570" s="12">
        <v>2502</v>
      </c>
      <c r="C1570" s="12" t="s">
        <v>7</v>
      </c>
      <c r="D1570" s="12" t="s">
        <v>6</v>
      </c>
      <c r="E1570" s="12">
        <v>-7371</v>
      </c>
    </row>
    <row r="1571" spans="1:5">
      <c r="A1571" s="15">
        <v>43586</v>
      </c>
      <c r="B1571" s="13">
        <v>2503</v>
      </c>
      <c r="C1571" s="13" t="s">
        <v>22</v>
      </c>
      <c r="D1571" s="13" t="s">
        <v>8</v>
      </c>
      <c r="E1571" s="13">
        <v>-387</v>
      </c>
    </row>
    <row r="1572" spans="1:5">
      <c r="A1572" s="14">
        <v>43586</v>
      </c>
      <c r="B1572" s="12">
        <v>2507</v>
      </c>
      <c r="C1572" s="12" t="s">
        <v>11</v>
      </c>
      <c r="D1572" s="12" t="s">
        <v>12</v>
      </c>
      <c r="E1572" s="12">
        <v>-2320</v>
      </c>
    </row>
    <row r="1573" spans="1:5">
      <c r="A1573" s="15">
        <v>43586</v>
      </c>
      <c r="B1573" s="13">
        <v>2507</v>
      </c>
      <c r="C1573" s="13" t="s">
        <v>11</v>
      </c>
      <c r="D1573" s="13" t="s">
        <v>13</v>
      </c>
      <c r="E1573" s="13">
        <v>-2060</v>
      </c>
    </row>
    <row r="1574" spans="1:5">
      <c r="A1574" s="14">
        <v>43586</v>
      </c>
      <c r="B1574" s="12">
        <v>2507</v>
      </c>
      <c r="C1574" s="12" t="s">
        <v>11</v>
      </c>
      <c r="D1574" s="12" t="s">
        <v>8</v>
      </c>
      <c r="E1574" s="12">
        <v>-1960</v>
      </c>
    </row>
    <row r="1575" spans="1:5">
      <c r="A1575" s="15">
        <v>43586</v>
      </c>
      <c r="B1575" s="13">
        <v>2507</v>
      </c>
      <c r="C1575" s="13" t="s">
        <v>11</v>
      </c>
      <c r="D1575" s="13" t="s">
        <v>10</v>
      </c>
      <c r="E1575" s="13">
        <v>-1520</v>
      </c>
    </row>
    <row r="1576" spans="1:5">
      <c r="A1576" s="14">
        <v>43586</v>
      </c>
      <c r="B1576" s="12">
        <v>2507</v>
      </c>
      <c r="C1576" s="12" t="s">
        <v>11</v>
      </c>
      <c r="D1576" s="12" t="s">
        <v>6</v>
      </c>
      <c r="E1576" s="12">
        <v>-1770</v>
      </c>
    </row>
    <row r="1577" spans="1:5">
      <c r="A1577" s="15">
        <v>43586</v>
      </c>
      <c r="B1577" s="13">
        <v>2507</v>
      </c>
      <c r="C1577" s="13" t="s">
        <v>11</v>
      </c>
      <c r="D1577" s="13" t="s">
        <v>14</v>
      </c>
      <c r="E1577" s="13">
        <v>-1120</v>
      </c>
    </row>
    <row r="1578" spans="1:5">
      <c r="A1578" s="14">
        <v>43586</v>
      </c>
      <c r="B1578" s="12">
        <v>2508</v>
      </c>
      <c r="C1578" s="12" t="s">
        <v>15</v>
      </c>
      <c r="D1578" s="12" t="s">
        <v>10</v>
      </c>
      <c r="E1578" s="12">
        <v>-68850</v>
      </c>
    </row>
    <row r="1579" spans="1:5">
      <c r="A1579" s="15">
        <v>43586</v>
      </c>
      <c r="B1579" s="13">
        <v>2512</v>
      </c>
      <c r="C1579" s="13" t="s">
        <v>16</v>
      </c>
      <c r="D1579" s="13" t="s">
        <v>14</v>
      </c>
      <c r="E1579" s="13">
        <v>-2291</v>
      </c>
    </row>
    <row r="1580" spans="1:5">
      <c r="A1580" s="14">
        <v>43586</v>
      </c>
      <c r="B1580" s="12">
        <v>2512</v>
      </c>
      <c r="C1580" s="12" t="s">
        <v>16</v>
      </c>
      <c r="D1580" s="12" t="s">
        <v>12</v>
      </c>
      <c r="E1580" s="12">
        <v>-926</v>
      </c>
    </row>
    <row r="1581" spans="1:5">
      <c r="A1581" s="15">
        <v>43586</v>
      </c>
      <c r="B1581" s="13">
        <v>2514</v>
      </c>
      <c r="C1581" s="13" t="s">
        <v>20</v>
      </c>
      <c r="D1581" s="13" t="s">
        <v>6</v>
      </c>
      <c r="E1581" s="13">
        <v>-1270</v>
      </c>
    </row>
    <row r="1582" spans="1:5">
      <c r="A1582" s="14">
        <v>43586</v>
      </c>
      <c r="B1582" s="12">
        <v>2514</v>
      </c>
      <c r="C1582" s="12" t="s">
        <v>20</v>
      </c>
      <c r="D1582" s="12" t="s">
        <v>14</v>
      </c>
      <c r="E1582" s="12">
        <v>-1451</v>
      </c>
    </row>
    <row r="1583" spans="1:5">
      <c r="A1583" s="15">
        <v>43586</v>
      </c>
      <c r="B1583" s="13">
        <v>2514</v>
      </c>
      <c r="C1583" s="13" t="s">
        <v>20</v>
      </c>
      <c r="D1583" s="13" t="s">
        <v>8</v>
      </c>
      <c r="E1583" s="13">
        <v>-1422</v>
      </c>
    </row>
    <row r="1584" spans="1:5">
      <c r="A1584" s="14">
        <v>43586</v>
      </c>
      <c r="B1584" s="12">
        <v>2510</v>
      </c>
      <c r="C1584" s="12" t="s">
        <v>24</v>
      </c>
      <c r="D1584" s="12" t="s">
        <v>14</v>
      </c>
      <c r="E1584" s="12">
        <v>-1796</v>
      </c>
    </row>
    <row r="1585" spans="1:5">
      <c r="A1585" s="15">
        <v>43586</v>
      </c>
      <c r="B1585" s="13">
        <v>2507</v>
      </c>
      <c r="C1585" s="13" t="s">
        <v>11</v>
      </c>
      <c r="D1585" s="13" t="s">
        <v>19</v>
      </c>
      <c r="E1585" s="13">
        <v>-2160</v>
      </c>
    </row>
    <row r="1586" spans="1:5">
      <c r="A1586" s="14">
        <v>43586</v>
      </c>
      <c r="B1586" s="12">
        <v>2514</v>
      </c>
      <c r="C1586" s="12" t="s">
        <v>20</v>
      </c>
      <c r="D1586" s="12" t="s">
        <v>19</v>
      </c>
      <c r="E1586" s="12">
        <v>-883</v>
      </c>
    </row>
    <row r="1587" spans="1:5">
      <c r="A1587" s="15">
        <v>43586</v>
      </c>
      <c r="B1587" s="13">
        <v>2505</v>
      </c>
      <c r="C1587" s="13" t="s">
        <v>9</v>
      </c>
      <c r="D1587" s="13" t="s">
        <v>19</v>
      </c>
      <c r="E1587" s="13">
        <v>-329</v>
      </c>
    </row>
    <row r="1588" spans="1:5">
      <c r="A1588" s="14">
        <v>43586</v>
      </c>
      <c r="B1588" s="12">
        <v>2501</v>
      </c>
      <c r="C1588" s="12" t="s">
        <v>5</v>
      </c>
      <c r="D1588" s="12" t="s">
        <v>19</v>
      </c>
      <c r="E1588" s="12">
        <v>-64</v>
      </c>
    </row>
    <row r="1589" spans="1:5">
      <c r="A1589" s="15">
        <v>43587</v>
      </c>
      <c r="B1589" s="13">
        <v>2508</v>
      </c>
      <c r="C1589" s="13" t="s">
        <v>15</v>
      </c>
      <c r="D1589" s="13" t="s">
        <v>19</v>
      </c>
      <c r="E1589" s="13">
        <v>-61253</v>
      </c>
    </row>
    <row r="1590" spans="1:5">
      <c r="A1590" s="14">
        <v>43587</v>
      </c>
      <c r="B1590" s="12">
        <v>2500</v>
      </c>
      <c r="C1590" s="12" t="s">
        <v>25</v>
      </c>
      <c r="D1590" s="12" t="s">
        <v>19</v>
      </c>
      <c r="E1590" s="12">
        <v>-54557</v>
      </c>
    </row>
    <row r="1591" spans="1:5">
      <c r="A1591" s="15">
        <v>43587</v>
      </c>
      <c r="B1591" s="13">
        <v>2502</v>
      </c>
      <c r="C1591" s="13" t="s">
        <v>7</v>
      </c>
      <c r="D1591" s="13" t="s">
        <v>8</v>
      </c>
      <c r="E1591" s="13">
        <v>-5171</v>
      </c>
    </row>
    <row r="1592" spans="1:5">
      <c r="A1592" s="14">
        <v>43587</v>
      </c>
      <c r="B1592" s="12">
        <v>2503</v>
      </c>
      <c r="C1592" s="12" t="s">
        <v>22</v>
      </c>
      <c r="D1592" s="12" t="s">
        <v>14</v>
      </c>
      <c r="E1592" s="12">
        <v>-412</v>
      </c>
    </row>
    <row r="1593" spans="1:5">
      <c r="A1593" s="15">
        <v>43587</v>
      </c>
      <c r="B1593" s="13">
        <v>2505</v>
      </c>
      <c r="C1593" s="13" t="s">
        <v>9</v>
      </c>
      <c r="D1593" s="13" t="s">
        <v>12</v>
      </c>
      <c r="E1593" s="13">
        <v>-866</v>
      </c>
    </row>
    <row r="1594" spans="1:5">
      <c r="A1594" s="14">
        <v>43587</v>
      </c>
      <c r="B1594" s="12">
        <v>2508</v>
      </c>
      <c r="C1594" s="12" t="s">
        <v>15</v>
      </c>
      <c r="D1594" s="12" t="s">
        <v>13</v>
      </c>
      <c r="E1594" s="12">
        <v>-43356</v>
      </c>
    </row>
    <row r="1595" spans="1:5">
      <c r="A1595" s="15">
        <v>43587</v>
      </c>
      <c r="B1595" s="13">
        <v>2512</v>
      </c>
      <c r="C1595" s="13" t="s">
        <v>16</v>
      </c>
      <c r="D1595" s="13" t="s">
        <v>13</v>
      </c>
      <c r="E1595" s="13">
        <v>-411</v>
      </c>
    </row>
    <row r="1596" spans="1:5">
      <c r="A1596" s="14">
        <v>43587</v>
      </c>
      <c r="B1596" s="12">
        <v>2514</v>
      </c>
      <c r="C1596" s="12" t="s">
        <v>20</v>
      </c>
      <c r="D1596" s="12" t="s">
        <v>14</v>
      </c>
      <c r="E1596" s="12">
        <v>-1467</v>
      </c>
    </row>
    <row r="1597" spans="1:5">
      <c r="A1597" s="15">
        <v>43587</v>
      </c>
      <c r="B1597" s="13">
        <v>2510</v>
      </c>
      <c r="C1597" s="13" t="s">
        <v>24</v>
      </c>
      <c r="D1597" s="13" t="s">
        <v>19</v>
      </c>
      <c r="E1597" s="13">
        <v>-746</v>
      </c>
    </row>
    <row r="1598" spans="1:5">
      <c r="A1598" s="14">
        <v>43587</v>
      </c>
      <c r="B1598" s="12">
        <v>2505</v>
      </c>
      <c r="C1598" s="12" t="s">
        <v>9</v>
      </c>
      <c r="D1598" s="12" t="s">
        <v>19</v>
      </c>
      <c r="E1598" s="12">
        <v>-329</v>
      </c>
    </row>
    <row r="1599" spans="1:5">
      <c r="A1599" s="15">
        <v>43587</v>
      </c>
      <c r="B1599" s="13">
        <v>2503</v>
      </c>
      <c r="C1599" s="13" t="s">
        <v>22</v>
      </c>
      <c r="D1599" s="13" t="s">
        <v>19</v>
      </c>
      <c r="E1599" s="13">
        <v>-296</v>
      </c>
    </row>
    <row r="1600" spans="1:5">
      <c r="A1600" s="14">
        <v>43587</v>
      </c>
      <c r="B1600" s="12">
        <v>2503</v>
      </c>
      <c r="C1600" s="12" t="s">
        <v>22</v>
      </c>
      <c r="D1600" s="12" t="s">
        <v>19</v>
      </c>
      <c r="E1600" s="12">
        <v>-285</v>
      </c>
    </row>
    <row r="1601" spans="1:5">
      <c r="A1601" s="15">
        <v>43587</v>
      </c>
      <c r="B1601" s="13">
        <v>2503</v>
      </c>
      <c r="C1601" s="13" t="s">
        <v>22</v>
      </c>
      <c r="D1601" s="13" t="s">
        <v>19</v>
      </c>
      <c r="E1601" s="13">
        <v>-253</v>
      </c>
    </row>
    <row r="1602" spans="1:5">
      <c r="A1602" s="14">
        <v>43588</v>
      </c>
      <c r="B1602" s="12">
        <v>2508</v>
      </c>
      <c r="C1602" s="12" t="s">
        <v>15</v>
      </c>
      <c r="D1602" s="12" t="s">
        <v>19</v>
      </c>
      <c r="E1602" s="12">
        <v>-41223</v>
      </c>
    </row>
    <row r="1603" spans="1:5">
      <c r="A1603" s="15">
        <v>43588</v>
      </c>
      <c r="B1603" s="13">
        <v>2501</v>
      </c>
      <c r="C1603" s="13" t="s">
        <v>5</v>
      </c>
      <c r="D1603" s="13" t="s">
        <v>13</v>
      </c>
      <c r="E1603" s="13">
        <v>-103</v>
      </c>
    </row>
    <row r="1604" spans="1:5">
      <c r="A1604" s="14">
        <v>43588</v>
      </c>
      <c r="B1604" s="12">
        <v>2513</v>
      </c>
      <c r="C1604" s="12" t="s">
        <v>17</v>
      </c>
      <c r="D1604" s="12" t="s">
        <v>13</v>
      </c>
      <c r="E1604" s="12">
        <v>-457</v>
      </c>
    </row>
    <row r="1605" spans="1:5">
      <c r="A1605" s="15">
        <v>43588</v>
      </c>
      <c r="B1605" s="13">
        <v>2510</v>
      </c>
      <c r="C1605" s="13" t="s">
        <v>24</v>
      </c>
      <c r="D1605" s="13" t="s">
        <v>14</v>
      </c>
      <c r="E1605" s="13">
        <v>-1284</v>
      </c>
    </row>
    <row r="1606" spans="1:5">
      <c r="A1606" s="14">
        <v>43588</v>
      </c>
      <c r="B1606" s="12">
        <v>2504</v>
      </c>
      <c r="C1606" s="12" t="s">
        <v>21</v>
      </c>
      <c r="D1606" s="12" t="s">
        <v>19</v>
      </c>
      <c r="E1606" s="12">
        <v>-1706</v>
      </c>
    </row>
    <row r="1607" spans="1:5">
      <c r="A1607" s="15">
        <v>43588</v>
      </c>
      <c r="B1607" s="13">
        <v>2513</v>
      </c>
      <c r="C1607" s="13" t="s">
        <v>17</v>
      </c>
      <c r="D1607" s="13" t="s">
        <v>19</v>
      </c>
      <c r="E1607" s="13">
        <v>-413</v>
      </c>
    </row>
    <row r="1608" spans="1:5">
      <c r="A1608" s="14">
        <v>43588</v>
      </c>
      <c r="B1608" s="12">
        <v>2501</v>
      </c>
      <c r="C1608" s="12" t="s">
        <v>5</v>
      </c>
      <c r="D1608" s="12" t="s">
        <v>19</v>
      </c>
      <c r="E1608" s="12">
        <v>-62</v>
      </c>
    </row>
    <row r="1609" spans="1:5">
      <c r="A1609" s="15">
        <v>43589</v>
      </c>
      <c r="B1609" s="13">
        <v>2000</v>
      </c>
      <c r="C1609" s="13" t="s">
        <v>18</v>
      </c>
      <c r="D1609" s="13" t="s">
        <v>19</v>
      </c>
      <c r="E1609" s="13">
        <v>-240984</v>
      </c>
    </row>
    <row r="1610" spans="1:5">
      <c r="A1610" s="14">
        <v>43589</v>
      </c>
      <c r="B1610" s="12">
        <v>2501</v>
      </c>
      <c r="C1610" s="12" t="s">
        <v>5</v>
      </c>
      <c r="D1610" s="12" t="s">
        <v>13</v>
      </c>
      <c r="E1610" s="12">
        <v>-121</v>
      </c>
    </row>
    <row r="1611" spans="1:5">
      <c r="A1611" s="15">
        <v>43589</v>
      </c>
      <c r="B1611" s="13">
        <v>2506</v>
      </c>
      <c r="C1611" s="13" t="s">
        <v>27</v>
      </c>
      <c r="D1611" s="13" t="s">
        <v>14</v>
      </c>
      <c r="E1611" s="13">
        <v>-667</v>
      </c>
    </row>
    <row r="1612" spans="1:5">
      <c r="A1612" s="14">
        <v>43589</v>
      </c>
      <c r="B1612" s="12">
        <v>2513</v>
      </c>
      <c r="C1612" s="12" t="s">
        <v>17</v>
      </c>
      <c r="D1612" s="12" t="s">
        <v>12</v>
      </c>
      <c r="E1612" s="12">
        <v>-1066</v>
      </c>
    </row>
    <row r="1613" spans="1:5">
      <c r="A1613" s="15">
        <v>43589</v>
      </c>
      <c r="B1613" s="13">
        <v>2510</v>
      </c>
      <c r="C1613" s="13" t="s">
        <v>24</v>
      </c>
      <c r="D1613" s="13" t="s">
        <v>10</v>
      </c>
      <c r="E1613" s="13">
        <v>-1864</v>
      </c>
    </row>
    <row r="1614" spans="1:5">
      <c r="A1614" s="14">
        <v>43589</v>
      </c>
      <c r="B1614" s="12">
        <v>2502</v>
      </c>
      <c r="C1614" s="12" t="s">
        <v>7</v>
      </c>
      <c r="D1614" s="12" t="s">
        <v>19</v>
      </c>
      <c r="E1614" s="12">
        <v>-2413</v>
      </c>
    </row>
    <row r="1615" spans="1:5">
      <c r="A1615" s="15">
        <v>43589</v>
      </c>
      <c r="B1615" s="13">
        <v>2514</v>
      </c>
      <c r="C1615" s="13" t="s">
        <v>20</v>
      </c>
      <c r="D1615" s="13" t="s">
        <v>19</v>
      </c>
      <c r="E1615" s="13">
        <v>-1209</v>
      </c>
    </row>
    <row r="1616" spans="1:5">
      <c r="A1616" s="14">
        <v>43589</v>
      </c>
      <c r="B1616" s="12">
        <v>2510</v>
      </c>
      <c r="C1616" s="12" t="s">
        <v>24</v>
      </c>
      <c r="D1616" s="12" t="s">
        <v>19</v>
      </c>
      <c r="E1616" s="12">
        <v>-965</v>
      </c>
    </row>
    <row r="1617" spans="1:5">
      <c r="A1617" s="15">
        <v>43589</v>
      </c>
      <c r="B1617" s="13">
        <v>2510</v>
      </c>
      <c r="C1617" s="13" t="s">
        <v>24</v>
      </c>
      <c r="D1617" s="13" t="s">
        <v>19</v>
      </c>
      <c r="E1617" s="13">
        <v>-768</v>
      </c>
    </row>
    <row r="1618" spans="1:5">
      <c r="A1618" s="14">
        <v>43589</v>
      </c>
      <c r="B1618" s="12">
        <v>2503</v>
      </c>
      <c r="C1618" s="12" t="s">
        <v>22</v>
      </c>
      <c r="D1618" s="12" t="s">
        <v>19</v>
      </c>
      <c r="E1618" s="12">
        <v>-335</v>
      </c>
    </row>
    <row r="1619" spans="1:5">
      <c r="A1619" s="15">
        <v>43590</v>
      </c>
      <c r="B1619" s="13">
        <v>2512</v>
      </c>
      <c r="C1619" s="13" t="s">
        <v>16</v>
      </c>
      <c r="D1619" s="13" t="s">
        <v>19</v>
      </c>
      <c r="E1619" s="13">
        <v>-6682</v>
      </c>
    </row>
    <row r="1620" spans="1:5">
      <c r="A1620" s="14">
        <v>43590</v>
      </c>
      <c r="B1620" s="12">
        <v>2503</v>
      </c>
      <c r="C1620" s="12" t="s">
        <v>22</v>
      </c>
      <c r="D1620" s="12" t="s">
        <v>6</v>
      </c>
      <c r="E1620" s="12">
        <v>-293</v>
      </c>
    </row>
    <row r="1621" spans="1:5">
      <c r="A1621" s="15">
        <v>43590</v>
      </c>
      <c r="B1621" s="13">
        <v>2505</v>
      </c>
      <c r="C1621" s="13" t="s">
        <v>9</v>
      </c>
      <c r="D1621" s="13" t="s">
        <v>10</v>
      </c>
      <c r="E1621" s="13">
        <v>-507</v>
      </c>
    </row>
    <row r="1622" spans="1:5">
      <c r="A1622" s="14">
        <v>43590</v>
      </c>
      <c r="B1622" s="12">
        <v>2505</v>
      </c>
      <c r="C1622" s="12" t="s">
        <v>9</v>
      </c>
      <c r="D1622" s="12" t="s">
        <v>14</v>
      </c>
      <c r="E1622" s="12">
        <v>-468</v>
      </c>
    </row>
    <row r="1623" spans="1:5">
      <c r="A1623" s="15">
        <v>43590</v>
      </c>
      <c r="B1623" s="13">
        <v>2514</v>
      </c>
      <c r="C1623" s="13" t="s">
        <v>20</v>
      </c>
      <c r="D1623" s="13" t="s">
        <v>6</v>
      </c>
      <c r="E1623" s="13">
        <v>-1559</v>
      </c>
    </row>
    <row r="1624" spans="1:5">
      <c r="A1624" s="14">
        <v>43590</v>
      </c>
      <c r="B1624" s="12">
        <v>2502</v>
      </c>
      <c r="C1624" s="12" t="s">
        <v>7</v>
      </c>
      <c r="D1624" s="12" t="s">
        <v>19</v>
      </c>
      <c r="E1624" s="12">
        <v>-5499</v>
      </c>
    </row>
    <row r="1625" spans="1:5">
      <c r="A1625" s="15">
        <v>43590</v>
      </c>
      <c r="B1625" s="13">
        <v>2514</v>
      </c>
      <c r="C1625" s="13" t="s">
        <v>20</v>
      </c>
      <c r="D1625" s="13" t="s">
        <v>19</v>
      </c>
      <c r="E1625" s="13">
        <v>-1094</v>
      </c>
    </row>
    <row r="1626" spans="1:5">
      <c r="A1626" s="14">
        <v>43590</v>
      </c>
      <c r="B1626" s="12">
        <v>2514</v>
      </c>
      <c r="C1626" s="12" t="s">
        <v>20</v>
      </c>
      <c r="D1626" s="12" t="s">
        <v>19</v>
      </c>
      <c r="E1626" s="12">
        <v>-856</v>
      </c>
    </row>
    <row r="1627" spans="1:5">
      <c r="A1627" s="15">
        <v>43590</v>
      </c>
      <c r="B1627" s="13">
        <v>2505</v>
      </c>
      <c r="C1627" s="13" t="s">
        <v>9</v>
      </c>
      <c r="D1627" s="13" t="s">
        <v>19</v>
      </c>
      <c r="E1627" s="13">
        <v>-461</v>
      </c>
    </row>
    <row r="1628" spans="1:5">
      <c r="A1628" s="14">
        <v>43590</v>
      </c>
      <c r="B1628" s="12">
        <v>2501</v>
      </c>
      <c r="C1628" s="12" t="s">
        <v>5</v>
      </c>
      <c r="D1628" s="12" t="s">
        <v>19</v>
      </c>
      <c r="E1628" s="12">
        <v>-140</v>
      </c>
    </row>
    <row r="1629" spans="1:5">
      <c r="A1629" s="15">
        <v>43591</v>
      </c>
      <c r="B1629" s="13">
        <v>2000</v>
      </c>
      <c r="C1629" s="13" t="s">
        <v>18</v>
      </c>
      <c r="D1629" s="13" t="s">
        <v>19</v>
      </c>
      <c r="E1629" s="13">
        <v>-242353</v>
      </c>
    </row>
    <row r="1630" spans="1:5">
      <c r="A1630" s="14">
        <v>43591</v>
      </c>
      <c r="B1630" s="12">
        <v>2000</v>
      </c>
      <c r="C1630" s="12" t="s">
        <v>18</v>
      </c>
      <c r="D1630" s="12" t="s">
        <v>19</v>
      </c>
      <c r="E1630" s="12">
        <v>-154538</v>
      </c>
    </row>
    <row r="1631" spans="1:5">
      <c r="A1631" s="15">
        <v>43591</v>
      </c>
      <c r="B1631" s="13">
        <v>2000</v>
      </c>
      <c r="C1631" s="13" t="s">
        <v>18</v>
      </c>
      <c r="D1631" s="13" t="s">
        <v>19</v>
      </c>
      <c r="E1631" s="13">
        <v>-143441</v>
      </c>
    </row>
    <row r="1632" spans="1:5">
      <c r="A1632" s="14">
        <v>43591</v>
      </c>
      <c r="B1632" s="12">
        <v>1500</v>
      </c>
      <c r="C1632" s="12" t="s">
        <v>26</v>
      </c>
      <c r="D1632" s="12" t="s">
        <v>19</v>
      </c>
      <c r="E1632" s="12">
        <v>-31018</v>
      </c>
    </row>
    <row r="1633" spans="1:5">
      <c r="A1633" s="15">
        <v>43591</v>
      </c>
      <c r="B1633" s="13">
        <v>2512</v>
      </c>
      <c r="C1633" s="13" t="s">
        <v>16</v>
      </c>
      <c r="D1633" s="13" t="s">
        <v>19</v>
      </c>
      <c r="E1633" s="13">
        <v>-12426</v>
      </c>
    </row>
    <row r="1634" spans="1:5">
      <c r="A1634" s="14">
        <v>43591</v>
      </c>
      <c r="B1634" s="12">
        <v>2502</v>
      </c>
      <c r="C1634" s="12" t="s">
        <v>7</v>
      </c>
      <c r="D1634" s="12" t="s">
        <v>12</v>
      </c>
      <c r="E1634" s="12">
        <v>-7977</v>
      </c>
    </row>
    <row r="1635" spans="1:5">
      <c r="A1635" s="15">
        <v>43591</v>
      </c>
      <c r="B1635" s="13">
        <v>2502</v>
      </c>
      <c r="C1635" s="13" t="s">
        <v>7</v>
      </c>
      <c r="D1635" s="13" t="s">
        <v>6</v>
      </c>
      <c r="E1635" s="13">
        <v>-4773</v>
      </c>
    </row>
    <row r="1636" spans="1:5">
      <c r="A1636" s="14">
        <v>43591</v>
      </c>
      <c r="B1636" s="12">
        <v>2508</v>
      </c>
      <c r="C1636" s="12" t="s">
        <v>15</v>
      </c>
      <c r="D1636" s="12" t="s">
        <v>13</v>
      </c>
      <c r="E1636" s="12">
        <v>-52824</v>
      </c>
    </row>
    <row r="1637" spans="1:5">
      <c r="A1637" s="15">
        <v>43591</v>
      </c>
      <c r="B1637" s="13">
        <v>2508</v>
      </c>
      <c r="C1637" s="13" t="s">
        <v>15</v>
      </c>
      <c r="D1637" s="13" t="s">
        <v>6</v>
      </c>
      <c r="E1637" s="13">
        <v>-73692</v>
      </c>
    </row>
    <row r="1638" spans="1:5">
      <c r="A1638" s="14">
        <v>43591</v>
      </c>
      <c r="B1638" s="12">
        <v>2513</v>
      </c>
      <c r="C1638" s="12" t="s">
        <v>17</v>
      </c>
      <c r="D1638" s="12" t="s">
        <v>14</v>
      </c>
      <c r="E1638" s="12">
        <v>-796</v>
      </c>
    </row>
    <row r="1639" spans="1:5">
      <c r="A1639" s="15">
        <v>43591</v>
      </c>
      <c r="B1639" s="13">
        <v>2510</v>
      </c>
      <c r="C1639" s="13" t="s">
        <v>24</v>
      </c>
      <c r="D1639" s="13" t="s">
        <v>8</v>
      </c>
      <c r="E1639" s="13">
        <v>-1042</v>
      </c>
    </row>
    <row r="1640" spans="1:5">
      <c r="A1640" s="14">
        <v>43591</v>
      </c>
      <c r="B1640" s="12">
        <v>2502</v>
      </c>
      <c r="C1640" s="12" t="s">
        <v>7</v>
      </c>
      <c r="D1640" s="12" t="s">
        <v>19</v>
      </c>
      <c r="E1640" s="12">
        <v>-4364</v>
      </c>
    </row>
    <row r="1641" spans="1:5">
      <c r="A1641" s="15">
        <v>43591</v>
      </c>
      <c r="B1641" s="13">
        <v>2502</v>
      </c>
      <c r="C1641" s="13" t="s">
        <v>7</v>
      </c>
      <c r="D1641" s="13" t="s">
        <v>19</v>
      </c>
      <c r="E1641" s="13">
        <v>-4324</v>
      </c>
    </row>
    <row r="1642" spans="1:5">
      <c r="A1642" s="14">
        <v>43591</v>
      </c>
      <c r="B1642" s="12">
        <v>2514</v>
      </c>
      <c r="C1642" s="12" t="s">
        <v>20</v>
      </c>
      <c r="D1642" s="12" t="s">
        <v>19</v>
      </c>
      <c r="E1642" s="12">
        <v>-1022</v>
      </c>
    </row>
    <row r="1643" spans="1:5">
      <c r="A1643" s="15">
        <v>43591</v>
      </c>
      <c r="B1643" s="13">
        <v>2514</v>
      </c>
      <c r="C1643" s="13" t="s">
        <v>20</v>
      </c>
      <c r="D1643" s="13" t="s">
        <v>19</v>
      </c>
      <c r="E1643" s="13">
        <v>-780</v>
      </c>
    </row>
    <row r="1644" spans="1:5">
      <c r="A1644" s="14">
        <v>43591</v>
      </c>
      <c r="B1644" s="12">
        <v>2505</v>
      </c>
      <c r="C1644" s="12" t="s">
        <v>9</v>
      </c>
      <c r="D1644" s="12" t="s">
        <v>19</v>
      </c>
      <c r="E1644" s="12">
        <v>-365</v>
      </c>
    </row>
    <row r="1645" spans="1:5">
      <c r="A1645" s="15">
        <v>43592</v>
      </c>
      <c r="B1645" s="13">
        <v>2000</v>
      </c>
      <c r="C1645" s="13" t="s">
        <v>18</v>
      </c>
      <c r="D1645" s="13" t="s">
        <v>19</v>
      </c>
      <c r="E1645" s="13">
        <v>-187665</v>
      </c>
    </row>
    <row r="1646" spans="1:5">
      <c r="A1646" s="14">
        <v>43592</v>
      </c>
      <c r="B1646" s="12">
        <v>2508</v>
      </c>
      <c r="C1646" s="12" t="s">
        <v>15</v>
      </c>
      <c r="D1646" s="12" t="s">
        <v>19</v>
      </c>
      <c r="E1646" s="12">
        <v>-58063</v>
      </c>
    </row>
    <row r="1647" spans="1:5">
      <c r="A1647" s="15">
        <v>43592</v>
      </c>
      <c r="B1647" s="13">
        <v>2500</v>
      </c>
      <c r="C1647" s="13" t="s">
        <v>25</v>
      </c>
      <c r="D1647" s="13" t="s">
        <v>19</v>
      </c>
      <c r="E1647" s="13">
        <v>-44158</v>
      </c>
    </row>
    <row r="1648" spans="1:5">
      <c r="A1648" s="14">
        <v>43592</v>
      </c>
      <c r="B1648" s="12">
        <v>1500</v>
      </c>
      <c r="C1648" s="12" t="s">
        <v>26</v>
      </c>
      <c r="D1648" s="12" t="s">
        <v>19</v>
      </c>
      <c r="E1648" s="12">
        <v>-43330</v>
      </c>
    </row>
    <row r="1649" spans="1:5">
      <c r="A1649" s="15">
        <v>43592</v>
      </c>
      <c r="B1649" s="13">
        <v>1500</v>
      </c>
      <c r="C1649" s="13" t="s">
        <v>26</v>
      </c>
      <c r="D1649" s="13" t="s">
        <v>19</v>
      </c>
      <c r="E1649" s="13">
        <v>-17080</v>
      </c>
    </row>
    <row r="1650" spans="1:5">
      <c r="A1650" s="14">
        <v>43592</v>
      </c>
      <c r="B1650" s="12">
        <v>2500</v>
      </c>
      <c r="C1650" s="12" t="s">
        <v>25</v>
      </c>
      <c r="D1650" s="12" t="s">
        <v>19</v>
      </c>
      <c r="E1650" s="12">
        <v>-15209</v>
      </c>
    </row>
    <row r="1651" spans="1:5">
      <c r="A1651" s="15">
        <v>43592</v>
      </c>
      <c r="B1651" s="13">
        <v>2512</v>
      </c>
      <c r="C1651" s="13" t="s">
        <v>16</v>
      </c>
      <c r="D1651" s="13" t="s">
        <v>19</v>
      </c>
      <c r="E1651" s="13">
        <v>-11829</v>
      </c>
    </row>
    <row r="1652" spans="1:5">
      <c r="A1652" s="14">
        <v>43592</v>
      </c>
      <c r="B1652" s="12">
        <v>2501</v>
      </c>
      <c r="C1652" s="12" t="s">
        <v>5</v>
      </c>
      <c r="D1652" s="12" t="s">
        <v>8</v>
      </c>
      <c r="E1652" s="12">
        <v>-136</v>
      </c>
    </row>
    <row r="1653" spans="1:5">
      <c r="A1653" s="15">
        <v>43592</v>
      </c>
      <c r="B1653" s="13">
        <v>2501</v>
      </c>
      <c r="C1653" s="13" t="s">
        <v>5</v>
      </c>
      <c r="D1653" s="13" t="s">
        <v>8</v>
      </c>
      <c r="E1653" s="13">
        <v>-194</v>
      </c>
    </row>
    <row r="1654" spans="1:5">
      <c r="A1654" s="14">
        <v>43592</v>
      </c>
      <c r="B1654" s="12">
        <v>2502</v>
      </c>
      <c r="C1654" s="12" t="s">
        <v>7</v>
      </c>
      <c r="D1654" s="12" t="s">
        <v>8</v>
      </c>
      <c r="E1654" s="12">
        <v>-6170</v>
      </c>
    </row>
    <row r="1655" spans="1:5">
      <c r="A1655" s="15">
        <v>43592</v>
      </c>
      <c r="B1655" s="13">
        <v>2502</v>
      </c>
      <c r="C1655" s="13" t="s">
        <v>7</v>
      </c>
      <c r="D1655" s="13" t="s">
        <v>12</v>
      </c>
      <c r="E1655" s="13">
        <v>-6606</v>
      </c>
    </row>
    <row r="1656" spans="1:5">
      <c r="A1656" s="14">
        <v>43592</v>
      </c>
      <c r="B1656" s="12">
        <v>2508</v>
      </c>
      <c r="C1656" s="12" t="s">
        <v>15</v>
      </c>
      <c r="D1656" s="12" t="s">
        <v>13</v>
      </c>
      <c r="E1656" s="12">
        <v>-47924</v>
      </c>
    </row>
    <row r="1657" spans="1:5">
      <c r="A1657" s="15">
        <v>43592</v>
      </c>
      <c r="B1657" s="13">
        <v>2513</v>
      </c>
      <c r="C1657" s="13" t="s">
        <v>17</v>
      </c>
      <c r="D1657" s="13" t="s">
        <v>12</v>
      </c>
      <c r="E1657" s="13">
        <v>-2010</v>
      </c>
    </row>
    <row r="1658" spans="1:5">
      <c r="A1658" s="14">
        <v>43592</v>
      </c>
      <c r="B1658" s="12">
        <v>2503</v>
      </c>
      <c r="C1658" s="12" t="s">
        <v>22</v>
      </c>
      <c r="D1658" s="12" t="s">
        <v>19</v>
      </c>
      <c r="E1658" s="12">
        <v>-216</v>
      </c>
    </row>
    <row r="1659" spans="1:5">
      <c r="A1659" s="15">
        <v>43593</v>
      </c>
      <c r="B1659" s="13">
        <v>2500</v>
      </c>
      <c r="C1659" s="13" t="s">
        <v>25</v>
      </c>
      <c r="D1659" s="13" t="s">
        <v>19</v>
      </c>
      <c r="E1659" s="13">
        <v>-22858</v>
      </c>
    </row>
    <row r="1660" spans="1:5">
      <c r="A1660" s="14">
        <v>43593</v>
      </c>
      <c r="B1660" s="12">
        <v>2512</v>
      </c>
      <c r="C1660" s="12" t="s">
        <v>16</v>
      </c>
      <c r="D1660" s="12" t="s">
        <v>19</v>
      </c>
      <c r="E1660" s="12">
        <v>-9851</v>
      </c>
    </row>
    <row r="1661" spans="1:5">
      <c r="A1661" s="15">
        <v>43593</v>
      </c>
      <c r="B1661" s="13">
        <v>2501</v>
      </c>
      <c r="C1661" s="13" t="s">
        <v>5</v>
      </c>
      <c r="D1661" s="13" t="s">
        <v>6</v>
      </c>
      <c r="E1661" s="13">
        <v>-126</v>
      </c>
    </row>
    <row r="1662" spans="1:5">
      <c r="A1662" s="14">
        <v>43593</v>
      </c>
      <c r="B1662" s="12">
        <v>2501</v>
      </c>
      <c r="C1662" s="12" t="s">
        <v>5</v>
      </c>
      <c r="D1662" s="12" t="s">
        <v>13</v>
      </c>
      <c r="E1662" s="12">
        <v>-121</v>
      </c>
    </row>
    <row r="1663" spans="1:5">
      <c r="A1663" s="15">
        <v>43593</v>
      </c>
      <c r="B1663" s="13">
        <v>2502</v>
      </c>
      <c r="C1663" s="13" t="s">
        <v>7</v>
      </c>
      <c r="D1663" s="13" t="s">
        <v>12</v>
      </c>
      <c r="E1663" s="13">
        <v>-6847</v>
      </c>
    </row>
    <row r="1664" spans="1:5">
      <c r="A1664" s="14">
        <v>43593</v>
      </c>
      <c r="B1664" s="12">
        <v>2505</v>
      </c>
      <c r="C1664" s="12" t="s">
        <v>9</v>
      </c>
      <c r="D1664" s="12" t="s">
        <v>6</v>
      </c>
      <c r="E1664" s="12">
        <v>-632</v>
      </c>
    </row>
    <row r="1665" spans="1:5">
      <c r="A1665" s="15">
        <v>43593</v>
      </c>
      <c r="B1665" s="13">
        <v>2505</v>
      </c>
      <c r="C1665" s="13" t="s">
        <v>9</v>
      </c>
      <c r="D1665" s="13" t="s">
        <v>10</v>
      </c>
      <c r="E1665" s="13">
        <v>-568</v>
      </c>
    </row>
    <row r="1666" spans="1:5">
      <c r="A1666" s="14">
        <v>43593</v>
      </c>
      <c r="B1666" s="12">
        <v>2505</v>
      </c>
      <c r="C1666" s="12" t="s">
        <v>9</v>
      </c>
      <c r="D1666" s="12" t="s">
        <v>10</v>
      </c>
      <c r="E1666" s="12">
        <v>-433</v>
      </c>
    </row>
    <row r="1667" spans="1:5">
      <c r="A1667" s="15">
        <v>43593</v>
      </c>
      <c r="B1667" s="13">
        <v>2506</v>
      </c>
      <c r="C1667" s="13" t="s">
        <v>27</v>
      </c>
      <c r="D1667" s="13" t="s">
        <v>8</v>
      </c>
      <c r="E1667" s="13">
        <v>-634</v>
      </c>
    </row>
    <row r="1668" spans="1:5">
      <c r="A1668" s="14">
        <v>43593</v>
      </c>
      <c r="B1668" s="12">
        <v>2510</v>
      </c>
      <c r="C1668" s="12" t="s">
        <v>24</v>
      </c>
      <c r="D1668" s="12" t="s">
        <v>13</v>
      </c>
      <c r="E1668" s="12">
        <v>-1482</v>
      </c>
    </row>
    <row r="1669" spans="1:5">
      <c r="A1669" s="15">
        <v>43593</v>
      </c>
      <c r="B1669" s="13">
        <v>2510</v>
      </c>
      <c r="C1669" s="13" t="s">
        <v>24</v>
      </c>
      <c r="D1669" s="13" t="s">
        <v>13</v>
      </c>
      <c r="E1669" s="13">
        <v>-911</v>
      </c>
    </row>
    <row r="1670" spans="1:5">
      <c r="A1670" s="14">
        <v>43593</v>
      </c>
      <c r="B1670" s="12">
        <v>2504</v>
      </c>
      <c r="C1670" s="12" t="s">
        <v>21</v>
      </c>
      <c r="D1670" s="12" t="s">
        <v>19</v>
      </c>
      <c r="E1670" s="12">
        <v>-2505</v>
      </c>
    </row>
    <row r="1671" spans="1:5">
      <c r="A1671" s="15">
        <v>43593</v>
      </c>
      <c r="B1671" s="13">
        <v>2504</v>
      </c>
      <c r="C1671" s="13" t="s">
        <v>21</v>
      </c>
      <c r="D1671" s="13" t="s">
        <v>19</v>
      </c>
      <c r="E1671" s="13">
        <v>-2462</v>
      </c>
    </row>
    <row r="1672" spans="1:5">
      <c r="A1672" s="14">
        <v>43593</v>
      </c>
      <c r="B1672" s="12">
        <v>2504</v>
      </c>
      <c r="C1672" s="12" t="s">
        <v>21</v>
      </c>
      <c r="D1672" s="12" t="s">
        <v>19</v>
      </c>
      <c r="E1672" s="12">
        <v>-1637</v>
      </c>
    </row>
    <row r="1673" spans="1:5">
      <c r="A1673" s="15">
        <v>43593</v>
      </c>
      <c r="B1673" s="13">
        <v>2510</v>
      </c>
      <c r="C1673" s="13" t="s">
        <v>24</v>
      </c>
      <c r="D1673" s="13" t="s">
        <v>19</v>
      </c>
      <c r="E1673" s="13">
        <v>-1364</v>
      </c>
    </row>
    <row r="1674" spans="1:5">
      <c r="A1674" s="14">
        <v>43593</v>
      </c>
      <c r="B1674" s="12">
        <v>2513</v>
      </c>
      <c r="C1674" s="12" t="s">
        <v>17</v>
      </c>
      <c r="D1674" s="12" t="s">
        <v>19</v>
      </c>
      <c r="E1674" s="12">
        <v>-968</v>
      </c>
    </row>
    <row r="1675" spans="1:5">
      <c r="A1675" s="15">
        <v>43593</v>
      </c>
      <c r="B1675" s="13">
        <v>2513</v>
      </c>
      <c r="C1675" s="13" t="s">
        <v>17</v>
      </c>
      <c r="D1675" s="13" t="s">
        <v>19</v>
      </c>
      <c r="E1675" s="13">
        <v>-600</v>
      </c>
    </row>
    <row r="1676" spans="1:5">
      <c r="A1676" s="14">
        <v>43593</v>
      </c>
      <c r="B1676" s="12">
        <v>2505</v>
      </c>
      <c r="C1676" s="12" t="s">
        <v>9</v>
      </c>
      <c r="D1676" s="12" t="s">
        <v>19</v>
      </c>
      <c r="E1676" s="12">
        <v>-481</v>
      </c>
    </row>
    <row r="1677" spans="1:5">
      <c r="A1677" s="15">
        <v>43593</v>
      </c>
      <c r="B1677" s="13">
        <v>2505</v>
      </c>
      <c r="C1677" s="13" t="s">
        <v>9</v>
      </c>
      <c r="D1677" s="13" t="s">
        <v>19</v>
      </c>
      <c r="E1677" s="13">
        <v>-290</v>
      </c>
    </row>
    <row r="1678" spans="1:5">
      <c r="A1678" s="14">
        <v>43593</v>
      </c>
      <c r="B1678" s="12">
        <v>2503</v>
      </c>
      <c r="C1678" s="12" t="s">
        <v>22</v>
      </c>
      <c r="D1678" s="12" t="s">
        <v>19</v>
      </c>
      <c r="E1678" s="12">
        <v>-289</v>
      </c>
    </row>
    <row r="1679" spans="1:5">
      <c r="A1679" s="15">
        <v>43593</v>
      </c>
      <c r="B1679" s="13">
        <v>2501</v>
      </c>
      <c r="C1679" s="13" t="s">
        <v>5</v>
      </c>
      <c r="D1679" s="13" t="s">
        <v>19</v>
      </c>
      <c r="E1679" s="13">
        <v>-113</v>
      </c>
    </row>
    <row r="1680" spans="1:5">
      <c r="A1680" s="14">
        <v>43593</v>
      </c>
      <c r="B1680" s="12">
        <v>2501</v>
      </c>
      <c r="C1680" s="12" t="s">
        <v>5</v>
      </c>
      <c r="D1680" s="12" t="s">
        <v>19</v>
      </c>
      <c r="E1680" s="12">
        <v>-94</v>
      </c>
    </row>
    <row r="1681" spans="1:5">
      <c r="A1681" s="15">
        <v>43593</v>
      </c>
      <c r="B1681" s="13">
        <v>2501</v>
      </c>
      <c r="C1681" s="13" t="s">
        <v>5</v>
      </c>
      <c r="D1681" s="13" t="s">
        <v>19</v>
      </c>
      <c r="E1681" s="13">
        <v>-76</v>
      </c>
    </row>
    <row r="1682" spans="1:5">
      <c r="A1682" s="14">
        <v>43594</v>
      </c>
      <c r="B1682" s="12">
        <v>2500</v>
      </c>
      <c r="C1682" s="12" t="s">
        <v>25</v>
      </c>
      <c r="D1682" s="12" t="s">
        <v>19</v>
      </c>
      <c r="E1682" s="12">
        <v>-48503</v>
      </c>
    </row>
    <row r="1683" spans="1:5">
      <c r="A1683" s="15">
        <v>43594</v>
      </c>
      <c r="B1683" s="13">
        <v>2500</v>
      </c>
      <c r="C1683" s="13" t="s">
        <v>25</v>
      </c>
      <c r="D1683" s="13" t="s">
        <v>19</v>
      </c>
      <c r="E1683" s="13">
        <v>-37505</v>
      </c>
    </row>
    <row r="1684" spans="1:5">
      <c r="A1684" s="14">
        <v>43594</v>
      </c>
      <c r="B1684" s="12">
        <v>2501</v>
      </c>
      <c r="C1684" s="12" t="s">
        <v>5</v>
      </c>
      <c r="D1684" s="12" t="s">
        <v>6</v>
      </c>
      <c r="E1684" s="12">
        <v>-150</v>
      </c>
    </row>
    <row r="1685" spans="1:5">
      <c r="A1685" s="15">
        <v>43594</v>
      </c>
      <c r="B1685" s="13">
        <v>2502</v>
      </c>
      <c r="C1685" s="13" t="s">
        <v>7</v>
      </c>
      <c r="D1685" s="13" t="s">
        <v>8</v>
      </c>
      <c r="E1685" s="13">
        <v>-3202</v>
      </c>
    </row>
    <row r="1686" spans="1:5">
      <c r="A1686" s="14">
        <v>43594</v>
      </c>
      <c r="B1686" s="12">
        <v>2503</v>
      </c>
      <c r="C1686" s="12" t="s">
        <v>22</v>
      </c>
      <c r="D1686" s="12" t="s">
        <v>14</v>
      </c>
      <c r="E1686" s="12">
        <v>-346</v>
      </c>
    </row>
    <row r="1687" spans="1:5">
      <c r="A1687" s="15">
        <v>43594</v>
      </c>
      <c r="B1687" s="13">
        <v>2503</v>
      </c>
      <c r="C1687" s="13" t="s">
        <v>22</v>
      </c>
      <c r="D1687" s="13" t="s">
        <v>6</v>
      </c>
      <c r="E1687" s="13">
        <v>-423</v>
      </c>
    </row>
    <row r="1688" spans="1:5">
      <c r="A1688" s="14">
        <v>43594</v>
      </c>
      <c r="B1688" s="12">
        <v>2505</v>
      </c>
      <c r="C1688" s="12" t="s">
        <v>9</v>
      </c>
      <c r="D1688" s="12" t="s">
        <v>14</v>
      </c>
      <c r="E1688" s="12">
        <v>-475</v>
      </c>
    </row>
    <row r="1689" spans="1:5">
      <c r="A1689" s="15">
        <v>43594</v>
      </c>
      <c r="B1689" s="13">
        <v>2508</v>
      </c>
      <c r="C1689" s="13" t="s">
        <v>15</v>
      </c>
      <c r="D1689" s="13" t="s">
        <v>8</v>
      </c>
      <c r="E1689" s="13">
        <v>-66704</v>
      </c>
    </row>
    <row r="1690" spans="1:5">
      <c r="A1690" s="14">
        <v>43594</v>
      </c>
      <c r="B1690" s="12">
        <v>2512</v>
      </c>
      <c r="C1690" s="12" t="s">
        <v>16</v>
      </c>
      <c r="D1690" s="12" t="s">
        <v>6</v>
      </c>
      <c r="E1690" s="12">
        <v>-2302</v>
      </c>
    </row>
    <row r="1691" spans="1:5">
      <c r="A1691" s="15">
        <v>43594</v>
      </c>
      <c r="B1691" s="13">
        <v>2512</v>
      </c>
      <c r="C1691" s="13" t="s">
        <v>16</v>
      </c>
      <c r="D1691" s="13" t="s">
        <v>10</v>
      </c>
      <c r="E1691" s="13">
        <v>-2174</v>
      </c>
    </row>
    <row r="1692" spans="1:5">
      <c r="A1692" s="14">
        <v>43594</v>
      </c>
      <c r="B1692" s="12">
        <v>2513</v>
      </c>
      <c r="C1692" s="12" t="s">
        <v>17</v>
      </c>
      <c r="D1692" s="12" t="s">
        <v>8</v>
      </c>
      <c r="E1692" s="12">
        <v>-1120</v>
      </c>
    </row>
    <row r="1693" spans="1:5">
      <c r="A1693" s="15">
        <v>43594</v>
      </c>
      <c r="B1693" s="13">
        <v>2513</v>
      </c>
      <c r="C1693" s="13" t="s">
        <v>17</v>
      </c>
      <c r="D1693" s="13" t="s">
        <v>10</v>
      </c>
      <c r="E1693" s="13">
        <v>-609</v>
      </c>
    </row>
    <row r="1694" spans="1:5">
      <c r="A1694" s="14">
        <v>43594</v>
      </c>
      <c r="B1694" s="12">
        <v>2513</v>
      </c>
      <c r="C1694" s="12" t="s">
        <v>17</v>
      </c>
      <c r="D1694" s="12" t="s">
        <v>14</v>
      </c>
      <c r="E1694" s="12">
        <v>-1227</v>
      </c>
    </row>
    <row r="1695" spans="1:5">
      <c r="A1695" s="15">
        <v>43594</v>
      </c>
      <c r="B1695" s="13">
        <v>2502</v>
      </c>
      <c r="C1695" s="13" t="s">
        <v>7</v>
      </c>
      <c r="D1695" s="13" t="s">
        <v>19</v>
      </c>
      <c r="E1695" s="13">
        <v>-2227</v>
      </c>
    </row>
    <row r="1696" spans="1:5">
      <c r="A1696" s="14">
        <v>43594</v>
      </c>
      <c r="B1696" s="12">
        <v>2510</v>
      </c>
      <c r="C1696" s="12" t="s">
        <v>24</v>
      </c>
      <c r="D1696" s="12" t="s">
        <v>19</v>
      </c>
      <c r="E1696" s="12">
        <v>-1442</v>
      </c>
    </row>
    <row r="1697" spans="1:5">
      <c r="A1697" s="15">
        <v>43594</v>
      </c>
      <c r="B1697" s="13">
        <v>2514</v>
      </c>
      <c r="C1697" s="13" t="s">
        <v>20</v>
      </c>
      <c r="D1697" s="13" t="s">
        <v>19</v>
      </c>
      <c r="E1697" s="13">
        <v>-844</v>
      </c>
    </row>
    <row r="1698" spans="1:5">
      <c r="A1698" s="14">
        <v>43594</v>
      </c>
      <c r="B1698" s="12">
        <v>2503</v>
      </c>
      <c r="C1698" s="12" t="s">
        <v>22</v>
      </c>
      <c r="D1698" s="12" t="s">
        <v>19</v>
      </c>
      <c r="E1698" s="12">
        <v>-259</v>
      </c>
    </row>
    <row r="1699" spans="1:5">
      <c r="A1699" s="15">
        <v>43594</v>
      </c>
      <c r="B1699" s="13">
        <v>1000</v>
      </c>
      <c r="C1699" s="13" t="s">
        <v>23</v>
      </c>
      <c r="D1699" s="13" t="s">
        <v>19</v>
      </c>
      <c r="E1699" s="13">
        <v>898143</v>
      </c>
    </row>
    <row r="1700" spans="1:5">
      <c r="A1700" s="14">
        <v>43595</v>
      </c>
      <c r="B1700" s="12">
        <v>2000</v>
      </c>
      <c r="C1700" s="12" t="s">
        <v>18</v>
      </c>
      <c r="D1700" s="12" t="s">
        <v>19</v>
      </c>
      <c r="E1700" s="12">
        <v>-124679</v>
      </c>
    </row>
    <row r="1701" spans="1:5">
      <c r="A1701" s="15">
        <v>43595</v>
      </c>
      <c r="B1701" s="13">
        <v>2508</v>
      </c>
      <c r="C1701" s="13" t="s">
        <v>15</v>
      </c>
      <c r="D1701" s="13" t="s">
        <v>19</v>
      </c>
      <c r="E1701" s="13">
        <v>-43007</v>
      </c>
    </row>
    <row r="1702" spans="1:5">
      <c r="A1702" s="14">
        <v>43595</v>
      </c>
      <c r="B1702" s="12">
        <v>1500</v>
      </c>
      <c r="C1702" s="12" t="s">
        <v>26</v>
      </c>
      <c r="D1702" s="12" t="s">
        <v>19</v>
      </c>
      <c r="E1702" s="12">
        <v>-13882</v>
      </c>
    </row>
    <row r="1703" spans="1:5">
      <c r="A1703" s="15">
        <v>43595</v>
      </c>
      <c r="B1703" s="13">
        <v>2501</v>
      </c>
      <c r="C1703" s="13" t="s">
        <v>5</v>
      </c>
      <c r="D1703" s="13" t="s">
        <v>10</v>
      </c>
      <c r="E1703" s="13">
        <v>-118</v>
      </c>
    </row>
    <row r="1704" spans="1:5">
      <c r="A1704" s="14">
        <v>43595</v>
      </c>
      <c r="B1704" s="12">
        <v>2501</v>
      </c>
      <c r="C1704" s="12" t="s">
        <v>5</v>
      </c>
      <c r="D1704" s="12" t="s">
        <v>8</v>
      </c>
      <c r="E1704" s="12">
        <v>-160</v>
      </c>
    </row>
    <row r="1705" spans="1:5">
      <c r="A1705" s="15">
        <v>43595</v>
      </c>
      <c r="B1705" s="13">
        <v>2502</v>
      </c>
      <c r="C1705" s="13" t="s">
        <v>7</v>
      </c>
      <c r="D1705" s="13" t="s">
        <v>12</v>
      </c>
      <c r="E1705" s="13">
        <v>-6039</v>
      </c>
    </row>
    <row r="1706" spans="1:5">
      <c r="A1706" s="14">
        <v>43595</v>
      </c>
      <c r="B1706" s="12">
        <v>2503</v>
      </c>
      <c r="C1706" s="12" t="s">
        <v>22</v>
      </c>
      <c r="D1706" s="12" t="s">
        <v>14</v>
      </c>
      <c r="E1706" s="12">
        <v>-297</v>
      </c>
    </row>
    <row r="1707" spans="1:5">
      <c r="A1707" s="15">
        <v>43595</v>
      </c>
      <c r="B1707" s="13">
        <v>2508</v>
      </c>
      <c r="C1707" s="13" t="s">
        <v>15</v>
      </c>
      <c r="D1707" s="13" t="s">
        <v>13</v>
      </c>
      <c r="E1707" s="13">
        <v>-39836</v>
      </c>
    </row>
    <row r="1708" spans="1:5">
      <c r="A1708" s="14">
        <v>43595</v>
      </c>
      <c r="B1708" s="12">
        <v>2512</v>
      </c>
      <c r="C1708" s="12" t="s">
        <v>16</v>
      </c>
      <c r="D1708" s="12" t="s">
        <v>13</v>
      </c>
      <c r="E1708" s="12">
        <v>-595</v>
      </c>
    </row>
    <row r="1709" spans="1:5">
      <c r="A1709" s="15">
        <v>43595</v>
      </c>
      <c r="B1709" s="13">
        <v>2512</v>
      </c>
      <c r="C1709" s="13" t="s">
        <v>16</v>
      </c>
      <c r="D1709" s="13" t="s">
        <v>13</v>
      </c>
      <c r="E1709" s="13">
        <v>-513</v>
      </c>
    </row>
    <row r="1710" spans="1:5">
      <c r="A1710" s="14">
        <v>43595</v>
      </c>
      <c r="B1710" s="12">
        <v>2512</v>
      </c>
      <c r="C1710" s="12" t="s">
        <v>16</v>
      </c>
      <c r="D1710" s="12" t="s">
        <v>8</v>
      </c>
      <c r="E1710" s="12">
        <v>-1825</v>
      </c>
    </row>
    <row r="1711" spans="1:5">
      <c r="A1711" s="15">
        <v>43595</v>
      </c>
      <c r="B1711" s="13">
        <v>2513</v>
      </c>
      <c r="C1711" s="13" t="s">
        <v>17</v>
      </c>
      <c r="D1711" s="13" t="s">
        <v>6</v>
      </c>
      <c r="E1711" s="13">
        <v>-1101</v>
      </c>
    </row>
    <row r="1712" spans="1:5">
      <c r="A1712" s="14">
        <v>43595</v>
      </c>
      <c r="B1712" s="12">
        <v>2513</v>
      </c>
      <c r="C1712" s="12" t="s">
        <v>17</v>
      </c>
      <c r="D1712" s="12" t="s">
        <v>10</v>
      </c>
      <c r="E1712" s="12">
        <v>-1111</v>
      </c>
    </row>
    <row r="1713" spans="1:5">
      <c r="A1713" s="15">
        <v>43595</v>
      </c>
      <c r="B1713" s="13">
        <v>2512</v>
      </c>
      <c r="C1713" s="13" t="s">
        <v>16</v>
      </c>
      <c r="D1713" s="13" t="s">
        <v>19</v>
      </c>
      <c r="E1713" s="13">
        <v>-3680</v>
      </c>
    </row>
    <row r="1714" spans="1:5">
      <c r="A1714" s="14">
        <v>43595</v>
      </c>
      <c r="B1714" s="12">
        <v>2510</v>
      </c>
      <c r="C1714" s="12" t="s">
        <v>24</v>
      </c>
      <c r="D1714" s="12" t="s">
        <v>19</v>
      </c>
      <c r="E1714" s="12">
        <v>-1286</v>
      </c>
    </row>
    <row r="1715" spans="1:5">
      <c r="A1715" s="15">
        <v>43595</v>
      </c>
      <c r="B1715" s="13">
        <v>2513</v>
      </c>
      <c r="C1715" s="13" t="s">
        <v>17</v>
      </c>
      <c r="D1715" s="13" t="s">
        <v>19</v>
      </c>
      <c r="E1715" s="13">
        <v>-678</v>
      </c>
    </row>
    <row r="1716" spans="1:5">
      <c r="A1716" s="14">
        <v>43595</v>
      </c>
      <c r="B1716" s="12">
        <v>2513</v>
      </c>
      <c r="C1716" s="12" t="s">
        <v>17</v>
      </c>
      <c r="D1716" s="12" t="s">
        <v>19</v>
      </c>
      <c r="E1716" s="12">
        <v>-483</v>
      </c>
    </row>
    <row r="1717" spans="1:5">
      <c r="A1717" s="15">
        <v>43595</v>
      </c>
      <c r="B1717" s="13">
        <v>2503</v>
      </c>
      <c r="C1717" s="13" t="s">
        <v>22</v>
      </c>
      <c r="D1717" s="13" t="s">
        <v>19</v>
      </c>
      <c r="E1717" s="13">
        <v>-301</v>
      </c>
    </row>
    <row r="1718" spans="1:5">
      <c r="A1718" s="14">
        <v>43595</v>
      </c>
      <c r="B1718" s="12">
        <v>2503</v>
      </c>
      <c r="C1718" s="12" t="s">
        <v>22</v>
      </c>
      <c r="D1718" s="12" t="s">
        <v>19</v>
      </c>
      <c r="E1718" s="12">
        <v>-212</v>
      </c>
    </row>
    <row r="1719" spans="1:5">
      <c r="A1719" s="15">
        <v>43595</v>
      </c>
      <c r="B1719" s="13">
        <v>2501</v>
      </c>
      <c r="C1719" s="13" t="s">
        <v>5</v>
      </c>
      <c r="D1719" s="13" t="s">
        <v>19</v>
      </c>
      <c r="E1719" s="13">
        <v>-60</v>
      </c>
    </row>
    <row r="1720" spans="1:5">
      <c r="A1720" s="14">
        <v>43596</v>
      </c>
      <c r="B1720" s="12">
        <v>2000</v>
      </c>
      <c r="C1720" s="12" t="s">
        <v>18</v>
      </c>
      <c r="D1720" s="12" t="s">
        <v>19</v>
      </c>
      <c r="E1720" s="12">
        <v>-291106</v>
      </c>
    </row>
    <row r="1721" spans="1:5">
      <c r="A1721" s="15">
        <v>43596</v>
      </c>
      <c r="B1721" s="13">
        <v>2000</v>
      </c>
      <c r="C1721" s="13" t="s">
        <v>18</v>
      </c>
      <c r="D1721" s="13" t="s">
        <v>19</v>
      </c>
      <c r="E1721" s="13">
        <v>-220457</v>
      </c>
    </row>
    <row r="1722" spans="1:5">
      <c r="A1722" s="14">
        <v>43596</v>
      </c>
      <c r="B1722" s="12">
        <v>2508</v>
      </c>
      <c r="C1722" s="12" t="s">
        <v>15</v>
      </c>
      <c r="D1722" s="12" t="s">
        <v>19</v>
      </c>
      <c r="E1722" s="12">
        <v>-47927</v>
      </c>
    </row>
    <row r="1723" spans="1:5">
      <c r="A1723" s="15">
        <v>43596</v>
      </c>
      <c r="B1723" s="13">
        <v>2500</v>
      </c>
      <c r="C1723" s="13" t="s">
        <v>25</v>
      </c>
      <c r="D1723" s="13" t="s">
        <v>19</v>
      </c>
      <c r="E1723" s="13">
        <v>-45317</v>
      </c>
    </row>
    <row r="1724" spans="1:5">
      <c r="A1724" s="14">
        <v>43596</v>
      </c>
      <c r="B1724" s="12">
        <v>2512</v>
      </c>
      <c r="C1724" s="12" t="s">
        <v>16</v>
      </c>
      <c r="D1724" s="12" t="s">
        <v>19</v>
      </c>
      <c r="E1724" s="12">
        <v>-8338</v>
      </c>
    </row>
    <row r="1725" spans="1:5">
      <c r="A1725" s="15">
        <v>43596</v>
      </c>
      <c r="B1725" s="13">
        <v>2501</v>
      </c>
      <c r="C1725" s="13" t="s">
        <v>5</v>
      </c>
      <c r="D1725" s="13" t="s">
        <v>12</v>
      </c>
      <c r="E1725" s="13">
        <v>-206</v>
      </c>
    </row>
    <row r="1726" spans="1:5">
      <c r="A1726" s="14">
        <v>43596</v>
      </c>
      <c r="B1726" s="12">
        <v>2502</v>
      </c>
      <c r="C1726" s="12" t="s">
        <v>7</v>
      </c>
      <c r="D1726" s="12" t="s">
        <v>14</v>
      </c>
      <c r="E1726" s="12">
        <v>-5399</v>
      </c>
    </row>
    <row r="1727" spans="1:5">
      <c r="A1727" s="15">
        <v>43596</v>
      </c>
      <c r="B1727" s="13">
        <v>2505</v>
      </c>
      <c r="C1727" s="13" t="s">
        <v>9</v>
      </c>
      <c r="D1727" s="13" t="s">
        <v>8</v>
      </c>
      <c r="E1727" s="13">
        <v>-767</v>
      </c>
    </row>
    <row r="1728" spans="1:5">
      <c r="A1728" s="14">
        <v>43596</v>
      </c>
      <c r="B1728" s="12">
        <v>2512</v>
      </c>
      <c r="C1728" s="12" t="s">
        <v>16</v>
      </c>
      <c r="D1728" s="12" t="s">
        <v>14</v>
      </c>
      <c r="E1728" s="12">
        <v>-3968</v>
      </c>
    </row>
    <row r="1729" spans="1:5">
      <c r="A1729" s="15">
        <v>43596</v>
      </c>
      <c r="B1729" s="13">
        <v>2512</v>
      </c>
      <c r="C1729" s="13" t="s">
        <v>16</v>
      </c>
      <c r="D1729" s="13" t="s">
        <v>12</v>
      </c>
      <c r="E1729" s="13">
        <v>-1139</v>
      </c>
    </row>
    <row r="1730" spans="1:5">
      <c r="A1730" s="14">
        <v>43596</v>
      </c>
      <c r="B1730" s="12">
        <v>2512</v>
      </c>
      <c r="C1730" s="12" t="s">
        <v>16</v>
      </c>
      <c r="D1730" s="12" t="s">
        <v>14</v>
      </c>
      <c r="E1730" s="12">
        <v>-1738</v>
      </c>
    </row>
    <row r="1731" spans="1:5">
      <c r="A1731" s="15">
        <v>43596</v>
      </c>
      <c r="B1731" s="13">
        <v>2513</v>
      </c>
      <c r="C1731" s="13" t="s">
        <v>17</v>
      </c>
      <c r="D1731" s="13" t="s">
        <v>10</v>
      </c>
      <c r="E1731" s="13">
        <v>-863</v>
      </c>
    </row>
    <row r="1732" spans="1:5">
      <c r="A1732" s="14">
        <v>43596</v>
      </c>
      <c r="B1732" s="12">
        <v>2513</v>
      </c>
      <c r="C1732" s="12" t="s">
        <v>17</v>
      </c>
      <c r="D1732" s="12" t="s">
        <v>8</v>
      </c>
      <c r="E1732" s="12">
        <v>-893</v>
      </c>
    </row>
    <row r="1733" spans="1:5">
      <c r="A1733" s="15">
        <v>43596</v>
      </c>
      <c r="B1733" s="13">
        <v>2513</v>
      </c>
      <c r="C1733" s="13" t="s">
        <v>17</v>
      </c>
      <c r="D1733" s="13" t="s">
        <v>8</v>
      </c>
      <c r="E1733" s="13">
        <v>-567</v>
      </c>
    </row>
    <row r="1734" spans="1:5">
      <c r="A1734" s="14">
        <v>43596</v>
      </c>
      <c r="B1734" s="12">
        <v>2514</v>
      </c>
      <c r="C1734" s="12" t="s">
        <v>20</v>
      </c>
      <c r="D1734" s="12" t="s">
        <v>10</v>
      </c>
      <c r="E1734" s="12">
        <v>-1478</v>
      </c>
    </row>
    <row r="1735" spans="1:5">
      <c r="A1735" s="15">
        <v>43596</v>
      </c>
      <c r="B1735" s="13">
        <v>2514</v>
      </c>
      <c r="C1735" s="13" t="s">
        <v>20</v>
      </c>
      <c r="D1735" s="13" t="s">
        <v>8</v>
      </c>
      <c r="E1735" s="13">
        <v>-1160</v>
      </c>
    </row>
    <row r="1736" spans="1:5">
      <c r="A1736" s="14">
        <v>43596</v>
      </c>
      <c r="B1736" s="12">
        <v>2510</v>
      </c>
      <c r="C1736" s="12" t="s">
        <v>24</v>
      </c>
      <c r="D1736" s="12" t="s">
        <v>13</v>
      </c>
      <c r="E1736" s="12">
        <v>-951</v>
      </c>
    </row>
    <row r="1737" spans="1:5">
      <c r="A1737" s="15">
        <v>43596</v>
      </c>
      <c r="B1737" s="13">
        <v>2505</v>
      </c>
      <c r="C1737" s="13" t="s">
        <v>9</v>
      </c>
      <c r="D1737" s="13" t="s">
        <v>19</v>
      </c>
      <c r="E1737" s="13">
        <v>-442</v>
      </c>
    </row>
    <row r="1738" spans="1:5">
      <c r="A1738" s="14">
        <v>43596</v>
      </c>
      <c r="B1738" s="12">
        <v>2503</v>
      </c>
      <c r="C1738" s="12" t="s">
        <v>22</v>
      </c>
      <c r="D1738" s="12" t="s">
        <v>19</v>
      </c>
      <c r="E1738" s="12">
        <v>-199</v>
      </c>
    </row>
    <row r="1739" spans="1:5">
      <c r="A1739" s="15">
        <v>43597</v>
      </c>
      <c r="B1739" s="13">
        <v>2512</v>
      </c>
      <c r="C1739" s="13" t="s">
        <v>16</v>
      </c>
      <c r="D1739" s="13" t="s">
        <v>19</v>
      </c>
      <c r="E1739" s="13">
        <v>-10408</v>
      </c>
    </row>
    <row r="1740" spans="1:5">
      <c r="A1740" s="14">
        <v>43597</v>
      </c>
      <c r="B1740" s="12">
        <v>2512</v>
      </c>
      <c r="C1740" s="12" t="s">
        <v>16</v>
      </c>
      <c r="D1740" s="12" t="s">
        <v>19</v>
      </c>
      <c r="E1740" s="12">
        <v>-8641</v>
      </c>
    </row>
    <row r="1741" spans="1:5">
      <c r="A1741" s="15">
        <v>43597</v>
      </c>
      <c r="B1741" s="13">
        <v>2503</v>
      </c>
      <c r="C1741" s="13" t="s">
        <v>22</v>
      </c>
      <c r="D1741" s="13" t="s">
        <v>6</v>
      </c>
      <c r="E1741" s="13">
        <v>-381</v>
      </c>
    </row>
    <row r="1742" spans="1:5">
      <c r="A1742" s="14">
        <v>43597</v>
      </c>
      <c r="B1742" s="12">
        <v>2505</v>
      </c>
      <c r="C1742" s="12" t="s">
        <v>9</v>
      </c>
      <c r="D1742" s="12" t="s">
        <v>6</v>
      </c>
      <c r="E1742" s="12">
        <v>-605</v>
      </c>
    </row>
    <row r="1743" spans="1:5">
      <c r="A1743" s="15">
        <v>43597</v>
      </c>
      <c r="B1743" s="13">
        <v>2505</v>
      </c>
      <c r="C1743" s="13" t="s">
        <v>9</v>
      </c>
      <c r="D1743" s="13" t="s">
        <v>13</v>
      </c>
      <c r="E1743" s="13">
        <v>-435</v>
      </c>
    </row>
    <row r="1744" spans="1:5">
      <c r="A1744" s="14">
        <v>43597</v>
      </c>
      <c r="B1744" s="12">
        <v>2512</v>
      </c>
      <c r="C1744" s="12" t="s">
        <v>16</v>
      </c>
      <c r="D1744" s="12" t="s">
        <v>6</v>
      </c>
      <c r="E1744" s="12">
        <v>-4641</v>
      </c>
    </row>
    <row r="1745" spans="1:5">
      <c r="A1745" s="15">
        <v>43597</v>
      </c>
      <c r="B1745" s="13">
        <v>2512</v>
      </c>
      <c r="C1745" s="13" t="s">
        <v>16</v>
      </c>
      <c r="D1745" s="13" t="s">
        <v>6</v>
      </c>
      <c r="E1745" s="13">
        <v>-4386</v>
      </c>
    </row>
    <row r="1746" spans="1:5">
      <c r="A1746" s="14">
        <v>43597</v>
      </c>
      <c r="B1746" s="12">
        <v>2513</v>
      </c>
      <c r="C1746" s="12" t="s">
        <v>17</v>
      </c>
      <c r="D1746" s="12" t="s">
        <v>6</v>
      </c>
      <c r="E1746" s="12">
        <v>-530</v>
      </c>
    </row>
    <row r="1747" spans="1:5">
      <c r="A1747" s="15">
        <v>43597</v>
      </c>
      <c r="B1747" s="13">
        <v>2514</v>
      </c>
      <c r="C1747" s="13" t="s">
        <v>20</v>
      </c>
      <c r="D1747" s="13" t="s">
        <v>14</v>
      </c>
      <c r="E1747" s="13">
        <v>-1095</v>
      </c>
    </row>
    <row r="1748" spans="1:5">
      <c r="A1748" s="14">
        <v>43597</v>
      </c>
      <c r="B1748" s="12">
        <v>2504</v>
      </c>
      <c r="C1748" s="12" t="s">
        <v>21</v>
      </c>
      <c r="D1748" s="12" t="s">
        <v>19</v>
      </c>
      <c r="E1748" s="12">
        <v>-2013</v>
      </c>
    </row>
    <row r="1749" spans="1:5">
      <c r="A1749" s="15">
        <v>43597</v>
      </c>
      <c r="B1749" s="13">
        <v>2504</v>
      </c>
      <c r="C1749" s="13" t="s">
        <v>21</v>
      </c>
      <c r="D1749" s="13" t="s">
        <v>19</v>
      </c>
      <c r="E1749" s="13">
        <v>-1602</v>
      </c>
    </row>
    <row r="1750" spans="1:5">
      <c r="A1750" s="14">
        <v>43597</v>
      </c>
      <c r="B1750" s="12">
        <v>1000</v>
      </c>
      <c r="C1750" s="12" t="s">
        <v>23</v>
      </c>
      <c r="D1750" s="12" t="s">
        <v>19</v>
      </c>
      <c r="E1750" s="12">
        <v>562653</v>
      </c>
    </row>
    <row r="1751" spans="1:5">
      <c r="A1751" s="15">
        <v>43597</v>
      </c>
      <c r="B1751" s="13">
        <v>1000</v>
      </c>
      <c r="C1751" s="13" t="s">
        <v>23</v>
      </c>
      <c r="D1751" s="13" t="s">
        <v>19</v>
      </c>
      <c r="E1751" s="13">
        <v>767757</v>
      </c>
    </row>
    <row r="1752" spans="1:5">
      <c r="A1752" s="14">
        <v>43597</v>
      </c>
      <c r="B1752" s="12">
        <v>1000</v>
      </c>
      <c r="C1752" s="12" t="s">
        <v>23</v>
      </c>
      <c r="D1752" s="12" t="s">
        <v>19</v>
      </c>
      <c r="E1752" s="12">
        <v>1388790</v>
      </c>
    </row>
    <row r="1753" spans="1:5">
      <c r="A1753" s="15">
        <v>43598</v>
      </c>
      <c r="B1753" s="13">
        <v>2508</v>
      </c>
      <c r="C1753" s="13" t="s">
        <v>15</v>
      </c>
      <c r="D1753" s="13" t="s">
        <v>19</v>
      </c>
      <c r="E1753" s="13">
        <v>-57990</v>
      </c>
    </row>
    <row r="1754" spans="1:5">
      <c r="A1754" s="14">
        <v>43598</v>
      </c>
      <c r="B1754" s="12">
        <v>2501</v>
      </c>
      <c r="C1754" s="12" t="s">
        <v>5</v>
      </c>
      <c r="D1754" s="12" t="s">
        <v>6</v>
      </c>
      <c r="E1754" s="12">
        <v>-171</v>
      </c>
    </row>
    <row r="1755" spans="1:5">
      <c r="A1755" s="15">
        <v>43598</v>
      </c>
      <c r="B1755" s="13">
        <v>2505</v>
      </c>
      <c r="C1755" s="13" t="s">
        <v>9</v>
      </c>
      <c r="D1755" s="13" t="s">
        <v>8</v>
      </c>
      <c r="E1755" s="13">
        <v>-759</v>
      </c>
    </row>
    <row r="1756" spans="1:5">
      <c r="A1756" s="14">
        <v>43598</v>
      </c>
      <c r="B1756" s="12">
        <v>2506</v>
      </c>
      <c r="C1756" s="12" t="s">
        <v>27</v>
      </c>
      <c r="D1756" s="12" t="s">
        <v>8</v>
      </c>
      <c r="E1756" s="12">
        <v>-540</v>
      </c>
    </row>
    <row r="1757" spans="1:5">
      <c r="A1757" s="15">
        <v>43598</v>
      </c>
      <c r="B1757" s="13">
        <v>2514</v>
      </c>
      <c r="C1757" s="13" t="s">
        <v>20</v>
      </c>
      <c r="D1757" s="13" t="s">
        <v>10</v>
      </c>
      <c r="E1757" s="13">
        <v>-1073</v>
      </c>
    </row>
    <row r="1758" spans="1:5">
      <c r="A1758" s="14">
        <v>43598</v>
      </c>
      <c r="B1758" s="12">
        <v>2502</v>
      </c>
      <c r="C1758" s="12" t="s">
        <v>7</v>
      </c>
      <c r="D1758" s="12" t="s">
        <v>19</v>
      </c>
      <c r="E1758" s="12">
        <v>-2216</v>
      </c>
    </row>
    <row r="1759" spans="1:5">
      <c r="A1759" s="15">
        <v>43598</v>
      </c>
      <c r="B1759" s="13">
        <v>2510</v>
      </c>
      <c r="C1759" s="13" t="s">
        <v>24</v>
      </c>
      <c r="D1759" s="13" t="s">
        <v>19</v>
      </c>
      <c r="E1759" s="13">
        <v>-1132</v>
      </c>
    </row>
    <row r="1760" spans="1:5">
      <c r="A1760" s="14">
        <v>43598</v>
      </c>
      <c r="B1760" s="12">
        <v>2505</v>
      </c>
      <c r="C1760" s="12" t="s">
        <v>9</v>
      </c>
      <c r="D1760" s="12" t="s">
        <v>19</v>
      </c>
      <c r="E1760" s="12">
        <v>-359</v>
      </c>
    </row>
    <row r="1761" spans="1:5">
      <c r="A1761" s="15">
        <v>43599</v>
      </c>
      <c r="B1761" s="13">
        <v>2000</v>
      </c>
      <c r="C1761" s="13" t="s">
        <v>18</v>
      </c>
      <c r="D1761" s="13" t="s">
        <v>19</v>
      </c>
      <c r="E1761" s="13">
        <v>-231485</v>
      </c>
    </row>
    <row r="1762" spans="1:5">
      <c r="A1762" s="14">
        <v>43599</v>
      </c>
      <c r="B1762" s="12">
        <v>2508</v>
      </c>
      <c r="C1762" s="12" t="s">
        <v>15</v>
      </c>
      <c r="D1762" s="12" t="s">
        <v>19</v>
      </c>
      <c r="E1762" s="12">
        <v>-51973</v>
      </c>
    </row>
    <row r="1763" spans="1:5">
      <c r="A1763" s="15">
        <v>43599</v>
      </c>
      <c r="B1763" s="13">
        <v>2508</v>
      </c>
      <c r="C1763" s="13" t="s">
        <v>15</v>
      </c>
      <c r="D1763" s="13" t="s">
        <v>19</v>
      </c>
      <c r="E1763" s="13">
        <v>-47978</v>
      </c>
    </row>
    <row r="1764" spans="1:5">
      <c r="A1764" s="14">
        <v>43599</v>
      </c>
      <c r="B1764" s="12">
        <v>2500</v>
      </c>
      <c r="C1764" s="12" t="s">
        <v>25</v>
      </c>
      <c r="D1764" s="12" t="s">
        <v>19</v>
      </c>
      <c r="E1764" s="12">
        <v>-25919</v>
      </c>
    </row>
    <row r="1765" spans="1:5">
      <c r="A1765" s="15">
        <v>43599</v>
      </c>
      <c r="B1765" s="13">
        <v>2512</v>
      </c>
      <c r="C1765" s="13" t="s">
        <v>16</v>
      </c>
      <c r="D1765" s="13" t="s">
        <v>19</v>
      </c>
      <c r="E1765" s="13">
        <v>-6529</v>
      </c>
    </row>
    <row r="1766" spans="1:5">
      <c r="A1766" s="14">
        <v>43599</v>
      </c>
      <c r="B1766" s="12">
        <v>2502</v>
      </c>
      <c r="C1766" s="12" t="s">
        <v>7</v>
      </c>
      <c r="D1766" s="12" t="s">
        <v>10</v>
      </c>
      <c r="E1766" s="12">
        <v>-7429</v>
      </c>
    </row>
    <row r="1767" spans="1:5">
      <c r="A1767" s="15">
        <v>43599</v>
      </c>
      <c r="B1767" s="13">
        <v>2502</v>
      </c>
      <c r="C1767" s="13" t="s">
        <v>7</v>
      </c>
      <c r="D1767" s="13" t="s">
        <v>10</v>
      </c>
      <c r="E1767" s="13">
        <v>-6846</v>
      </c>
    </row>
    <row r="1768" spans="1:5">
      <c r="A1768" s="14">
        <v>43599</v>
      </c>
      <c r="B1768" s="12">
        <v>2508</v>
      </c>
      <c r="C1768" s="12" t="s">
        <v>15</v>
      </c>
      <c r="D1768" s="12" t="s">
        <v>13</v>
      </c>
      <c r="E1768" s="12">
        <v>-47952</v>
      </c>
    </row>
    <row r="1769" spans="1:5">
      <c r="A1769" s="15">
        <v>43599</v>
      </c>
      <c r="B1769" s="13">
        <v>2508</v>
      </c>
      <c r="C1769" s="13" t="s">
        <v>15</v>
      </c>
      <c r="D1769" s="13" t="s">
        <v>12</v>
      </c>
      <c r="E1769" s="13">
        <v>-89101</v>
      </c>
    </row>
    <row r="1770" spans="1:5">
      <c r="A1770" s="14">
        <v>43599</v>
      </c>
      <c r="B1770" s="12">
        <v>2508</v>
      </c>
      <c r="C1770" s="12" t="s">
        <v>15</v>
      </c>
      <c r="D1770" s="12" t="s">
        <v>12</v>
      </c>
      <c r="E1770" s="12">
        <v>-92076</v>
      </c>
    </row>
    <row r="1771" spans="1:5">
      <c r="A1771" s="15">
        <v>43599</v>
      </c>
      <c r="B1771" s="13">
        <v>2512</v>
      </c>
      <c r="C1771" s="13" t="s">
        <v>16</v>
      </c>
      <c r="D1771" s="13" t="s">
        <v>13</v>
      </c>
      <c r="E1771" s="13">
        <v>-443</v>
      </c>
    </row>
    <row r="1772" spans="1:5">
      <c r="A1772" s="14">
        <v>43599</v>
      </c>
      <c r="B1772" s="12">
        <v>2512</v>
      </c>
      <c r="C1772" s="12" t="s">
        <v>16</v>
      </c>
      <c r="D1772" s="12" t="s">
        <v>6</v>
      </c>
      <c r="E1772" s="12">
        <v>-4106</v>
      </c>
    </row>
    <row r="1773" spans="1:5">
      <c r="A1773" s="15">
        <v>43599</v>
      </c>
      <c r="B1773" s="13">
        <v>2513</v>
      </c>
      <c r="C1773" s="13" t="s">
        <v>17</v>
      </c>
      <c r="D1773" s="13" t="s">
        <v>10</v>
      </c>
      <c r="E1773" s="13">
        <v>-582</v>
      </c>
    </row>
    <row r="1774" spans="1:5">
      <c r="A1774" s="14">
        <v>43599</v>
      </c>
      <c r="B1774" s="12">
        <v>2513</v>
      </c>
      <c r="C1774" s="12" t="s">
        <v>17</v>
      </c>
      <c r="D1774" s="12" t="s">
        <v>14</v>
      </c>
      <c r="E1774" s="12">
        <v>-756</v>
      </c>
    </row>
    <row r="1775" spans="1:5">
      <c r="A1775" s="15">
        <v>43599</v>
      </c>
      <c r="B1775" s="13">
        <v>2513</v>
      </c>
      <c r="C1775" s="13" t="s">
        <v>17</v>
      </c>
      <c r="D1775" s="13" t="s">
        <v>12</v>
      </c>
      <c r="E1775" s="13">
        <v>-1328</v>
      </c>
    </row>
    <row r="1776" spans="1:5">
      <c r="A1776" s="14">
        <v>43599</v>
      </c>
      <c r="B1776" s="12">
        <v>2502</v>
      </c>
      <c r="C1776" s="12" t="s">
        <v>7</v>
      </c>
      <c r="D1776" s="12" t="s">
        <v>19</v>
      </c>
      <c r="E1776" s="12">
        <v>-3894</v>
      </c>
    </row>
    <row r="1777" spans="1:5">
      <c r="A1777" s="15">
        <v>43599</v>
      </c>
      <c r="B1777" s="13">
        <v>2514</v>
      </c>
      <c r="C1777" s="13" t="s">
        <v>20</v>
      </c>
      <c r="D1777" s="13" t="s">
        <v>19</v>
      </c>
      <c r="E1777" s="13">
        <v>-1024</v>
      </c>
    </row>
    <row r="1778" spans="1:5">
      <c r="A1778" s="14">
        <v>43599</v>
      </c>
      <c r="B1778" s="12">
        <v>2510</v>
      </c>
      <c r="C1778" s="12" t="s">
        <v>24</v>
      </c>
      <c r="D1778" s="12" t="s">
        <v>19</v>
      </c>
      <c r="E1778" s="12">
        <v>-994</v>
      </c>
    </row>
    <row r="1779" spans="1:5">
      <c r="A1779" s="15">
        <v>43599</v>
      </c>
      <c r="B1779" s="13">
        <v>2505</v>
      </c>
      <c r="C1779" s="13" t="s">
        <v>9</v>
      </c>
      <c r="D1779" s="13" t="s">
        <v>19</v>
      </c>
      <c r="E1779" s="13">
        <v>-318</v>
      </c>
    </row>
    <row r="1780" spans="1:5">
      <c r="A1780" s="14">
        <v>43599</v>
      </c>
      <c r="B1780" s="12">
        <v>2501</v>
      </c>
      <c r="C1780" s="12" t="s">
        <v>5</v>
      </c>
      <c r="D1780" s="12" t="s">
        <v>19</v>
      </c>
      <c r="E1780" s="12">
        <v>-59</v>
      </c>
    </row>
    <row r="1781" spans="1:5">
      <c r="A1781" s="15">
        <v>43599</v>
      </c>
      <c r="B1781" s="13">
        <v>2501</v>
      </c>
      <c r="C1781" s="13" t="s">
        <v>5</v>
      </c>
      <c r="D1781" s="13" t="s">
        <v>19</v>
      </c>
      <c r="E1781" s="13">
        <v>-57</v>
      </c>
    </row>
    <row r="1782" spans="1:5">
      <c r="A1782" s="14">
        <v>43599</v>
      </c>
      <c r="B1782" s="12">
        <v>1000</v>
      </c>
      <c r="C1782" s="12" t="s">
        <v>23</v>
      </c>
      <c r="D1782" s="12" t="s">
        <v>19</v>
      </c>
      <c r="E1782" s="12">
        <v>747171</v>
      </c>
    </row>
    <row r="1783" spans="1:5">
      <c r="A1783" s="15">
        <v>43600</v>
      </c>
      <c r="B1783" s="13">
        <v>2501</v>
      </c>
      <c r="C1783" s="13" t="s">
        <v>5</v>
      </c>
      <c r="D1783" s="13" t="s">
        <v>13</v>
      </c>
      <c r="E1783" s="13">
        <v>-116</v>
      </c>
    </row>
    <row r="1784" spans="1:5">
      <c r="A1784" s="14">
        <v>43600</v>
      </c>
      <c r="B1784" s="12">
        <v>2501</v>
      </c>
      <c r="C1784" s="12" t="s">
        <v>5</v>
      </c>
      <c r="D1784" s="12" t="s">
        <v>14</v>
      </c>
      <c r="E1784" s="12">
        <v>-185</v>
      </c>
    </row>
    <row r="1785" spans="1:5">
      <c r="A1785" s="15">
        <v>43600</v>
      </c>
      <c r="B1785" s="13">
        <v>2502</v>
      </c>
      <c r="C1785" s="13" t="s">
        <v>7</v>
      </c>
      <c r="D1785" s="13" t="s">
        <v>6</v>
      </c>
      <c r="E1785" s="13">
        <v>-4393</v>
      </c>
    </row>
    <row r="1786" spans="1:5">
      <c r="A1786" s="14">
        <v>43600</v>
      </c>
      <c r="B1786" s="12">
        <v>2503</v>
      </c>
      <c r="C1786" s="12" t="s">
        <v>22</v>
      </c>
      <c r="D1786" s="12" t="s">
        <v>14</v>
      </c>
      <c r="E1786" s="12">
        <v>-388</v>
      </c>
    </row>
    <row r="1787" spans="1:5">
      <c r="A1787" s="15">
        <v>43600</v>
      </c>
      <c r="B1787" s="13">
        <v>2505</v>
      </c>
      <c r="C1787" s="13" t="s">
        <v>9</v>
      </c>
      <c r="D1787" s="13" t="s">
        <v>12</v>
      </c>
      <c r="E1787" s="13">
        <v>-1057</v>
      </c>
    </row>
    <row r="1788" spans="1:5">
      <c r="A1788" s="14">
        <v>43600</v>
      </c>
      <c r="B1788" s="12">
        <v>2513</v>
      </c>
      <c r="C1788" s="12" t="s">
        <v>17</v>
      </c>
      <c r="D1788" s="12" t="s">
        <v>13</v>
      </c>
      <c r="E1788" s="12">
        <v>-447</v>
      </c>
    </row>
    <row r="1789" spans="1:5">
      <c r="A1789" s="15">
        <v>43600</v>
      </c>
      <c r="B1789" s="13">
        <v>2514</v>
      </c>
      <c r="C1789" s="13" t="s">
        <v>20</v>
      </c>
      <c r="D1789" s="13" t="s">
        <v>14</v>
      </c>
      <c r="E1789" s="13">
        <v>-1547</v>
      </c>
    </row>
    <row r="1790" spans="1:5">
      <c r="A1790" s="14">
        <v>43600</v>
      </c>
      <c r="B1790" s="12">
        <v>2514</v>
      </c>
      <c r="C1790" s="12" t="s">
        <v>20</v>
      </c>
      <c r="D1790" s="12" t="s">
        <v>14</v>
      </c>
      <c r="E1790" s="12">
        <v>-1557</v>
      </c>
    </row>
    <row r="1791" spans="1:5">
      <c r="A1791" s="15">
        <v>43600</v>
      </c>
      <c r="B1791" s="13">
        <v>2510</v>
      </c>
      <c r="C1791" s="13" t="s">
        <v>24</v>
      </c>
      <c r="D1791" s="13" t="s">
        <v>13</v>
      </c>
      <c r="E1791" s="13">
        <v>-982</v>
      </c>
    </row>
    <row r="1792" spans="1:5">
      <c r="A1792" s="14">
        <v>43600</v>
      </c>
      <c r="B1792" s="12">
        <v>2510</v>
      </c>
      <c r="C1792" s="12" t="s">
        <v>24</v>
      </c>
      <c r="D1792" s="12" t="s">
        <v>19</v>
      </c>
      <c r="E1792" s="12">
        <v>-898</v>
      </c>
    </row>
    <row r="1793" spans="1:5">
      <c r="A1793" s="15">
        <v>43600</v>
      </c>
      <c r="B1793" s="13">
        <v>2503</v>
      </c>
      <c r="C1793" s="13" t="s">
        <v>22</v>
      </c>
      <c r="D1793" s="13" t="s">
        <v>19</v>
      </c>
      <c r="E1793" s="13">
        <v>-245</v>
      </c>
    </row>
    <row r="1794" spans="1:5">
      <c r="A1794" s="14">
        <v>43601</v>
      </c>
      <c r="B1794" s="12">
        <v>2500</v>
      </c>
      <c r="C1794" s="12" t="s">
        <v>25</v>
      </c>
      <c r="D1794" s="12" t="s">
        <v>19</v>
      </c>
      <c r="E1794" s="12">
        <v>-17986</v>
      </c>
    </row>
    <row r="1795" spans="1:5">
      <c r="A1795" s="15">
        <v>43601</v>
      </c>
      <c r="B1795" s="13">
        <v>2512</v>
      </c>
      <c r="C1795" s="13" t="s">
        <v>16</v>
      </c>
      <c r="D1795" s="13" t="s">
        <v>19</v>
      </c>
      <c r="E1795" s="13">
        <v>-11867</v>
      </c>
    </row>
    <row r="1796" spans="1:5">
      <c r="A1796" s="14">
        <v>43601</v>
      </c>
      <c r="B1796" s="12">
        <v>2512</v>
      </c>
      <c r="C1796" s="12" t="s">
        <v>16</v>
      </c>
      <c r="D1796" s="12" t="s">
        <v>19</v>
      </c>
      <c r="E1796" s="12">
        <v>-9157</v>
      </c>
    </row>
    <row r="1797" spans="1:5">
      <c r="A1797" s="15">
        <v>43601</v>
      </c>
      <c r="B1797" s="13">
        <v>2512</v>
      </c>
      <c r="C1797" s="13" t="s">
        <v>16</v>
      </c>
      <c r="D1797" s="13" t="s">
        <v>19</v>
      </c>
      <c r="E1797" s="13">
        <v>-8321</v>
      </c>
    </row>
    <row r="1798" spans="1:5">
      <c r="A1798" s="14">
        <v>43601</v>
      </c>
      <c r="B1798" s="12">
        <v>2501</v>
      </c>
      <c r="C1798" s="12" t="s">
        <v>5</v>
      </c>
      <c r="D1798" s="12" t="s">
        <v>12</v>
      </c>
      <c r="E1798" s="12">
        <v>-226</v>
      </c>
    </row>
    <row r="1799" spans="1:5">
      <c r="A1799" s="15">
        <v>43601</v>
      </c>
      <c r="B1799" s="13">
        <v>2501</v>
      </c>
      <c r="C1799" s="13" t="s">
        <v>5</v>
      </c>
      <c r="D1799" s="13" t="s">
        <v>12</v>
      </c>
      <c r="E1799" s="13">
        <v>-268</v>
      </c>
    </row>
    <row r="1800" spans="1:5">
      <c r="A1800" s="14">
        <v>43601</v>
      </c>
      <c r="B1800" s="12">
        <v>2502</v>
      </c>
      <c r="C1800" s="12" t="s">
        <v>7</v>
      </c>
      <c r="D1800" s="12" t="s">
        <v>8</v>
      </c>
      <c r="E1800" s="12">
        <v>-3607</v>
      </c>
    </row>
    <row r="1801" spans="1:5">
      <c r="A1801" s="15">
        <v>43601</v>
      </c>
      <c r="B1801" s="13">
        <v>2505</v>
      </c>
      <c r="C1801" s="13" t="s">
        <v>9</v>
      </c>
      <c r="D1801" s="13" t="s">
        <v>13</v>
      </c>
      <c r="E1801" s="13">
        <v>-391</v>
      </c>
    </row>
    <row r="1802" spans="1:5">
      <c r="A1802" s="14">
        <v>43601</v>
      </c>
      <c r="B1802" s="12">
        <v>2505</v>
      </c>
      <c r="C1802" s="12" t="s">
        <v>9</v>
      </c>
      <c r="D1802" s="12" t="s">
        <v>13</v>
      </c>
      <c r="E1802" s="12">
        <v>-474</v>
      </c>
    </row>
    <row r="1803" spans="1:5">
      <c r="A1803" s="15">
        <v>43601</v>
      </c>
      <c r="B1803" s="13">
        <v>2512</v>
      </c>
      <c r="C1803" s="13" t="s">
        <v>16</v>
      </c>
      <c r="D1803" s="13" t="s">
        <v>14</v>
      </c>
      <c r="E1803" s="13">
        <v>-3277</v>
      </c>
    </row>
    <row r="1804" spans="1:5">
      <c r="A1804" s="14">
        <v>43601</v>
      </c>
      <c r="B1804" s="12">
        <v>2514</v>
      </c>
      <c r="C1804" s="12" t="s">
        <v>20</v>
      </c>
      <c r="D1804" s="12" t="s">
        <v>10</v>
      </c>
      <c r="E1804" s="12">
        <v>-1028</v>
      </c>
    </row>
    <row r="1805" spans="1:5">
      <c r="A1805" s="15">
        <v>43601</v>
      </c>
      <c r="B1805" s="13">
        <v>2513</v>
      </c>
      <c r="C1805" s="13" t="s">
        <v>17</v>
      </c>
      <c r="D1805" s="13" t="s">
        <v>19</v>
      </c>
      <c r="E1805" s="13">
        <v>-895</v>
      </c>
    </row>
    <row r="1806" spans="1:5">
      <c r="A1806" s="14">
        <v>43601</v>
      </c>
      <c r="B1806" s="12">
        <v>2513</v>
      </c>
      <c r="C1806" s="12" t="s">
        <v>17</v>
      </c>
      <c r="D1806" s="12" t="s">
        <v>19</v>
      </c>
      <c r="E1806" s="12">
        <v>-551</v>
      </c>
    </row>
    <row r="1807" spans="1:5">
      <c r="A1807" s="15">
        <v>43602</v>
      </c>
      <c r="B1807" s="13">
        <v>2000</v>
      </c>
      <c r="C1807" s="13" t="s">
        <v>18</v>
      </c>
      <c r="D1807" s="13" t="s">
        <v>19</v>
      </c>
      <c r="E1807" s="13">
        <v>-312384</v>
      </c>
    </row>
    <row r="1808" spans="1:5">
      <c r="A1808" s="14">
        <v>43602</v>
      </c>
      <c r="B1808" s="12">
        <v>2000</v>
      </c>
      <c r="C1808" s="12" t="s">
        <v>18</v>
      </c>
      <c r="D1808" s="12" t="s">
        <v>19</v>
      </c>
      <c r="E1808" s="12">
        <v>-150137</v>
      </c>
    </row>
    <row r="1809" spans="1:5">
      <c r="A1809" s="15">
        <v>43602</v>
      </c>
      <c r="B1809" s="13">
        <v>2500</v>
      </c>
      <c r="C1809" s="13" t="s">
        <v>25</v>
      </c>
      <c r="D1809" s="13" t="s">
        <v>19</v>
      </c>
      <c r="E1809" s="13">
        <v>-47344</v>
      </c>
    </row>
    <row r="1810" spans="1:5">
      <c r="A1810" s="14">
        <v>43602</v>
      </c>
      <c r="B1810" s="12">
        <v>1500</v>
      </c>
      <c r="C1810" s="12" t="s">
        <v>26</v>
      </c>
      <c r="D1810" s="12" t="s">
        <v>19</v>
      </c>
      <c r="E1810" s="12">
        <v>-33406</v>
      </c>
    </row>
    <row r="1811" spans="1:5">
      <c r="A1811" s="15">
        <v>43602</v>
      </c>
      <c r="B1811" s="13">
        <v>2502</v>
      </c>
      <c r="C1811" s="13" t="s">
        <v>7</v>
      </c>
      <c r="D1811" s="13" t="s">
        <v>19</v>
      </c>
      <c r="E1811" s="13">
        <v>-5206</v>
      </c>
    </row>
    <row r="1812" spans="1:5">
      <c r="A1812" s="14">
        <v>43602</v>
      </c>
      <c r="B1812" s="12">
        <v>2502</v>
      </c>
      <c r="C1812" s="12" t="s">
        <v>7</v>
      </c>
      <c r="D1812" s="12" t="s">
        <v>8</v>
      </c>
      <c r="E1812" s="12">
        <v>-7408</v>
      </c>
    </row>
    <row r="1813" spans="1:5">
      <c r="A1813" s="15">
        <v>43602</v>
      </c>
      <c r="B1813" s="13">
        <v>2503</v>
      </c>
      <c r="C1813" s="13" t="s">
        <v>22</v>
      </c>
      <c r="D1813" s="13" t="s">
        <v>10</v>
      </c>
      <c r="E1813" s="13">
        <v>-318</v>
      </c>
    </row>
    <row r="1814" spans="1:5">
      <c r="A1814" s="14">
        <v>43602</v>
      </c>
      <c r="B1814" s="12">
        <v>2508</v>
      </c>
      <c r="C1814" s="12" t="s">
        <v>15</v>
      </c>
      <c r="D1814" s="12" t="s">
        <v>6</v>
      </c>
      <c r="E1814" s="12">
        <v>-71735</v>
      </c>
    </row>
    <row r="1815" spans="1:5">
      <c r="A1815" s="15">
        <v>43602</v>
      </c>
      <c r="B1815" s="13">
        <v>2512</v>
      </c>
      <c r="C1815" s="13" t="s">
        <v>16</v>
      </c>
      <c r="D1815" s="13" t="s">
        <v>6</v>
      </c>
      <c r="E1815" s="13">
        <v>-3150</v>
      </c>
    </row>
    <row r="1816" spans="1:5">
      <c r="A1816" s="14">
        <v>43602</v>
      </c>
      <c r="B1816" s="12">
        <v>2512</v>
      </c>
      <c r="C1816" s="12" t="s">
        <v>16</v>
      </c>
      <c r="D1816" s="12" t="s">
        <v>12</v>
      </c>
      <c r="E1816" s="12">
        <v>-1083</v>
      </c>
    </row>
    <row r="1817" spans="1:5">
      <c r="A1817" s="15">
        <v>43602</v>
      </c>
      <c r="B1817" s="13">
        <v>2513</v>
      </c>
      <c r="C1817" s="13" t="s">
        <v>17</v>
      </c>
      <c r="D1817" s="13" t="s">
        <v>6</v>
      </c>
      <c r="E1817" s="13">
        <v>-767</v>
      </c>
    </row>
    <row r="1818" spans="1:5">
      <c r="A1818" s="14">
        <v>43602</v>
      </c>
      <c r="B1818" s="12">
        <v>2514</v>
      </c>
      <c r="C1818" s="12" t="s">
        <v>20</v>
      </c>
      <c r="D1818" s="12" t="s">
        <v>12</v>
      </c>
      <c r="E1818" s="12">
        <v>-1647</v>
      </c>
    </row>
    <row r="1819" spans="1:5">
      <c r="A1819" s="15">
        <v>43602</v>
      </c>
      <c r="B1819" s="13">
        <v>2514</v>
      </c>
      <c r="C1819" s="13" t="s">
        <v>20</v>
      </c>
      <c r="D1819" s="13" t="s">
        <v>14</v>
      </c>
      <c r="E1819" s="13">
        <v>-1552</v>
      </c>
    </row>
    <row r="1820" spans="1:5">
      <c r="A1820" s="14">
        <v>43602</v>
      </c>
      <c r="B1820" s="12">
        <v>2510</v>
      </c>
      <c r="C1820" s="12" t="s">
        <v>24</v>
      </c>
      <c r="D1820" s="12" t="s">
        <v>10</v>
      </c>
      <c r="E1820" s="12">
        <v>-1626</v>
      </c>
    </row>
    <row r="1821" spans="1:5">
      <c r="A1821" s="15">
        <v>43602</v>
      </c>
      <c r="B1821" s="13">
        <v>2510</v>
      </c>
      <c r="C1821" s="13" t="s">
        <v>24</v>
      </c>
      <c r="D1821" s="13" t="s">
        <v>10</v>
      </c>
      <c r="E1821" s="13">
        <v>-1895</v>
      </c>
    </row>
    <row r="1822" spans="1:5">
      <c r="A1822" s="14">
        <v>43602</v>
      </c>
      <c r="B1822" s="12">
        <v>2510</v>
      </c>
      <c r="C1822" s="12" t="s">
        <v>24</v>
      </c>
      <c r="D1822" s="12" t="s">
        <v>10</v>
      </c>
      <c r="E1822" s="12">
        <v>-1611</v>
      </c>
    </row>
    <row r="1823" spans="1:5">
      <c r="A1823" s="15">
        <v>43602</v>
      </c>
      <c r="B1823" s="13">
        <v>2504</v>
      </c>
      <c r="C1823" s="13" t="s">
        <v>21</v>
      </c>
      <c r="D1823" s="13" t="s">
        <v>19</v>
      </c>
      <c r="E1823" s="13">
        <v>-2391</v>
      </c>
    </row>
    <row r="1824" spans="1:5">
      <c r="A1824" s="14">
        <v>43602</v>
      </c>
      <c r="B1824" s="12">
        <v>2504</v>
      </c>
      <c r="C1824" s="12" t="s">
        <v>21</v>
      </c>
      <c r="D1824" s="12" t="s">
        <v>19</v>
      </c>
      <c r="E1824" s="12">
        <v>-1969</v>
      </c>
    </row>
    <row r="1825" spans="1:5">
      <c r="A1825" s="15">
        <v>43602</v>
      </c>
      <c r="B1825" s="13">
        <v>2514</v>
      </c>
      <c r="C1825" s="13" t="s">
        <v>20</v>
      </c>
      <c r="D1825" s="13" t="s">
        <v>19</v>
      </c>
      <c r="E1825" s="13">
        <v>-980</v>
      </c>
    </row>
    <row r="1826" spans="1:5">
      <c r="A1826" s="14">
        <v>43602</v>
      </c>
      <c r="B1826" s="12">
        <v>1000</v>
      </c>
      <c r="C1826" s="12" t="s">
        <v>23</v>
      </c>
      <c r="D1826" s="12" t="s">
        <v>19</v>
      </c>
      <c r="E1826" s="12">
        <v>1395044</v>
      </c>
    </row>
    <row r="1827" spans="1:5">
      <c r="A1827" s="15">
        <v>43603</v>
      </c>
      <c r="B1827" s="13">
        <v>1500</v>
      </c>
      <c r="C1827" s="13" t="s">
        <v>26</v>
      </c>
      <c r="D1827" s="13" t="s">
        <v>19</v>
      </c>
      <c r="E1827" s="13">
        <v>-10481</v>
      </c>
    </row>
    <row r="1828" spans="1:5">
      <c r="A1828" s="14">
        <v>43603</v>
      </c>
      <c r="B1828" s="12">
        <v>2501</v>
      </c>
      <c r="C1828" s="12" t="s">
        <v>5</v>
      </c>
      <c r="D1828" s="12" t="s">
        <v>12</v>
      </c>
      <c r="E1828" s="12">
        <v>-261</v>
      </c>
    </row>
    <row r="1829" spans="1:5">
      <c r="A1829" s="15">
        <v>43603</v>
      </c>
      <c r="B1829" s="13">
        <v>2501</v>
      </c>
      <c r="C1829" s="13" t="s">
        <v>5</v>
      </c>
      <c r="D1829" s="13" t="s">
        <v>12</v>
      </c>
      <c r="E1829" s="13">
        <v>-248</v>
      </c>
    </row>
    <row r="1830" spans="1:5">
      <c r="A1830" s="14">
        <v>43603</v>
      </c>
      <c r="B1830" s="12">
        <v>2502</v>
      </c>
      <c r="C1830" s="12" t="s">
        <v>7</v>
      </c>
      <c r="D1830" s="12" t="s">
        <v>14</v>
      </c>
      <c r="E1830" s="12">
        <v>-4070</v>
      </c>
    </row>
    <row r="1831" spans="1:5">
      <c r="A1831" s="15">
        <v>43603</v>
      </c>
      <c r="B1831" s="13">
        <v>2502</v>
      </c>
      <c r="C1831" s="13" t="s">
        <v>7</v>
      </c>
      <c r="D1831" s="13" t="s">
        <v>10</v>
      </c>
      <c r="E1831" s="13">
        <v>-7177</v>
      </c>
    </row>
    <row r="1832" spans="1:5">
      <c r="A1832" s="14">
        <v>43603</v>
      </c>
      <c r="B1832" s="12">
        <v>2505</v>
      </c>
      <c r="C1832" s="12" t="s">
        <v>9</v>
      </c>
      <c r="D1832" s="12" t="s">
        <v>14</v>
      </c>
      <c r="E1832" s="12">
        <v>-609</v>
      </c>
    </row>
    <row r="1833" spans="1:5">
      <c r="A1833" s="15">
        <v>43603</v>
      </c>
      <c r="B1833" s="13">
        <v>2508</v>
      </c>
      <c r="C1833" s="13" t="s">
        <v>15</v>
      </c>
      <c r="D1833" s="13" t="s">
        <v>13</v>
      </c>
      <c r="E1833" s="13">
        <v>-38328</v>
      </c>
    </row>
    <row r="1834" spans="1:5">
      <c r="A1834" s="14">
        <v>43603</v>
      </c>
      <c r="B1834" s="12">
        <v>2512</v>
      </c>
      <c r="C1834" s="12" t="s">
        <v>16</v>
      </c>
      <c r="D1834" s="12" t="s">
        <v>8</v>
      </c>
      <c r="E1834" s="12">
        <v>-2891</v>
      </c>
    </row>
    <row r="1835" spans="1:5">
      <c r="A1835" s="15">
        <v>43603</v>
      </c>
      <c r="B1835" s="13">
        <v>2513</v>
      </c>
      <c r="C1835" s="13" t="s">
        <v>17</v>
      </c>
      <c r="D1835" s="13" t="s">
        <v>8</v>
      </c>
      <c r="E1835" s="13">
        <v>-807</v>
      </c>
    </row>
    <row r="1836" spans="1:5">
      <c r="A1836" s="14">
        <v>43603</v>
      </c>
      <c r="B1836" s="12">
        <v>2514</v>
      </c>
      <c r="C1836" s="12" t="s">
        <v>20</v>
      </c>
      <c r="D1836" s="12" t="s">
        <v>10</v>
      </c>
      <c r="E1836" s="12">
        <v>-1192</v>
      </c>
    </row>
    <row r="1837" spans="1:5">
      <c r="A1837" s="15">
        <v>43603</v>
      </c>
      <c r="B1837" s="13">
        <v>2510</v>
      </c>
      <c r="C1837" s="13" t="s">
        <v>24</v>
      </c>
      <c r="D1837" s="13" t="s">
        <v>14</v>
      </c>
      <c r="E1837" s="13">
        <v>-1395</v>
      </c>
    </row>
    <row r="1838" spans="1:5">
      <c r="A1838" s="14">
        <v>43603</v>
      </c>
      <c r="B1838" s="12">
        <v>2514</v>
      </c>
      <c r="C1838" s="12" t="s">
        <v>20</v>
      </c>
      <c r="D1838" s="12" t="s">
        <v>19</v>
      </c>
      <c r="E1838" s="12">
        <v>-1098</v>
      </c>
    </row>
    <row r="1839" spans="1:5">
      <c r="A1839" s="15">
        <v>43603</v>
      </c>
      <c r="B1839" s="13">
        <v>2513</v>
      </c>
      <c r="C1839" s="13" t="s">
        <v>17</v>
      </c>
      <c r="D1839" s="13" t="s">
        <v>19</v>
      </c>
      <c r="E1839" s="13">
        <v>-854</v>
      </c>
    </row>
    <row r="1840" spans="1:5">
      <c r="A1840" s="14">
        <v>43603</v>
      </c>
      <c r="B1840" s="12">
        <v>2503</v>
      </c>
      <c r="C1840" s="12" t="s">
        <v>22</v>
      </c>
      <c r="D1840" s="12" t="s">
        <v>19</v>
      </c>
      <c r="E1840" s="12">
        <v>-316</v>
      </c>
    </row>
    <row r="1841" spans="1:5">
      <c r="A1841" s="15">
        <v>43603</v>
      </c>
      <c r="B1841" s="13">
        <v>1000</v>
      </c>
      <c r="C1841" s="13" t="s">
        <v>23</v>
      </c>
      <c r="D1841" s="13" t="s">
        <v>19</v>
      </c>
      <c r="E1841" s="13">
        <v>820461</v>
      </c>
    </row>
    <row r="1842" spans="1:5">
      <c r="A1842" s="14">
        <v>43604</v>
      </c>
      <c r="B1842" s="12">
        <v>2000</v>
      </c>
      <c r="C1842" s="12" t="s">
        <v>18</v>
      </c>
      <c r="D1842" s="12" t="s">
        <v>19</v>
      </c>
      <c r="E1842" s="12">
        <v>-164242</v>
      </c>
    </row>
    <row r="1843" spans="1:5">
      <c r="A1843" s="15">
        <v>43604</v>
      </c>
      <c r="B1843" s="13">
        <v>2501</v>
      </c>
      <c r="C1843" s="13" t="s">
        <v>5</v>
      </c>
      <c r="D1843" s="13" t="s">
        <v>13</v>
      </c>
      <c r="E1843" s="13">
        <v>-125</v>
      </c>
    </row>
    <row r="1844" spans="1:5">
      <c r="A1844" s="14">
        <v>43604</v>
      </c>
      <c r="B1844" s="12">
        <v>2501</v>
      </c>
      <c r="C1844" s="12" t="s">
        <v>5</v>
      </c>
      <c r="D1844" s="12" t="s">
        <v>6</v>
      </c>
      <c r="E1844" s="12">
        <v>-193</v>
      </c>
    </row>
    <row r="1845" spans="1:5">
      <c r="A1845" s="15">
        <v>43604</v>
      </c>
      <c r="B1845" s="13">
        <v>2505</v>
      </c>
      <c r="C1845" s="13" t="s">
        <v>9</v>
      </c>
      <c r="D1845" s="13" t="s">
        <v>14</v>
      </c>
      <c r="E1845" s="13">
        <v>-597</v>
      </c>
    </row>
    <row r="1846" spans="1:5">
      <c r="A1846" s="14">
        <v>43604</v>
      </c>
      <c r="B1846" s="12">
        <v>2505</v>
      </c>
      <c r="C1846" s="12" t="s">
        <v>9</v>
      </c>
      <c r="D1846" s="12" t="s">
        <v>12</v>
      </c>
      <c r="E1846" s="12">
        <v>-831</v>
      </c>
    </row>
    <row r="1847" spans="1:5">
      <c r="A1847" s="15">
        <v>43604</v>
      </c>
      <c r="B1847" s="13">
        <v>2508</v>
      </c>
      <c r="C1847" s="13" t="s">
        <v>15</v>
      </c>
      <c r="D1847" s="13" t="s">
        <v>14</v>
      </c>
      <c r="E1847" s="13">
        <v>-53448</v>
      </c>
    </row>
    <row r="1848" spans="1:5">
      <c r="A1848" s="14">
        <v>43604</v>
      </c>
      <c r="B1848" s="12">
        <v>2510</v>
      </c>
      <c r="C1848" s="12" t="s">
        <v>24</v>
      </c>
      <c r="D1848" s="12" t="s">
        <v>10</v>
      </c>
      <c r="E1848" s="12">
        <v>-1046</v>
      </c>
    </row>
    <row r="1849" spans="1:5">
      <c r="A1849" s="15">
        <v>43604</v>
      </c>
      <c r="B1849" s="13">
        <v>2513</v>
      </c>
      <c r="C1849" s="13" t="s">
        <v>17</v>
      </c>
      <c r="D1849" s="13" t="s">
        <v>19</v>
      </c>
      <c r="E1849" s="13">
        <v>-951</v>
      </c>
    </row>
    <row r="1850" spans="1:5">
      <c r="A1850" s="14">
        <v>43604</v>
      </c>
      <c r="B1850" s="12">
        <v>2513</v>
      </c>
      <c r="C1850" s="12" t="s">
        <v>17</v>
      </c>
      <c r="D1850" s="12" t="s">
        <v>19</v>
      </c>
      <c r="E1850" s="12">
        <v>-603</v>
      </c>
    </row>
    <row r="1851" spans="1:5">
      <c r="A1851" s="15">
        <v>43604</v>
      </c>
      <c r="B1851" s="13">
        <v>2510</v>
      </c>
      <c r="C1851" s="13" t="s">
        <v>24</v>
      </c>
      <c r="D1851" s="13" t="s">
        <v>19</v>
      </c>
      <c r="E1851" s="13">
        <v>-578</v>
      </c>
    </row>
    <row r="1852" spans="1:5">
      <c r="A1852" s="14">
        <v>43604</v>
      </c>
      <c r="B1852" s="12">
        <v>2501</v>
      </c>
      <c r="C1852" s="12" t="s">
        <v>5</v>
      </c>
      <c r="D1852" s="12" t="s">
        <v>19</v>
      </c>
      <c r="E1852" s="12">
        <v>-62</v>
      </c>
    </row>
    <row r="1853" spans="1:5">
      <c r="A1853" s="15">
        <v>43604</v>
      </c>
      <c r="B1853" s="13">
        <v>1000</v>
      </c>
      <c r="C1853" s="13" t="s">
        <v>23</v>
      </c>
      <c r="D1853" s="13" t="s">
        <v>19</v>
      </c>
      <c r="E1853" s="13">
        <v>602344</v>
      </c>
    </row>
    <row r="1854" spans="1:5">
      <c r="A1854" s="14">
        <v>43605</v>
      </c>
      <c r="B1854" s="12">
        <v>2512</v>
      </c>
      <c r="C1854" s="12" t="s">
        <v>16</v>
      </c>
      <c r="D1854" s="12" t="s">
        <v>19</v>
      </c>
      <c r="E1854" s="12">
        <v>-5826</v>
      </c>
    </row>
    <row r="1855" spans="1:5">
      <c r="A1855" s="15">
        <v>43605</v>
      </c>
      <c r="B1855" s="13">
        <v>2501</v>
      </c>
      <c r="C1855" s="13" t="s">
        <v>5</v>
      </c>
      <c r="D1855" s="13" t="s">
        <v>13</v>
      </c>
      <c r="E1855" s="13">
        <v>-70</v>
      </c>
    </row>
    <row r="1856" spans="1:5">
      <c r="A1856" s="14">
        <v>43605</v>
      </c>
      <c r="B1856" s="12">
        <v>2505</v>
      </c>
      <c r="C1856" s="12" t="s">
        <v>9</v>
      </c>
      <c r="D1856" s="12" t="s">
        <v>10</v>
      </c>
      <c r="E1856" s="12">
        <v>-556</v>
      </c>
    </row>
    <row r="1857" spans="1:5">
      <c r="A1857" s="15">
        <v>43605</v>
      </c>
      <c r="B1857" s="13">
        <v>2508</v>
      </c>
      <c r="C1857" s="13" t="s">
        <v>15</v>
      </c>
      <c r="D1857" s="13" t="s">
        <v>6</v>
      </c>
      <c r="E1857" s="13">
        <v>-63953</v>
      </c>
    </row>
    <row r="1858" spans="1:5">
      <c r="A1858" s="14">
        <v>43605</v>
      </c>
      <c r="B1858" s="12">
        <v>2512</v>
      </c>
      <c r="C1858" s="12" t="s">
        <v>16</v>
      </c>
      <c r="D1858" s="12" t="s">
        <v>14</v>
      </c>
      <c r="E1858" s="12">
        <v>-2852</v>
      </c>
    </row>
    <row r="1859" spans="1:5">
      <c r="A1859" s="15">
        <v>43605</v>
      </c>
      <c r="B1859" s="13">
        <v>2513</v>
      </c>
      <c r="C1859" s="13" t="s">
        <v>17</v>
      </c>
      <c r="D1859" s="13" t="s">
        <v>13</v>
      </c>
      <c r="E1859" s="13">
        <v>-636</v>
      </c>
    </row>
    <row r="1860" spans="1:5">
      <c r="A1860" s="14">
        <v>43605</v>
      </c>
      <c r="B1860" s="12">
        <v>2513</v>
      </c>
      <c r="C1860" s="12" t="s">
        <v>17</v>
      </c>
      <c r="D1860" s="12" t="s">
        <v>13</v>
      </c>
      <c r="E1860" s="12">
        <v>-821</v>
      </c>
    </row>
    <row r="1861" spans="1:5">
      <c r="A1861" s="15">
        <v>43605</v>
      </c>
      <c r="B1861" s="13">
        <v>2513</v>
      </c>
      <c r="C1861" s="13" t="s">
        <v>17</v>
      </c>
      <c r="D1861" s="13" t="s">
        <v>10</v>
      </c>
      <c r="E1861" s="13">
        <v>-1096</v>
      </c>
    </row>
    <row r="1862" spans="1:5">
      <c r="A1862" s="14">
        <v>43605</v>
      </c>
      <c r="B1862" s="12">
        <v>2514</v>
      </c>
      <c r="C1862" s="12" t="s">
        <v>20</v>
      </c>
      <c r="D1862" s="12" t="s">
        <v>6</v>
      </c>
      <c r="E1862" s="12">
        <v>-1323</v>
      </c>
    </row>
    <row r="1863" spans="1:5">
      <c r="A1863" s="15">
        <v>43605</v>
      </c>
      <c r="B1863" s="13">
        <v>2514</v>
      </c>
      <c r="C1863" s="13" t="s">
        <v>20</v>
      </c>
      <c r="D1863" s="13" t="s">
        <v>19</v>
      </c>
      <c r="E1863" s="13">
        <v>-1183</v>
      </c>
    </row>
    <row r="1864" spans="1:5">
      <c r="A1864" s="14">
        <v>43605</v>
      </c>
      <c r="B1864" s="12">
        <v>2510</v>
      </c>
      <c r="C1864" s="12" t="s">
        <v>24</v>
      </c>
      <c r="D1864" s="12" t="s">
        <v>19</v>
      </c>
      <c r="E1864" s="12">
        <v>-839</v>
      </c>
    </row>
    <row r="1865" spans="1:5">
      <c r="A1865" s="15">
        <v>43605</v>
      </c>
      <c r="B1865" s="13">
        <v>1000</v>
      </c>
      <c r="C1865" s="13" t="s">
        <v>23</v>
      </c>
      <c r="D1865" s="13" t="s">
        <v>19</v>
      </c>
      <c r="E1865" s="13">
        <v>1277031</v>
      </c>
    </row>
    <row r="1866" spans="1:5">
      <c r="A1866" s="14">
        <v>43606</v>
      </c>
      <c r="B1866" s="12">
        <v>2502</v>
      </c>
      <c r="C1866" s="12" t="s">
        <v>7</v>
      </c>
      <c r="D1866" s="12" t="s">
        <v>19</v>
      </c>
      <c r="E1866" s="12">
        <v>-4801</v>
      </c>
    </row>
    <row r="1867" spans="1:5">
      <c r="A1867" s="15">
        <v>43606</v>
      </c>
      <c r="B1867" s="13">
        <v>2503</v>
      </c>
      <c r="C1867" s="13" t="s">
        <v>22</v>
      </c>
      <c r="D1867" s="13" t="s">
        <v>14</v>
      </c>
      <c r="E1867" s="13">
        <v>-270</v>
      </c>
    </row>
    <row r="1868" spans="1:5">
      <c r="A1868" s="14">
        <v>43606</v>
      </c>
      <c r="B1868" s="12">
        <v>2503</v>
      </c>
      <c r="C1868" s="12" t="s">
        <v>22</v>
      </c>
      <c r="D1868" s="12" t="s">
        <v>13</v>
      </c>
      <c r="E1868" s="12">
        <v>-301</v>
      </c>
    </row>
    <row r="1869" spans="1:5">
      <c r="A1869" s="15">
        <v>43606</v>
      </c>
      <c r="B1869" s="13">
        <v>2503</v>
      </c>
      <c r="C1869" s="13" t="s">
        <v>22</v>
      </c>
      <c r="D1869" s="13" t="s">
        <v>6</v>
      </c>
      <c r="E1869" s="13">
        <v>-337</v>
      </c>
    </row>
    <row r="1870" spans="1:5">
      <c r="A1870" s="14">
        <v>43606</v>
      </c>
      <c r="B1870" s="12">
        <v>2506</v>
      </c>
      <c r="C1870" s="12" t="s">
        <v>27</v>
      </c>
      <c r="D1870" s="12" t="s">
        <v>14</v>
      </c>
      <c r="E1870" s="12">
        <v>-680</v>
      </c>
    </row>
    <row r="1871" spans="1:5">
      <c r="A1871" s="15">
        <v>43606</v>
      </c>
      <c r="B1871" s="13">
        <v>2508</v>
      </c>
      <c r="C1871" s="13" t="s">
        <v>15</v>
      </c>
      <c r="D1871" s="13" t="s">
        <v>14</v>
      </c>
      <c r="E1871" s="13">
        <v>-72509</v>
      </c>
    </row>
    <row r="1872" spans="1:5">
      <c r="A1872" s="14">
        <v>43606</v>
      </c>
      <c r="B1872" s="12">
        <v>2513</v>
      </c>
      <c r="C1872" s="12" t="s">
        <v>17</v>
      </c>
      <c r="D1872" s="12" t="s">
        <v>14</v>
      </c>
      <c r="E1872" s="12">
        <v>-892</v>
      </c>
    </row>
    <row r="1873" spans="1:5">
      <c r="A1873" s="15">
        <v>43606</v>
      </c>
      <c r="B1873" s="13">
        <v>2514</v>
      </c>
      <c r="C1873" s="13" t="s">
        <v>20</v>
      </c>
      <c r="D1873" s="13" t="s">
        <v>12</v>
      </c>
      <c r="E1873" s="13">
        <v>-2437</v>
      </c>
    </row>
    <row r="1874" spans="1:5">
      <c r="A1874" s="14">
        <v>43606</v>
      </c>
      <c r="B1874" s="12">
        <v>2512</v>
      </c>
      <c r="C1874" s="12" t="s">
        <v>16</v>
      </c>
      <c r="D1874" s="12" t="s">
        <v>19</v>
      </c>
      <c r="E1874" s="12">
        <v>-3974</v>
      </c>
    </row>
    <row r="1875" spans="1:5">
      <c r="A1875" s="15">
        <v>43606</v>
      </c>
      <c r="B1875" s="13">
        <v>2510</v>
      </c>
      <c r="C1875" s="13" t="s">
        <v>24</v>
      </c>
      <c r="D1875" s="13" t="s">
        <v>19</v>
      </c>
      <c r="E1875" s="13">
        <v>-1462</v>
      </c>
    </row>
    <row r="1876" spans="1:5">
      <c r="A1876" s="14">
        <v>43606</v>
      </c>
      <c r="B1876" s="12">
        <v>2514</v>
      </c>
      <c r="C1876" s="12" t="s">
        <v>20</v>
      </c>
      <c r="D1876" s="12" t="s">
        <v>19</v>
      </c>
      <c r="E1876" s="12">
        <v>-1184</v>
      </c>
    </row>
    <row r="1877" spans="1:5">
      <c r="A1877" s="15">
        <v>43606</v>
      </c>
      <c r="B1877" s="13">
        <v>2510</v>
      </c>
      <c r="C1877" s="13" t="s">
        <v>24</v>
      </c>
      <c r="D1877" s="13" t="s">
        <v>19</v>
      </c>
      <c r="E1877" s="13">
        <v>-1170</v>
      </c>
    </row>
    <row r="1878" spans="1:5">
      <c r="A1878" s="14">
        <v>43606</v>
      </c>
      <c r="B1878" s="12">
        <v>2514</v>
      </c>
      <c r="C1878" s="12" t="s">
        <v>20</v>
      </c>
      <c r="D1878" s="12" t="s">
        <v>19</v>
      </c>
      <c r="E1878" s="12">
        <v>-919</v>
      </c>
    </row>
    <row r="1879" spans="1:5">
      <c r="A1879" s="15">
        <v>43606</v>
      </c>
      <c r="B1879" s="13">
        <v>2513</v>
      </c>
      <c r="C1879" s="13" t="s">
        <v>17</v>
      </c>
      <c r="D1879" s="13" t="s">
        <v>19</v>
      </c>
      <c r="E1879" s="13">
        <v>-339</v>
      </c>
    </row>
    <row r="1880" spans="1:5">
      <c r="A1880" s="14">
        <v>43606</v>
      </c>
      <c r="B1880" s="12">
        <v>1000</v>
      </c>
      <c r="C1880" s="12" t="s">
        <v>23</v>
      </c>
      <c r="D1880" s="12" t="s">
        <v>19</v>
      </c>
      <c r="E1880" s="12">
        <v>1276235</v>
      </c>
    </row>
    <row r="1881" spans="1:5">
      <c r="A1881" s="15">
        <v>43607</v>
      </c>
      <c r="B1881" s="13">
        <v>1500</v>
      </c>
      <c r="C1881" s="13" t="s">
        <v>26</v>
      </c>
      <c r="D1881" s="13" t="s">
        <v>19</v>
      </c>
      <c r="E1881" s="13">
        <v>-31927</v>
      </c>
    </row>
    <row r="1882" spans="1:5">
      <c r="A1882" s="14">
        <v>43607</v>
      </c>
      <c r="B1882" s="12">
        <v>2512</v>
      </c>
      <c r="C1882" s="12" t="s">
        <v>16</v>
      </c>
      <c r="D1882" s="12" t="s">
        <v>19</v>
      </c>
      <c r="E1882" s="12">
        <v>-12183</v>
      </c>
    </row>
    <row r="1883" spans="1:5">
      <c r="A1883" s="15">
        <v>43607</v>
      </c>
      <c r="B1883" s="13">
        <v>2501</v>
      </c>
      <c r="C1883" s="13" t="s">
        <v>5</v>
      </c>
      <c r="D1883" s="13" t="s">
        <v>13</v>
      </c>
      <c r="E1883" s="13">
        <v>-80</v>
      </c>
    </row>
    <row r="1884" spans="1:5">
      <c r="A1884" s="14">
        <v>43607</v>
      </c>
      <c r="B1884" s="12">
        <v>2512</v>
      </c>
      <c r="C1884" s="12" t="s">
        <v>16</v>
      </c>
      <c r="D1884" s="12" t="s">
        <v>10</v>
      </c>
      <c r="E1884" s="12">
        <v>-3123</v>
      </c>
    </row>
    <row r="1885" spans="1:5">
      <c r="A1885" s="15">
        <v>43607</v>
      </c>
      <c r="B1885" s="13">
        <v>2514</v>
      </c>
      <c r="C1885" s="13" t="s">
        <v>20</v>
      </c>
      <c r="D1885" s="13" t="s">
        <v>6</v>
      </c>
      <c r="E1885" s="13">
        <v>-1446</v>
      </c>
    </row>
    <row r="1886" spans="1:5">
      <c r="A1886" s="14">
        <v>43607</v>
      </c>
      <c r="B1886" s="12">
        <v>2510</v>
      </c>
      <c r="C1886" s="12" t="s">
        <v>24</v>
      </c>
      <c r="D1886" s="12" t="s">
        <v>8</v>
      </c>
      <c r="E1886" s="12">
        <v>-1303</v>
      </c>
    </row>
    <row r="1887" spans="1:5">
      <c r="A1887" s="15">
        <v>43607</v>
      </c>
      <c r="B1887" s="13">
        <v>2510</v>
      </c>
      <c r="C1887" s="13" t="s">
        <v>24</v>
      </c>
      <c r="D1887" s="13" t="s">
        <v>6</v>
      </c>
      <c r="E1887" s="13">
        <v>-931</v>
      </c>
    </row>
    <row r="1888" spans="1:5">
      <c r="A1888" s="14">
        <v>43607</v>
      </c>
      <c r="B1888" s="12">
        <v>2510</v>
      </c>
      <c r="C1888" s="12" t="s">
        <v>24</v>
      </c>
      <c r="D1888" s="12" t="s">
        <v>10</v>
      </c>
      <c r="E1888" s="12">
        <v>-1950</v>
      </c>
    </row>
    <row r="1889" spans="1:5">
      <c r="A1889" s="15">
        <v>43607</v>
      </c>
      <c r="B1889" s="13">
        <v>1500</v>
      </c>
      <c r="C1889" s="13" t="s">
        <v>26</v>
      </c>
      <c r="D1889" s="13" t="s">
        <v>19</v>
      </c>
      <c r="E1889" s="13">
        <v>-3837</v>
      </c>
    </row>
    <row r="1890" spans="1:5">
      <c r="A1890" s="14">
        <v>43607</v>
      </c>
      <c r="B1890" s="12">
        <v>2504</v>
      </c>
      <c r="C1890" s="12" t="s">
        <v>21</v>
      </c>
      <c r="D1890" s="12" t="s">
        <v>19</v>
      </c>
      <c r="E1890" s="12">
        <v>-1115</v>
      </c>
    </row>
    <row r="1891" spans="1:5">
      <c r="A1891" s="15">
        <v>43607</v>
      </c>
      <c r="B1891" s="13">
        <v>2513</v>
      </c>
      <c r="C1891" s="13" t="s">
        <v>17</v>
      </c>
      <c r="D1891" s="13" t="s">
        <v>19</v>
      </c>
      <c r="E1891" s="13">
        <v>-709</v>
      </c>
    </row>
    <row r="1892" spans="1:5">
      <c r="A1892" s="14">
        <v>43607</v>
      </c>
      <c r="B1892" s="12">
        <v>2501</v>
      </c>
      <c r="C1892" s="12" t="s">
        <v>5</v>
      </c>
      <c r="D1892" s="12" t="s">
        <v>19</v>
      </c>
      <c r="E1892" s="12">
        <v>-151</v>
      </c>
    </row>
    <row r="1893" spans="1:5">
      <c r="A1893" s="15">
        <v>43607</v>
      </c>
      <c r="B1893" s="13">
        <v>2501</v>
      </c>
      <c r="C1893" s="13" t="s">
        <v>5</v>
      </c>
      <c r="D1893" s="13" t="s">
        <v>19</v>
      </c>
      <c r="E1893" s="13">
        <v>-101</v>
      </c>
    </row>
    <row r="1894" spans="1:5">
      <c r="A1894" s="14">
        <v>43607</v>
      </c>
      <c r="B1894" s="12">
        <v>2501</v>
      </c>
      <c r="C1894" s="12" t="s">
        <v>5</v>
      </c>
      <c r="D1894" s="12" t="s">
        <v>19</v>
      </c>
      <c r="E1894" s="12">
        <v>-92</v>
      </c>
    </row>
    <row r="1895" spans="1:5">
      <c r="A1895" s="15">
        <v>43607</v>
      </c>
      <c r="B1895" s="13">
        <v>1000</v>
      </c>
      <c r="C1895" s="13" t="s">
        <v>23</v>
      </c>
      <c r="D1895" s="13" t="s">
        <v>19</v>
      </c>
      <c r="E1895" s="13">
        <v>1051849</v>
      </c>
    </row>
    <row r="1896" spans="1:5">
      <c r="A1896" s="14">
        <v>43607</v>
      </c>
      <c r="B1896" s="12">
        <v>1000</v>
      </c>
      <c r="C1896" s="12" t="s">
        <v>23</v>
      </c>
      <c r="D1896" s="12" t="s">
        <v>19</v>
      </c>
      <c r="E1896" s="12">
        <v>1210934</v>
      </c>
    </row>
    <row r="1897" spans="1:5">
      <c r="A1897" s="15">
        <v>43608</v>
      </c>
      <c r="B1897" s="13">
        <v>2502</v>
      </c>
      <c r="C1897" s="13" t="s">
        <v>7</v>
      </c>
      <c r="D1897" s="13" t="s">
        <v>19</v>
      </c>
      <c r="E1897" s="13">
        <v>-5121</v>
      </c>
    </row>
    <row r="1898" spans="1:5">
      <c r="A1898" s="14">
        <v>43608</v>
      </c>
      <c r="B1898" s="12">
        <v>2501</v>
      </c>
      <c r="C1898" s="12" t="s">
        <v>5</v>
      </c>
      <c r="D1898" s="12" t="s">
        <v>6</v>
      </c>
      <c r="E1898" s="12">
        <v>-183</v>
      </c>
    </row>
    <row r="1899" spans="1:5">
      <c r="A1899" s="15">
        <v>43608</v>
      </c>
      <c r="B1899" s="13">
        <v>2503</v>
      </c>
      <c r="C1899" s="13" t="s">
        <v>22</v>
      </c>
      <c r="D1899" s="13" t="s">
        <v>14</v>
      </c>
      <c r="E1899" s="13">
        <v>-389</v>
      </c>
    </row>
    <row r="1900" spans="1:5">
      <c r="A1900" s="14">
        <v>43608</v>
      </c>
      <c r="B1900" s="12">
        <v>2503</v>
      </c>
      <c r="C1900" s="12" t="s">
        <v>22</v>
      </c>
      <c r="D1900" s="12" t="s">
        <v>8</v>
      </c>
      <c r="E1900" s="12">
        <v>-389</v>
      </c>
    </row>
    <row r="1901" spans="1:5">
      <c r="A1901" s="15">
        <v>43608</v>
      </c>
      <c r="B1901" s="13">
        <v>2514</v>
      </c>
      <c r="C1901" s="13" t="s">
        <v>20</v>
      </c>
      <c r="D1901" s="13" t="s">
        <v>13</v>
      </c>
      <c r="E1901" s="13">
        <v>-933</v>
      </c>
    </row>
    <row r="1902" spans="1:5">
      <c r="A1902" s="14">
        <v>43608</v>
      </c>
      <c r="B1902" s="12">
        <v>2510</v>
      </c>
      <c r="C1902" s="12" t="s">
        <v>24</v>
      </c>
      <c r="D1902" s="12" t="s">
        <v>10</v>
      </c>
      <c r="E1902" s="12">
        <v>-1125</v>
      </c>
    </row>
    <row r="1903" spans="1:5">
      <c r="A1903" s="15">
        <v>43608</v>
      </c>
      <c r="B1903" s="13">
        <v>2504</v>
      </c>
      <c r="C1903" s="13" t="s">
        <v>21</v>
      </c>
      <c r="D1903" s="13" t="s">
        <v>19</v>
      </c>
      <c r="E1903" s="13">
        <v>-2213</v>
      </c>
    </row>
    <row r="1904" spans="1:5">
      <c r="A1904" s="14">
        <v>43608</v>
      </c>
      <c r="B1904" s="12">
        <v>2504</v>
      </c>
      <c r="C1904" s="12" t="s">
        <v>21</v>
      </c>
      <c r="D1904" s="12" t="s">
        <v>19</v>
      </c>
      <c r="E1904" s="12">
        <v>-1089</v>
      </c>
    </row>
    <row r="1905" spans="1:5">
      <c r="A1905" s="15">
        <v>43608</v>
      </c>
      <c r="B1905" s="13">
        <v>2513</v>
      </c>
      <c r="C1905" s="13" t="s">
        <v>17</v>
      </c>
      <c r="D1905" s="13" t="s">
        <v>19</v>
      </c>
      <c r="E1905" s="13">
        <v>-412</v>
      </c>
    </row>
    <row r="1906" spans="1:5">
      <c r="A1906" s="14">
        <v>43608</v>
      </c>
      <c r="B1906" s="12">
        <v>2505</v>
      </c>
      <c r="C1906" s="12" t="s">
        <v>9</v>
      </c>
      <c r="D1906" s="12" t="s">
        <v>19</v>
      </c>
      <c r="E1906" s="12">
        <v>-342</v>
      </c>
    </row>
    <row r="1907" spans="1:5">
      <c r="A1907" s="15">
        <v>43608</v>
      </c>
      <c r="B1907" s="13">
        <v>1000</v>
      </c>
      <c r="C1907" s="13" t="s">
        <v>23</v>
      </c>
      <c r="D1907" s="13" t="s">
        <v>19</v>
      </c>
      <c r="E1907" s="13">
        <v>662032</v>
      </c>
    </row>
    <row r="1908" spans="1:5">
      <c r="A1908" s="14">
        <v>43609</v>
      </c>
      <c r="B1908" s="12">
        <v>2000</v>
      </c>
      <c r="C1908" s="12" t="s">
        <v>18</v>
      </c>
      <c r="D1908" s="12" t="s">
        <v>19</v>
      </c>
      <c r="E1908" s="12">
        <v>-196212</v>
      </c>
    </row>
    <row r="1909" spans="1:5">
      <c r="A1909" s="15">
        <v>43609</v>
      </c>
      <c r="B1909" s="13">
        <v>2500</v>
      </c>
      <c r="C1909" s="13" t="s">
        <v>25</v>
      </c>
      <c r="D1909" s="13" t="s">
        <v>19</v>
      </c>
      <c r="E1909" s="13">
        <v>-18163</v>
      </c>
    </row>
    <row r="1910" spans="1:5">
      <c r="A1910" s="14">
        <v>43609</v>
      </c>
      <c r="B1910" s="12">
        <v>1500</v>
      </c>
      <c r="C1910" s="12" t="s">
        <v>26</v>
      </c>
      <c r="D1910" s="12" t="s">
        <v>19</v>
      </c>
      <c r="E1910" s="12">
        <v>-14634</v>
      </c>
    </row>
    <row r="1911" spans="1:5">
      <c r="A1911" s="15">
        <v>43609</v>
      </c>
      <c r="B1911" s="13">
        <v>2512</v>
      </c>
      <c r="C1911" s="13" t="s">
        <v>16</v>
      </c>
      <c r="D1911" s="13" t="s">
        <v>19</v>
      </c>
      <c r="E1911" s="13">
        <v>-10364</v>
      </c>
    </row>
    <row r="1912" spans="1:5">
      <c r="A1912" s="14">
        <v>43609</v>
      </c>
      <c r="B1912" s="12">
        <v>2501</v>
      </c>
      <c r="C1912" s="12" t="s">
        <v>5</v>
      </c>
      <c r="D1912" s="12" t="s">
        <v>8</v>
      </c>
      <c r="E1912" s="12">
        <v>-124</v>
      </c>
    </row>
    <row r="1913" spans="1:5">
      <c r="A1913" s="15">
        <v>43609</v>
      </c>
      <c r="B1913" s="13">
        <v>2512</v>
      </c>
      <c r="C1913" s="13" t="s">
        <v>16</v>
      </c>
      <c r="D1913" s="13" t="s">
        <v>12</v>
      </c>
      <c r="E1913" s="13">
        <v>-934</v>
      </c>
    </row>
    <row r="1914" spans="1:5">
      <c r="A1914" s="14">
        <v>43609</v>
      </c>
      <c r="B1914" s="12">
        <v>2513</v>
      </c>
      <c r="C1914" s="12" t="s">
        <v>17</v>
      </c>
      <c r="D1914" s="12" t="s">
        <v>13</v>
      </c>
      <c r="E1914" s="12">
        <v>-481</v>
      </c>
    </row>
    <row r="1915" spans="1:5">
      <c r="A1915" s="15">
        <v>43609</v>
      </c>
      <c r="B1915" s="13">
        <v>2514</v>
      </c>
      <c r="C1915" s="13" t="s">
        <v>20</v>
      </c>
      <c r="D1915" s="13" t="s">
        <v>14</v>
      </c>
      <c r="E1915" s="13">
        <v>-1312</v>
      </c>
    </row>
    <row r="1916" spans="1:5">
      <c r="A1916" s="14">
        <v>43609</v>
      </c>
      <c r="B1916" s="12">
        <v>2514</v>
      </c>
      <c r="C1916" s="12" t="s">
        <v>20</v>
      </c>
      <c r="D1916" s="12" t="s">
        <v>8</v>
      </c>
      <c r="E1916" s="12">
        <v>-1476</v>
      </c>
    </row>
    <row r="1917" spans="1:5">
      <c r="A1917" s="15">
        <v>43609</v>
      </c>
      <c r="B1917" s="13">
        <v>2514</v>
      </c>
      <c r="C1917" s="13" t="s">
        <v>20</v>
      </c>
      <c r="D1917" s="13" t="s">
        <v>10</v>
      </c>
      <c r="E1917" s="13">
        <v>-1580</v>
      </c>
    </row>
    <row r="1918" spans="1:5">
      <c r="A1918" s="14">
        <v>43609</v>
      </c>
      <c r="B1918" s="12">
        <v>2510</v>
      </c>
      <c r="C1918" s="12" t="s">
        <v>24</v>
      </c>
      <c r="D1918" s="12" t="s">
        <v>8</v>
      </c>
      <c r="E1918" s="12">
        <v>-1393</v>
      </c>
    </row>
    <row r="1919" spans="1:5">
      <c r="A1919" s="15">
        <v>43609</v>
      </c>
      <c r="B1919" s="13">
        <v>2510</v>
      </c>
      <c r="C1919" s="13" t="s">
        <v>24</v>
      </c>
      <c r="D1919" s="13" t="s">
        <v>13</v>
      </c>
      <c r="E1919" s="13">
        <v>-1045</v>
      </c>
    </row>
    <row r="1920" spans="1:5">
      <c r="A1920" s="14">
        <v>43609</v>
      </c>
      <c r="B1920" s="12">
        <v>2504</v>
      </c>
      <c r="C1920" s="12" t="s">
        <v>21</v>
      </c>
      <c r="D1920" s="12" t="s">
        <v>19</v>
      </c>
      <c r="E1920" s="12">
        <v>-2230</v>
      </c>
    </row>
    <row r="1921" spans="1:5">
      <c r="A1921" s="15">
        <v>43609</v>
      </c>
      <c r="B1921" s="13">
        <v>2514</v>
      </c>
      <c r="C1921" s="13" t="s">
        <v>20</v>
      </c>
      <c r="D1921" s="13" t="s">
        <v>19</v>
      </c>
      <c r="E1921" s="13">
        <v>-814</v>
      </c>
    </row>
    <row r="1922" spans="1:5">
      <c r="A1922" s="14">
        <v>43609</v>
      </c>
      <c r="B1922" s="12">
        <v>2505</v>
      </c>
      <c r="C1922" s="12" t="s">
        <v>9</v>
      </c>
      <c r="D1922" s="12" t="s">
        <v>19</v>
      </c>
      <c r="E1922" s="12">
        <v>-367</v>
      </c>
    </row>
    <row r="1923" spans="1:5">
      <c r="A1923" s="15">
        <v>43609</v>
      </c>
      <c r="B1923" s="13">
        <v>2513</v>
      </c>
      <c r="C1923" s="13" t="s">
        <v>17</v>
      </c>
      <c r="D1923" s="13" t="s">
        <v>19</v>
      </c>
      <c r="E1923" s="13">
        <v>-336</v>
      </c>
    </row>
    <row r="1924" spans="1:5">
      <c r="A1924" s="14">
        <v>43610</v>
      </c>
      <c r="B1924" s="12">
        <v>2508</v>
      </c>
      <c r="C1924" s="12" t="s">
        <v>15</v>
      </c>
      <c r="D1924" s="12" t="s">
        <v>19</v>
      </c>
      <c r="E1924" s="12">
        <v>-64467</v>
      </c>
    </row>
    <row r="1925" spans="1:5">
      <c r="A1925" s="15">
        <v>43610</v>
      </c>
      <c r="B1925" s="13">
        <v>1500</v>
      </c>
      <c r="C1925" s="13" t="s">
        <v>26</v>
      </c>
      <c r="D1925" s="13" t="s">
        <v>19</v>
      </c>
      <c r="E1925" s="13">
        <v>-11958</v>
      </c>
    </row>
    <row r="1926" spans="1:5">
      <c r="A1926" s="14">
        <v>43610</v>
      </c>
      <c r="B1926" s="12">
        <v>2512</v>
      </c>
      <c r="C1926" s="12" t="s">
        <v>16</v>
      </c>
      <c r="D1926" s="12" t="s">
        <v>19</v>
      </c>
      <c r="E1926" s="12">
        <v>-5955</v>
      </c>
    </row>
    <row r="1927" spans="1:5">
      <c r="A1927" s="15">
        <v>43610</v>
      </c>
      <c r="B1927" s="13">
        <v>2512</v>
      </c>
      <c r="C1927" s="13" t="s">
        <v>16</v>
      </c>
      <c r="D1927" s="13" t="s">
        <v>19</v>
      </c>
      <c r="E1927" s="13">
        <v>-5206</v>
      </c>
    </row>
    <row r="1928" spans="1:5">
      <c r="A1928" s="14">
        <v>43610</v>
      </c>
      <c r="B1928" s="12">
        <v>2502</v>
      </c>
      <c r="C1928" s="12" t="s">
        <v>7</v>
      </c>
      <c r="D1928" s="12" t="s">
        <v>19</v>
      </c>
      <c r="E1928" s="12">
        <v>-4898</v>
      </c>
    </row>
    <row r="1929" spans="1:5">
      <c r="A1929" s="15">
        <v>43610</v>
      </c>
      <c r="B1929" s="13">
        <v>2501</v>
      </c>
      <c r="C1929" s="13" t="s">
        <v>5</v>
      </c>
      <c r="D1929" s="13" t="s">
        <v>13</v>
      </c>
      <c r="E1929" s="13">
        <v>-103</v>
      </c>
    </row>
    <row r="1930" spans="1:5">
      <c r="A1930" s="14">
        <v>43610</v>
      </c>
      <c r="B1930" s="12">
        <v>2502</v>
      </c>
      <c r="C1930" s="12" t="s">
        <v>7</v>
      </c>
      <c r="D1930" s="12" t="s">
        <v>6</v>
      </c>
      <c r="E1930" s="12">
        <v>-5329</v>
      </c>
    </row>
    <row r="1931" spans="1:5">
      <c r="A1931" s="15">
        <v>43610</v>
      </c>
      <c r="B1931" s="13">
        <v>2503</v>
      </c>
      <c r="C1931" s="13" t="s">
        <v>22</v>
      </c>
      <c r="D1931" s="13" t="s">
        <v>13</v>
      </c>
      <c r="E1931" s="13">
        <v>-317</v>
      </c>
    </row>
    <row r="1932" spans="1:5">
      <c r="A1932" s="14">
        <v>43610</v>
      </c>
      <c r="B1932" s="12">
        <v>2508</v>
      </c>
      <c r="C1932" s="12" t="s">
        <v>15</v>
      </c>
      <c r="D1932" s="12" t="s">
        <v>12</v>
      </c>
      <c r="E1932" s="12">
        <v>-82776</v>
      </c>
    </row>
    <row r="1933" spans="1:5">
      <c r="A1933" s="15">
        <v>43610</v>
      </c>
      <c r="B1933" s="13">
        <v>2514</v>
      </c>
      <c r="C1933" s="13" t="s">
        <v>20</v>
      </c>
      <c r="D1933" s="13" t="s">
        <v>13</v>
      </c>
      <c r="E1933" s="13">
        <v>-1147</v>
      </c>
    </row>
    <row r="1934" spans="1:5">
      <c r="A1934" s="14">
        <v>43610</v>
      </c>
      <c r="B1934" s="12">
        <v>2514</v>
      </c>
      <c r="C1934" s="12" t="s">
        <v>20</v>
      </c>
      <c r="D1934" s="12" t="s">
        <v>14</v>
      </c>
      <c r="E1934" s="12">
        <v>-1201</v>
      </c>
    </row>
    <row r="1935" spans="1:5">
      <c r="A1935" s="15">
        <v>43610</v>
      </c>
      <c r="B1935" s="13">
        <v>2510</v>
      </c>
      <c r="C1935" s="13" t="s">
        <v>24</v>
      </c>
      <c r="D1935" s="13" t="s">
        <v>10</v>
      </c>
      <c r="E1935" s="13">
        <v>-1012</v>
      </c>
    </row>
    <row r="1936" spans="1:5">
      <c r="A1936" s="14">
        <v>43610</v>
      </c>
      <c r="B1936" s="12">
        <v>2510</v>
      </c>
      <c r="C1936" s="12" t="s">
        <v>24</v>
      </c>
      <c r="D1936" s="12" t="s">
        <v>12</v>
      </c>
      <c r="E1936" s="12">
        <v>-1665</v>
      </c>
    </row>
    <row r="1937" spans="1:5">
      <c r="A1937" s="15">
        <v>43610</v>
      </c>
      <c r="B1937" s="13">
        <v>2504</v>
      </c>
      <c r="C1937" s="13" t="s">
        <v>21</v>
      </c>
      <c r="D1937" s="13" t="s">
        <v>19</v>
      </c>
      <c r="E1937" s="13">
        <v>-1562</v>
      </c>
    </row>
    <row r="1938" spans="1:5">
      <c r="A1938" s="14">
        <v>43610</v>
      </c>
      <c r="B1938" s="12">
        <v>2513</v>
      </c>
      <c r="C1938" s="12" t="s">
        <v>17</v>
      </c>
      <c r="D1938" s="12" t="s">
        <v>19</v>
      </c>
      <c r="E1938" s="12">
        <v>-647</v>
      </c>
    </row>
    <row r="1939" spans="1:5">
      <c r="A1939" s="15">
        <v>43611</v>
      </c>
      <c r="B1939" s="13">
        <v>2508</v>
      </c>
      <c r="C1939" s="13" t="s">
        <v>15</v>
      </c>
      <c r="D1939" s="13" t="s">
        <v>19</v>
      </c>
      <c r="E1939" s="13">
        <v>-60316</v>
      </c>
    </row>
    <row r="1940" spans="1:5">
      <c r="A1940" s="14">
        <v>43611</v>
      </c>
      <c r="B1940" s="12">
        <v>1500</v>
      </c>
      <c r="C1940" s="12" t="s">
        <v>26</v>
      </c>
      <c r="D1940" s="12" t="s">
        <v>19</v>
      </c>
      <c r="E1940" s="12">
        <v>-47896</v>
      </c>
    </row>
    <row r="1941" spans="1:5">
      <c r="A1941" s="15">
        <v>43611</v>
      </c>
      <c r="B1941" s="13">
        <v>2500</v>
      </c>
      <c r="C1941" s="13" t="s">
        <v>25</v>
      </c>
      <c r="D1941" s="13" t="s">
        <v>19</v>
      </c>
      <c r="E1941" s="13">
        <v>-30103</v>
      </c>
    </row>
    <row r="1942" spans="1:5">
      <c r="A1942" s="14">
        <v>43611</v>
      </c>
      <c r="B1942" s="12">
        <v>2512</v>
      </c>
      <c r="C1942" s="12" t="s">
        <v>16</v>
      </c>
      <c r="D1942" s="12" t="s">
        <v>19</v>
      </c>
      <c r="E1942" s="12">
        <v>-9261</v>
      </c>
    </row>
    <row r="1943" spans="1:5">
      <c r="A1943" s="15">
        <v>43611</v>
      </c>
      <c r="B1943" s="13">
        <v>1500</v>
      </c>
      <c r="C1943" s="13" t="s">
        <v>26</v>
      </c>
      <c r="D1943" s="13" t="s">
        <v>19</v>
      </c>
      <c r="E1943" s="13">
        <v>-5802</v>
      </c>
    </row>
    <row r="1944" spans="1:5">
      <c r="A1944" s="14">
        <v>43611</v>
      </c>
      <c r="B1944" s="12">
        <v>2502</v>
      </c>
      <c r="C1944" s="12" t="s">
        <v>7</v>
      </c>
      <c r="D1944" s="12" t="s">
        <v>12</v>
      </c>
      <c r="E1944" s="12">
        <v>-7280</v>
      </c>
    </row>
    <row r="1945" spans="1:5">
      <c r="A1945" s="15">
        <v>43611</v>
      </c>
      <c r="B1945" s="13">
        <v>2506</v>
      </c>
      <c r="C1945" s="13" t="s">
        <v>27</v>
      </c>
      <c r="D1945" s="13" t="s">
        <v>14</v>
      </c>
      <c r="E1945" s="13">
        <v>-620</v>
      </c>
    </row>
    <row r="1946" spans="1:5">
      <c r="A1946" s="14">
        <v>43611</v>
      </c>
      <c r="B1946" s="12">
        <v>2513</v>
      </c>
      <c r="C1946" s="12" t="s">
        <v>17</v>
      </c>
      <c r="D1946" s="12" t="s">
        <v>14</v>
      </c>
      <c r="E1946" s="12">
        <v>-1323</v>
      </c>
    </row>
    <row r="1947" spans="1:5">
      <c r="A1947" s="15">
        <v>43611</v>
      </c>
      <c r="B1947" s="13">
        <v>2513</v>
      </c>
      <c r="C1947" s="13" t="s">
        <v>17</v>
      </c>
      <c r="D1947" s="13" t="s">
        <v>13</v>
      </c>
      <c r="E1947" s="13">
        <v>-515</v>
      </c>
    </row>
    <row r="1948" spans="1:5">
      <c r="A1948" s="14">
        <v>43611</v>
      </c>
      <c r="B1948" s="12">
        <v>2514</v>
      </c>
      <c r="C1948" s="12" t="s">
        <v>20</v>
      </c>
      <c r="D1948" s="12" t="s">
        <v>13</v>
      </c>
      <c r="E1948" s="12">
        <v>-933</v>
      </c>
    </row>
    <row r="1949" spans="1:5">
      <c r="A1949" s="15">
        <v>43611</v>
      </c>
      <c r="B1949" s="13">
        <v>2510</v>
      </c>
      <c r="C1949" s="13" t="s">
        <v>24</v>
      </c>
      <c r="D1949" s="13" t="s">
        <v>13</v>
      </c>
      <c r="E1949" s="13">
        <v>-620</v>
      </c>
    </row>
    <row r="1950" spans="1:5">
      <c r="A1950" s="14">
        <v>43611</v>
      </c>
      <c r="B1950" s="12">
        <v>2502</v>
      </c>
      <c r="C1950" s="12" t="s">
        <v>7</v>
      </c>
      <c r="D1950" s="12" t="s">
        <v>19</v>
      </c>
      <c r="E1950" s="12">
        <v>-2722</v>
      </c>
    </row>
    <row r="1951" spans="1:5">
      <c r="A1951" s="15">
        <v>43611</v>
      </c>
      <c r="B1951" s="13">
        <v>2504</v>
      </c>
      <c r="C1951" s="13" t="s">
        <v>21</v>
      </c>
      <c r="D1951" s="13" t="s">
        <v>19</v>
      </c>
      <c r="E1951" s="13">
        <v>-1775</v>
      </c>
    </row>
    <row r="1952" spans="1:5">
      <c r="A1952" s="14">
        <v>43611</v>
      </c>
      <c r="B1952" s="12">
        <v>2514</v>
      </c>
      <c r="C1952" s="12" t="s">
        <v>20</v>
      </c>
      <c r="D1952" s="12" t="s">
        <v>19</v>
      </c>
      <c r="E1952" s="12">
        <v>-1023</v>
      </c>
    </row>
    <row r="1953" spans="1:5">
      <c r="A1953" s="15">
        <v>43611</v>
      </c>
      <c r="B1953" s="13">
        <v>2514</v>
      </c>
      <c r="C1953" s="13" t="s">
        <v>20</v>
      </c>
      <c r="D1953" s="13" t="s">
        <v>19</v>
      </c>
      <c r="E1953" s="13">
        <v>-882</v>
      </c>
    </row>
    <row r="1954" spans="1:5">
      <c r="A1954" s="14">
        <v>43611</v>
      </c>
      <c r="B1954" s="12">
        <v>2510</v>
      </c>
      <c r="C1954" s="12" t="s">
        <v>24</v>
      </c>
      <c r="D1954" s="12" t="s">
        <v>19</v>
      </c>
      <c r="E1954" s="12">
        <v>-649</v>
      </c>
    </row>
    <row r="1955" spans="1:5">
      <c r="A1955" s="15">
        <v>43611</v>
      </c>
      <c r="B1955" s="13">
        <v>2505</v>
      </c>
      <c r="C1955" s="13" t="s">
        <v>9</v>
      </c>
      <c r="D1955" s="13" t="s">
        <v>19</v>
      </c>
      <c r="E1955" s="13">
        <v>-448</v>
      </c>
    </row>
    <row r="1956" spans="1:5">
      <c r="A1956" s="14">
        <v>43611</v>
      </c>
      <c r="B1956" s="12">
        <v>2505</v>
      </c>
      <c r="C1956" s="12" t="s">
        <v>9</v>
      </c>
      <c r="D1956" s="12" t="s">
        <v>19</v>
      </c>
      <c r="E1956" s="12">
        <v>-388</v>
      </c>
    </row>
    <row r="1957" spans="1:5">
      <c r="A1957" s="15">
        <v>43612</v>
      </c>
      <c r="B1957" s="13">
        <v>2000</v>
      </c>
      <c r="C1957" s="13" t="s">
        <v>18</v>
      </c>
      <c r="D1957" s="13" t="s">
        <v>19</v>
      </c>
      <c r="E1957" s="13">
        <v>-278024</v>
      </c>
    </row>
    <row r="1958" spans="1:5">
      <c r="A1958" s="14">
        <v>43612</v>
      </c>
      <c r="B1958" s="12">
        <v>2000</v>
      </c>
      <c r="C1958" s="12" t="s">
        <v>18</v>
      </c>
      <c r="D1958" s="12" t="s">
        <v>19</v>
      </c>
      <c r="E1958" s="12">
        <v>-202777</v>
      </c>
    </row>
    <row r="1959" spans="1:5">
      <c r="A1959" s="15">
        <v>43612</v>
      </c>
      <c r="B1959" s="13">
        <v>2508</v>
      </c>
      <c r="C1959" s="13" t="s">
        <v>15</v>
      </c>
      <c r="D1959" s="13" t="s">
        <v>19</v>
      </c>
      <c r="E1959" s="13">
        <v>-59077</v>
      </c>
    </row>
    <row r="1960" spans="1:5">
      <c r="A1960" s="14">
        <v>43612</v>
      </c>
      <c r="B1960" s="12">
        <v>2508</v>
      </c>
      <c r="C1960" s="12" t="s">
        <v>15</v>
      </c>
      <c r="D1960" s="12" t="s">
        <v>12</v>
      </c>
      <c r="E1960" s="12">
        <v>-90752</v>
      </c>
    </row>
    <row r="1961" spans="1:5">
      <c r="A1961" s="15">
        <v>43612</v>
      </c>
      <c r="B1961" s="13">
        <v>2508</v>
      </c>
      <c r="C1961" s="13" t="s">
        <v>15</v>
      </c>
      <c r="D1961" s="13" t="s">
        <v>13</v>
      </c>
      <c r="E1961" s="13">
        <v>-57533</v>
      </c>
    </row>
    <row r="1962" spans="1:5">
      <c r="A1962" s="14">
        <v>43612</v>
      </c>
      <c r="B1962" s="12">
        <v>2512</v>
      </c>
      <c r="C1962" s="12" t="s">
        <v>16</v>
      </c>
      <c r="D1962" s="12" t="s">
        <v>13</v>
      </c>
      <c r="E1962" s="12">
        <v>-495</v>
      </c>
    </row>
    <row r="1963" spans="1:5">
      <c r="A1963" s="15">
        <v>43612</v>
      </c>
      <c r="B1963" s="13">
        <v>2513</v>
      </c>
      <c r="C1963" s="13" t="s">
        <v>17</v>
      </c>
      <c r="D1963" s="13" t="s">
        <v>10</v>
      </c>
      <c r="E1963" s="13">
        <v>-560</v>
      </c>
    </row>
    <row r="1964" spans="1:5">
      <c r="A1964" s="14">
        <v>43612</v>
      </c>
      <c r="B1964" s="12">
        <v>2510</v>
      </c>
      <c r="C1964" s="12" t="s">
        <v>24</v>
      </c>
      <c r="D1964" s="12" t="s">
        <v>13</v>
      </c>
      <c r="E1964" s="12">
        <v>-1212</v>
      </c>
    </row>
    <row r="1965" spans="1:5">
      <c r="A1965" s="15">
        <v>43612</v>
      </c>
      <c r="B1965" s="13">
        <v>2504</v>
      </c>
      <c r="C1965" s="13" t="s">
        <v>21</v>
      </c>
      <c r="D1965" s="13" t="s">
        <v>19</v>
      </c>
      <c r="E1965" s="13">
        <v>-1031</v>
      </c>
    </row>
    <row r="1966" spans="1:5">
      <c r="A1966" s="14">
        <v>43612</v>
      </c>
      <c r="B1966" s="12">
        <v>2514</v>
      </c>
      <c r="C1966" s="12" t="s">
        <v>20</v>
      </c>
      <c r="D1966" s="12" t="s">
        <v>19</v>
      </c>
      <c r="E1966" s="12">
        <v>-957</v>
      </c>
    </row>
    <row r="1967" spans="1:5">
      <c r="A1967" s="15">
        <v>43612</v>
      </c>
      <c r="B1967" s="13">
        <v>2501</v>
      </c>
      <c r="C1967" s="13" t="s">
        <v>5</v>
      </c>
      <c r="D1967" s="13" t="s">
        <v>19</v>
      </c>
      <c r="E1967" s="13">
        <v>-138</v>
      </c>
    </row>
    <row r="1968" spans="1:5">
      <c r="A1968" s="14">
        <v>43612</v>
      </c>
      <c r="B1968" s="12">
        <v>2501</v>
      </c>
      <c r="C1968" s="12" t="s">
        <v>5</v>
      </c>
      <c r="D1968" s="12" t="s">
        <v>19</v>
      </c>
      <c r="E1968" s="12">
        <v>-132</v>
      </c>
    </row>
    <row r="1969" spans="1:5">
      <c r="A1969" s="15">
        <v>43613</v>
      </c>
      <c r="B1969" s="13">
        <v>2000</v>
      </c>
      <c r="C1969" s="13" t="s">
        <v>18</v>
      </c>
      <c r="D1969" s="13" t="s">
        <v>19</v>
      </c>
      <c r="E1969" s="13">
        <v>-121310</v>
      </c>
    </row>
    <row r="1970" spans="1:5">
      <c r="A1970" s="14">
        <v>43613</v>
      </c>
      <c r="B1970" s="12">
        <v>2502</v>
      </c>
      <c r="C1970" s="12" t="s">
        <v>7</v>
      </c>
      <c r="D1970" s="12" t="s">
        <v>19</v>
      </c>
      <c r="E1970" s="12">
        <v>-5902</v>
      </c>
    </row>
    <row r="1971" spans="1:5">
      <c r="A1971" s="15">
        <v>43613</v>
      </c>
      <c r="B1971" s="13">
        <v>2502</v>
      </c>
      <c r="C1971" s="13" t="s">
        <v>7</v>
      </c>
      <c r="D1971" s="13" t="s">
        <v>19</v>
      </c>
      <c r="E1971" s="13">
        <v>-4575</v>
      </c>
    </row>
    <row r="1972" spans="1:5">
      <c r="A1972" s="14">
        <v>43613</v>
      </c>
      <c r="B1972" s="12">
        <v>2502</v>
      </c>
      <c r="C1972" s="12" t="s">
        <v>7</v>
      </c>
      <c r="D1972" s="12" t="s">
        <v>19</v>
      </c>
      <c r="E1972" s="12">
        <v>-4406</v>
      </c>
    </row>
    <row r="1973" spans="1:5">
      <c r="A1973" s="15">
        <v>43613</v>
      </c>
      <c r="B1973" s="13">
        <v>2502</v>
      </c>
      <c r="C1973" s="13" t="s">
        <v>7</v>
      </c>
      <c r="D1973" s="13" t="s">
        <v>10</v>
      </c>
      <c r="E1973" s="13">
        <v>-4425</v>
      </c>
    </row>
    <row r="1974" spans="1:5">
      <c r="A1974" s="14">
        <v>43613</v>
      </c>
      <c r="B1974" s="12">
        <v>2502</v>
      </c>
      <c r="C1974" s="12" t="s">
        <v>7</v>
      </c>
      <c r="D1974" s="12" t="s">
        <v>13</v>
      </c>
      <c r="E1974" s="12">
        <v>-4455</v>
      </c>
    </row>
    <row r="1975" spans="1:5">
      <c r="A1975" s="15">
        <v>43613</v>
      </c>
      <c r="B1975" s="13">
        <v>2503</v>
      </c>
      <c r="C1975" s="13" t="s">
        <v>22</v>
      </c>
      <c r="D1975" s="13" t="s">
        <v>13</v>
      </c>
      <c r="E1975" s="13">
        <v>-288</v>
      </c>
    </row>
    <row r="1976" spans="1:5">
      <c r="A1976" s="14">
        <v>43613</v>
      </c>
      <c r="B1976" s="12">
        <v>2503</v>
      </c>
      <c r="C1976" s="12" t="s">
        <v>22</v>
      </c>
      <c r="D1976" s="12" t="s">
        <v>8</v>
      </c>
      <c r="E1976" s="12">
        <v>-307</v>
      </c>
    </row>
    <row r="1977" spans="1:5">
      <c r="A1977" s="15">
        <v>43613</v>
      </c>
      <c r="B1977" s="13">
        <v>2508</v>
      </c>
      <c r="C1977" s="13" t="s">
        <v>15</v>
      </c>
      <c r="D1977" s="13" t="s">
        <v>13</v>
      </c>
      <c r="E1977" s="13">
        <v>-57868</v>
      </c>
    </row>
    <row r="1978" spans="1:5">
      <c r="A1978" s="14">
        <v>43613</v>
      </c>
      <c r="B1978" s="12">
        <v>2508</v>
      </c>
      <c r="C1978" s="12" t="s">
        <v>15</v>
      </c>
      <c r="D1978" s="12" t="s">
        <v>6</v>
      </c>
      <c r="E1978" s="12">
        <v>-64659</v>
      </c>
    </row>
    <row r="1979" spans="1:5">
      <c r="A1979" s="15">
        <v>43613</v>
      </c>
      <c r="B1979" s="13">
        <v>2512</v>
      </c>
      <c r="C1979" s="13" t="s">
        <v>16</v>
      </c>
      <c r="D1979" s="13" t="s">
        <v>13</v>
      </c>
      <c r="E1979" s="13">
        <v>-510</v>
      </c>
    </row>
    <row r="1980" spans="1:5">
      <c r="A1980" s="14">
        <v>43613</v>
      </c>
      <c r="B1980" s="12">
        <v>2512</v>
      </c>
      <c r="C1980" s="12" t="s">
        <v>16</v>
      </c>
      <c r="D1980" s="12" t="s">
        <v>8</v>
      </c>
      <c r="E1980" s="12">
        <v>-2151</v>
      </c>
    </row>
    <row r="1981" spans="1:5">
      <c r="A1981" s="15">
        <v>43613</v>
      </c>
      <c r="B1981" s="13">
        <v>2513</v>
      </c>
      <c r="C1981" s="13" t="s">
        <v>17</v>
      </c>
      <c r="D1981" s="13" t="s">
        <v>13</v>
      </c>
      <c r="E1981" s="13">
        <v>-703</v>
      </c>
    </row>
    <row r="1982" spans="1:5">
      <c r="A1982" s="14">
        <v>43613</v>
      </c>
      <c r="B1982" s="12">
        <v>2513</v>
      </c>
      <c r="C1982" s="12" t="s">
        <v>17</v>
      </c>
      <c r="D1982" s="12" t="s">
        <v>6</v>
      </c>
      <c r="E1982" s="12">
        <v>-1143</v>
      </c>
    </row>
    <row r="1983" spans="1:5">
      <c r="A1983" s="15">
        <v>43613</v>
      </c>
      <c r="B1983" s="13">
        <v>2513</v>
      </c>
      <c r="C1983" s="13" t="s">
        <v>17</v>
      </c>
      <c r="D1983" s="13" t="s">
        <v>6</v>
      </c>
      <c r="E1983" s="13">
        <v>-1100</v>
      </c>
    </row>
    <row r="1984" spans="1:5">
      <c r="A1984" s="14">
        <v>43613</v>
      </c>
      <c r="B1984" s="12">
        <v>2514</v>
      </c>
      <c r="C1984" s="12" t="s">
        <v>20</v>
      </c>
      <c r="D1984" s="12" t="s">
        <v>10</v>
      </c>
      <c r="E1984" s="12">
        <v>-1433</v>
      </c>
    </row>
    <row r="1985" spans="1:5">
      <c r="A1985" s="15">
        <v>43613</v>
      </c>
      <c r="B1985" s="13">
        <v>1000</v>
      </c>
      <c r="C1985" s="13" t="s">
        <v>23</v>
      </c>
      <c r="D1985" s="13" t="s">
        <v>19</v>
      </c>
      <c r="E1985" s="13">
        <v>983503</v>
      </c>
    </row>
    <row r="1986" spans="1:5">
      <c r="A1986" s="14">
        <v>43614</v>
      </c>
      <c r="B1986" s="12">
        <v>2508</v>
      </c>
      <c r="C1986" s="12" t="s">
        <v>15</v>
      </c>
      <c r="D1986" s="12" t="s">
        <v>19</v>
      </c>
      <c r="E1986" s="12">
        <v>-55889</v>
      </c>
    </row>
    <row r="1987" spans="1:5">
      <c r="A1987" s="15">
        <v>43614</v>
      </c>
      <c r="B1987" s="13">
        <v>2501</v>
      </c>
      <c r="C1987" s="13" t="s">
        <v>5</v>
      </c>
      <c r="D1987" s="13" t="s">
        <v>12</v>
      </c>
      <c r="E1987" s="13">
        <v>-252</v>
      </c>
    </row>
    <row r="1988" spans="1:5">
      <c r="A1988" s="14">
        <v>43614</v>
      </c>
      <c r="B1988" s="12">
        <v>2501</v>
      </c>
      <c r="C1988" s="12" t="s">
        <v>5</v>
      </c>
      <c r="D1988" s="12" t="s">
        <v>14</v>
      </c>
      <c r="E1988" s="12">
        <v>-100</v>
      </c>
    </row>
    <row r="1989" spans="1:5">
      <c r="A1989" s="15">
        <v>43614</v>
      </c>
      <c r="B1989" s="13">
        <v>2502</v>
      </c>
      <c r="C1989" s="13" t="s">
        <v>7</v>
      </c>
      <c r="D1989" s="13" t="s">
        <v>14</v>
      </c>
      <c r="E1989" s="13">
        <v>-3290</v>
      </c>
    </row>
    <row r="1990" spans="1:5">
      <c r="A1990" s="14">
        <v>43614</v>
      </c>
      <c r="B1990" s="12">
        <v>2503</v>
      </c>
      <c r="C1990" s="12" t="s">
        <v>22</v>
      </c>
      <c r="D1990" s="12" t="s">
        <v>12</v>
      </c>
      <c r="E1990" s="12">
        <v>-459</v>
      </c>
    </row>
    <row r="1991" spans="1:5">
      <c r="A1991" s="15">
        <v>43614</v>
      </c>
      <c r="B1991" s="13">
        <v>2505</v>
      </c>
      <c r="C1991" s="13" t="s">
        <v>9</v>
      </c>
      <c r="D1991" s="13" t="s">
        <v>10</v>
      </c>
      <c r="E1991" s="13">
        <v>-496</v>
      </c>
    </row>
    <row r="1992" spans="1:5">
      <c r="A1992" s="14">
        <v>43614</v>
      </c>
      <c r="B1992" s="12">
        <v>2506</v>
      </c>
      <c r="C1992" s="12" t="s">
        <v>27</v>
      </c>
      <c r="D1992" s="12" t="s">
        <v>8</v>
      </c>
      <c r="E1992" s="12">
        <v>-696</v>
      </c>
    </row>
    <row r="1993" spans="1:5">
      <c r="A1993" s="15">
        <v>43614</v>
      </c>
      <c r="B1993" s="13">
        <v>2512</v>
      </c>
      <c r="C1993" s="13" t="s">
        <v>16</v>
      </c>
      <c r="D1993" s="13" t="s">
        <v>14</v>
      </c>
      <c r="E1993" s="13">
        <v>-4611</v>
      </c>
    </row>
    <row r="1994" spans="1:5">
      <c r="A1994" s="14">
        <v>43614</v>
      </c>
      <c r="B1994" s="12">
        <v>2512</v>
      </c>
      <c r="C1994" s="12" t="s">
        <v>16</v>
      </c>
      <c r="D1994" s="12" t="s">
        <v>13</v>
      </c>
      <c r="E1994" s="12">
        <v>-522</v>
      </c>
    </row>
    <row r="1995" spans="1:5">
      <c r="A1995" s="15">
        <v>43614</v>
      </c>
      <c r="B1995" s="13">
        <v>2513</v>
      </c>
      <c r="C1995" s="13" t="s">
        <v>17</v>
      </c>
      <c r="D1995" s="13" t="s">
        <v>6</v>
      </c>
      <c r="E1995" s="13">
        <v>-1184</v>
      </c>
    </row>
    <row r="1996" spans="1:5">
      <c r="A1996" s="14">
        <v>43614</v>
      </c>
      <c r="B1996" s="12">
        <v>2510</v>
      </c>
      <c r="C1996" s="12" t="s">
        <v>24</v>
      </c>
      <c r="D1996" s="12" t="s">
        <v>19</v>
      </c>
      <c r="E1996" s="12">
        <v>-1501</v>
      </c>
    </row>
    <row r="1997" spans="1:5">
      <c r="A1997" s="15">
        <v>43614</v>
      </c>
      <c r="B1997" s="13">
        <v>2504</v>
      </c>
      <c r="C1997" s="13" t="s">
        <v>21</v>
      </c>
      <c r="D1997" s="13" t="s">
        <v>19</v>
      </c>
      <c r="E1997" s="13">
        <v>-1232</v>
      </c>
    </row>
    <row r="1998" spans="1:5">
      <c r="A1998" s="14">
        <v>43614</v>
      </c>
      <c r="B1998" s="12">
        <v>2513</v>
      </c>
      <c r="C1998" s="12" t="s">
        <v>17</v>
      </c>
      <c r="D1998" s="12" t="s">
        <v>19</v>
      </c>
      <c r="E1998" s="12">
        <v>-947</v>
      </c>
    </row>
    <row r="1999" spans="1:5">
      <c r="A1999" s="15">
        <v>43614</v>
      </c>
      <c r="B1999" s="13">
        <v>2510</v>
      </c>
      <c r="C1999" s="13" t="s">
        <v>24</v>
      </c>
      <c r="D1999" s="13" t="s">
        <v>19</v>
      </c>
      <c r="E1999" s="13">
        <v>-856</v>
      </c>
    </row>
    <row r="2000" spans="1:5">
      <c r="A2000" s="14">
        <v>43614</v>
      </c>
      <c r="B2000" s="12">
        <v>2505</v>
      </c>
      <c r="C2000" s="12" t="s">
        <v>9</v>
      </c>
      <c r="D2000" s="12" t="s">
        <v>19</v>
      </c>
      <c r="E2000" s="12">
        <v>-584</v>
      </c>
    </row>
    <row r="2001" spans="1:5">
      <c r="A2001" s="15">
        <v>43614</v>
      </c>
      <c r="B2001" s="13">
        <v>2505</v>
      </c>
      <c r="C2001" s="13" t="s">
        <v>9</v>
      </c>
      <c r="D2001" s="13" t="s">
        <v>19</v>
      </c>
      <c r="E2001" s="13">
        <v>-550</v>
      </c>
    </row>
    <row r="2002" spans="1:5">
      <c r="A2002" s="14">
        <v>43614</v>
      </c>
      <c r="B2002" s="12">
        <v>2503</v>
      </c>
      <c r="C2002" s="12" t="s">
        <v>22</v>
      </c>
      <c r="D2002" s="12" t="s">
        <v>19</v>
      </c>
      <c r="E2002" s="12">
        <v>-280</v>
      </c>
    </row>
    <row r="2003" spans="1:5">
      <c r="A2003" s="15">
        <v>43614</v>
      </c>
      <c r="B2003" s="13">
        <v>2503</v>
      </c>
      <c r="C2003" s="13" t="s">
        <v>22</v>
      </c>
      <c r="D2003" s="13" t="s">
        <v>19</v>
      </c>
      <c r="E2003" s="13">
        <v>-198</v>
      </c>
    </row>
    <row r="2004" spans="1:5">
      <c r="A2004" s="14">
        <v>43614</v>
      </c>
      <c r="B2004" s="12">
        <v>1000</v>
      </c>
      <c r="C2004" s="12" t="s">
        <v>23</v>
      </c>
      <c r="D2004" s="12" t="s">
        <v>19</v>
      </c>
      <c r="E2004" s="12">
        <v>774755</v>
      </c>
    </row>
    <row r="2005" spans="1:5">
      <c r="A2005" s="15">
        <v>43615</v>
      </c>
      <c r="B2005" s="13">
        <v>2512</v>
      </c>
      <c r="C2005" s="13" t="s">
        <v>16</v>
      </c>
      <c r="D2005" s="13" t="s">
        <v>19</v>
      </c>
      <c r="E2005" s="13">
        <v>-10599</v>
      </c>
    </row>
    <row r="2006" spans="1:5">
      <c r="A2006" s="14">
        <v>43615</v>
      </c>
      <c r="B2006" s="12">
        <v>2502</v>
      </c>
      <c r="C2006" s="12" t="s">
        <v>7</v>
      </c>
      <c r="D2006" s="12" t="s">
        <v>19</v>
      </c>
      <c r="E2006" s="12">
        <v>-5754</v>
      </c>
    </row>
    <row r="2007" spans="1:5">
      <c r="A2007" s="15">
        <v>43615</v>
      </c>
      <c r="B2007" s="13">
        <v>2502</v>
      </c>
      <c r="C2007" s="13" t="s">
        <v>7</v>
      </c>
      <c r="D2007" s="13" t="s">
        <v>19</v>
      </c>
      <c r="E2007" s="13">
        <v>-4869</v>
      </c>
    </row>
    <row r="2008" spans="1:5">
      <c r="A2008" s="14">
        <v>43615</v>
      </c>
      <c r="B2008" s="12">
        <v>2502</v>
      </c>
      <c r="C2008" s="12" t="s">
        <v>7</v>
      </c>
      <c r="D2008" s="12" t="s">
        <v>19</v>
      </c>
      <c r="E2008" s="12">
        <v>-4677</v>
      </c>
    </row>
    <row r="2009" spans="1:5">
      <c r="A2009" s="15">
        <v>43615</v>
      </c>
      <c r="B2009" s="13">
        <v>2512</v>
      </c>
      <c r="C2009" s="13" t="s">
        <v>16</v>
      </c>
      <c r="D2009" s="13" t="s">
        <v>19</v>
      </c>
      <c r="E2009" s="13">
        <v>-4351</v>
      </c>
    </row>
    <row r="2010" spans="1:5">
      <c r="A2010" s="14">
        <v>43615</v>
      </c>
      <c r="B2010" s="12">
        <v>2501</v>
      </c>
      <c r="C2010" s="12" t="s">
        <v>5</v>
      </c>
      <c r="D2010" s="12" t="s">
        <v>14</v>
      </c>
      <c r="E2010" s="12">
        <v>-115</v>
      </c>
    </row>
    <row r="2011" spans="1:5">
      <c r="A2011" s="15">
        <v>43615</v>
      </c>
      <c r="B2011" s="13">
        <v>2502</v>
      </c>
      <c r="C2011" s="13" t="s">
        <v>7</v>
      </c>
      <c r="D2011" s="13" t="s">
        <v>6</v>
      </c>
      <c r="E2011" s="13">
        <v>-4878</v>
      </c>
    </row>
    <row r="2012" spans="1:5">
      <c r="A2012" s="14">
        <v>43615</v>
      </c>
      <c r="B2012" s="12">
        <v>2502</v>
      </c>
      <c r="C2012" s="12" t="s">
        <v>7</v>
      </c>
      <c r="D2012" s="12" t="s">
        <v>10</v>
      </c>
      <c r="E2012" s="12">
        <v>-7109</v>
      </c>
    </row>
    <row r="2013" spans="1:5">
      <c r="A2013" s="15">
        <v>43615</v>
      </c>
      <c r="B2013" s="13">
        <v>2503</v>
      </c>
      <c r="C2013" s="13" t="s">
        <v>22</v>
      </c>
      <c r="D2013" s="13" t="s">
        <v>14</v>
      </c>
      <c r="E2013" s="13">
        <v>-339</v>
      </c>
    </row>
    <row r="2014" spans="1:5">
      <c r="A2014" s="14">
        <v>43615</v>
      </c>
      <c r="B2014" s="12">
        <v>2503</v>
      </c>
      <c r="C2014" s="12" t="s">
        <v>22</v>
      </c>
      <c r="D2014" s="12" t="s">
        <v>8</v>
      </c>
      <c r="E2014" s="12">
        <v>-290</v>
      </c>
    </row>
    <row r="2015" spans="1:5">
      <c r="A2015" s="15">
        <v>43615</v>
      </c>
      <c r="B2015" s="13">
        <v>2505</v>
      </c>
      <c r="C2015" s="13" t="s">
        <v>9</v>
      </c>
      <c r="D2015" s="13" t="s">
        <v>14</v>
      </c>
      <c r="E2015" s="13">
        <v>-447</v>
      </c>
    </row>
    <row r="2016" spans="1:5">
      <c r="A2016" s="14">
        <v>43615</v>
      </c>
      <c r="B2016" s="12">
        <v>2505</v>
      </c>
      <c r="C2016" s="12" t="s">
        <v>9</v>
      </c>
      <c r="D2016" s="12" t="s">
        <v>8</v>
      </c>
      <c r="E2016" s="12">
        <v>-517</v>
      </c>
    </row>
    <row r="2017" spans="1:5">
      <c r="A2017" s="15">
        <v>43615</v>
      </c>
      <c r="B2017" s="13">
        <v>2508</v>
      </c>
      <c r="C2017" s="13" t="s">
        <v>15</v>
      </c>
      <c r="D2017" s="13" t="s">
        <v>8</v>
      </c>
      <c r="E2017" s="13">
        <v>-67529</v>
      </c>
    </row>
    <row r="2018" spans="1:5">
      <c r="A2018" s="14">
        <v>43615</v>
      </c>
      <c r="B2018" s="12">
        <v>2512</v>
      </c>
      <c r="C2018" s="12" t="s">
        <v>16</v>
      </c>
      <c r="D2018" s="12" t="s">
        <v>10</v>
      </c>
      <c r="E2018" s="12">
        <v>-3180</v>
      </c>
    </row>
    <row r="2019" spans="1:5">
      <c r="A2019" s="15">
        <v>43615</v>
      </c>
      <c r="B2019" s="13">
        <v>2513</v>
      </c>
      <c r="C2019" s="13" t="s">
        <v>17</v>
      </c>
      <c r="D2019" s="13" t="s">
        <v>10</v>
      </c>
      <c r="E2019" s="13">
        <v>-539</v>
      </c>
    </row>
    <row r="2020" spans="1:5">
      <c r="A2020" s="14">
        <v>43615</v>
      </c>
      <c r="B2020" s="12">
        <v>2510</v>
      </c>
      <c r="C2020" s="12" t="s">
        <v>24</v>
      </c>
      <c r="D2020" s="12" t="s">
        <v>19</v>
      </c>
      <c r="E2020" s="12">
        <v>-1097</v>
      </c>
    </row>
    <row r="2021" spans="1:5">
      <c r="A2021" s="15">
        <v>43615</v>
      </c>
      <c r="B2021" s="13">
        <v>2503</v>
      </c>
      <c r="C2021" s="13" t="s">
        <v>22</v>
      </c>
      <c r="D2021" s="13" t="s">
        <v>19</v>
      </c>
      <c r="E2021" s="13">
        <v>-217</v>
      </c>
    </row>
    <row r="2022" spans="1:5">
      <c r="A2022" s="14">
        <v>43616</v>
      </c>
      <c r="B2022" s="12">
        <v>2000</v>
      </c>
      <c r="C2022" s="12" t="s">
        <v>18</v>
      </c>
      <c r="D2022" s="12" t="s">
        <v>19</v>
      </c>
      <c r="E2022" s="12">
        <v>-310120</v>
      </c>
    </row>
    <row r="2023" spans="1:5">
      <c r="A2023" s="15">
        <v>43616</v>
      </c>
      <c r="B2023" s="13">
        <v>2000</v>
      </c>
      <c r="C2023" s="13" t="s">
        <v>18</v>
      </c>
      <c r="D2023" s="13" t="s">
        <v>19</v>
      </c>
      <c r="E2023" s="13">
        <v>-256923</v>
      </c>
    </row>
    <row r="2024" spans="1:5">
      <c r="A2024" s="14">
        <v>43616</v>
      </c>
      <c r="B2024" s="12">
        <v>2508</v>
      </c>
      <c r="C2024" s="12" t="s">
        <v>15</v>
      </c>
      <c r="D2024" s="12" t="s">
        <v>19</v>
      </c>
      <c r="E2024" s="12">
        <v>-47706</v>
      </c>
    </row>
    <row r="2025" spans="1:5">
      <c r="A2025" s="15">
        <v>43616</v>
      </c>
      <c r="B2025" s="13">
        <v>2508</v>
      </c>
      <c r="C2025" s="13" t="s">
        <v>15</v>
      </c>
      <c r="D2025" s="13" t="s">
        <v>19</v>
      </c>
      <c r="E2025" s="13">
        <v>-47668</v>
      </c>
    </row>
    <row r="2026" spans="1:5">
      <c r="A2026" s="14">
        <v>43616</v>
      </c>
      <c r="B2026" s="12">
        <v>2500</v>
      </c>
      <c r="C2026" s="12" t="s">
        <v>25</v>
      </c>
      <c r="D2026" s="12" t="s">
        <v>19</v>
      </c>
      <c r="E2026" s="12">
        <v>-27789</v>
      </c>
    </row>
    <row r="2027" spans="1:5">
      <c r="A2027" s="15">
        <v>43616</v>
      </c>
      <c r="B2027" s="13">
        <v>1500</v>
      </c>
      <c r="C2027" s="13" t="s">
        <v>26</v>
      </c>
      <c r="D2027" s="13" t="s">
        <v>19</v>
      </c>
      <c r="E2027" s="13">
        <v>-23847</v>
      </c>
    </row>
    <row r="2028" spans="1:5">
      <c r="A2028" s="14">
        <v>43616</v>
      </c>
      <c r="B2028" s="12">
        <v>1500</v>
      </c>
      <c r="C2028" s="12" t="s">
        <v>26</v>
      </c>
      <c r="D2028" s="12" t="s">
        <v>19</v>
      </c>
      <c r="E2028" s="12">
        <v>-19051</v>
      </c>
    </row>
    <row r="2029" spans="1:5">
      <c r="A2029" s="15">
        <v>43616</v>
      </c>
      <c r="B2029" s="13">
        <v>2512</v>
      </c>
      <c r="C2029" s="13" t="s">
        <v>16</v>
      </c>
      <c r="D2029" s="13" t="s">
        <v>19</v>
      </c>
      <c r="E2029" s="13">
        <v>-4146</v>
      </c>
    </row>
    <row r="2030" spans="1:5">
      <c r="A2030" s="14">
        <v>43616</v>
      </c>
      <c r="B2030" s="12">
        <v>2502</v>
      </c>
      <c r="C2030" s="12" t="s">
        <v>7</v>
      </c>
      <c r="D2030" s="12" t="s">
        <v>12</v>
      </c>
      <c r="E2030" s="12">
        <v>-11252</v>
      </c>
    </row>
    <row r="2031" spans="1:5">
      <c r="A2031" s="15">
        <v>43616</v>
      </c>
      <c r="B2031" s="13">
        <v>2506</v>
      </c>
      <c r="C2031" s="13" t="s">
        <v>27</v>
      </c>
      <c r="D2031" s="13" t="s">
        <v>8</v>
      </c>
      <c r="E2031" s="13">
        <v>-676</v>
      </c>
    </row>
    <row r="2032" spans="1:5">
      <c r="A2032" s="14">
        <v>43616</v>
      </c>
      <c r="B2032" s="12">
        <v>2508</v>
      </c>
      <c r="C2032" s="12" t="s">
        <v>15</v>
      </c>
      <c r="D2032" s="12" t="s">
        <v>8</v>
      </c>
      <c r="E2032" s="12">
        <v>-68855</v>
      </c>
    </row>
    <row r="2033" spans="1:5">
      <c r="A2033" s="15">
        <v>43616</v>
      </c>
      <c r="B2033" s="13">
        <v>2505</v>
      </c>
      <c r="C2033" s="13" t="s">
        <v>9</v>
      </c>
      <c r="D2033" s="13" t="s">
        <v>19</v>
      </c>
      <c r="E2033" s="13">
        <v>-425</v>
      </c>
    </row>
    <row r="2034" spans="1:5">
      <c r="A2034" s="14">
        <v>43616</v>
      </c>
      <c r="B2034" s="12">
        <v>2505</v>
      </c>
      <c r="C2034" s="12" t="s">
        <v>9</v>
      </c>
      <c r="D2034" s="12" t="s">
        <v>19</v>
      </c>
      <c r="E2034" s="12">
        <v>-368</v>
      </c>
    </row>
    <row r="2035" spans="1:5">
      <c r="A2035" s="15">
        <v>43617</v>
      </c>
      <c r="B2035" s="13">
        <v>2508</v>
      </c>
      <c r="C2035" s="13" t="s">
        <v>15</v>
      </c>
      <c r="D2035" s="13" t="s">
        <v>19</v>
      </c>
      <c r="E2035" s="13">
        <v>-59578</v>
      </c>
    </row>
    <row r="2036" spans="1:5">
      <c r="A2036" s="14">
        <v>43617</v>
      </c>
      <c r="B2036" s="12">
        <v>2508</v>
      </c>
      <c r="C2036" s="12" t="s">
        <v>15</v>
      </c>
      <c r="D2036" s="12" t="s">
        <v>19</v>
      </c>
      <c r="E2036" s="12">
        <v>-52173</v>
      </c>
    </row>
    <row r="2037" spans="1:5">
      <c r="A2037" s="15">
        <v>43617</v>
      </c>
      <c r="B2037" s="13">
        <v>1500</v>
      </c>
      <c r="C2037" s="13" t="s">
        <v>26</v>
      </c>
      <c r="D2037" s="13" t="s">
        <v>19</v>
      </c>
      <c r="E2037" s="13">
        <v>-24322</v>
      </c>
    </row>
    <row r="2038" spans="1:5">
      <c r="A2038" s="14">
        <v>43617</v>
      </c>
      <c r="B2038" s="12">
        <v>2500</v>
      </c>
      <c r="C2038" s="12" t="s">
        <v>25</v>
      </c>
      <c r="D2038" s="12" t="s">
        <v>19</v>
      </c>
      <c r="E2038" s="12">
        <v>-23395</v>
      </c>
    </row>
    <row r="2039" spans="1:5">
      <c r="A2039" s="15">
        <v>43617</v>
      </c>
      <c r="B2039" s="13">
        <v>2501</v>
      </c>
      <c r="C2039" s="13" t="s">
        <v>5</v>
      </c>
      <c r="D2039" s="13" t="s">
        <v>14</v>
      </c>
      <c r="E2039" s="13">
        <v>-100</v>
      </c>
    </row>
    <row r="2040" spans="1:5">
      <c r="A2040" s="14">
        <v>43617</v>
      </c>
      <c r="B2040" s="12">
        <v>2502</v>
      </c>
      <c r="C2040" s="12" t="s">
        <v>7</v>
      </c>
      <c r="D2040" s="12" t="s">
        <v>14</v>
      </c>
      <c r="E2040" s="12">
        <v>-2920</v>
      </c>
    </row>
    <row r="2041" spans="1:5">
      <c r="A2041" s="15">
        <v>43617</v>
      </c>
      <c r="B2041" s="13">
        <v>2505</v>
      </c>
      <c r="C2041" s="13" t="s">
        <v>9</v>
      </c>
      <c r="D2041" s="13" t="s">
        <v>6</v>
      </c>
      <c r="E2041" s="13">
        <v>-446</v>
      </c>
    </row>
    <row r="2042" spans="1:5">
      <c r="A2042" s="14">
        <v>43617</v>
      </c>
      <c r="B2042" s="12">
        <v>2507</v>
      </c>
      <c r="C2042" s="12" t="s">
        <v>11</v>
      </c>
      <c r="D2042" s="12" t="s">
        <v>12</v>
      </c>
      <c r="E2042" s="12">
        <v>-2320</v>
      </c>
    </row>
    <row r="2043" spans="1:5">
      <c r="A2043" s="15">
        <v>43617</v>
      </c>
      <c r="B2043" s="13">
        <v>2507</v>
      </c>
      <c r="C2043" s="13" t="s">
        <v>11</v>
      </c>
      <c r="D2043" s="13" t="s">
        <v>13</v>
      </c>
      <c r="E2043" s="13">
        <v>-2040</v>
      </c>
    </row>
    <row r="2044" spans="1:5">
      <c r="A2044" s="14">
        <v>43617</v>
      </c>
      <c r="B2044" s="12">
        <v>2507</v>
      </c>
      <c r="C2044" s="12" t="s">
        <v>11</v>
      </c>
      <c r="D2044" s="12" t="s">
        <v>8</v>
      </c>
      <c r="E2044" s="12">
        <v>-1920</v>
      </c>
    </row>
    <row r="2045" spans="1:5">
      <c r="A2045" s="15">
        <v>43617</v>
      </c>
      <c r="B2045" s="13">
        <v>2507</v>
      </c>
      <c r="C2045" s="13" t="s">
        <v>11</v>
      </c>
      <c r="D2045" s="13" t="s">
        <v>10</v>
      </c>
      <c r="E2045" s="13">
        <v>-1560</v>
      </c>
    </row>
    <row r="2046" spans="1:5">
      <c r="A2046" s="14">
        <v>43617</v>
      </c>
      <c r="B2046" s="12">
        <v>2507</v>
      </c>
      <c r="C2046" s="12" t="s">
        <v>11</v>
      </c>
      <c r="D2046" s="12" t="s">
        <v>6</v>
      </c>
      <c r="E2046" s="12">
        <v>-1750</v>
      </c>
    </row>
    <row r="2047" spans="1:5">
      <c r="A2047" s="15">
        <v>43617</v>
      </c>
      <c r="B2047" s="13">
        <v>2507</v>
      </c>
      <c r="C2047" s="13" t="s">
        <v>11</v>
      </c>
      <c r="D2047" s="13" t="s">
        <v>14</v>
      </c>
      <c r="E2047" s="13">
        <v>-1130</v>
      </c>
    </row>
    <row r="2048" spans="1:5">
      <c r="A2048" s="14">
        <v>43617</v>
      </c>
      <c r="B2048" s="12">
        <v>2514</v>
      </c>
      <c r="C2048" s="12" t="s">
        <v>20</v>
      </c>
      <c r="D2048" s="12" t="s">
        <v>14</v>
      </c>
      <c r="E2048" s="12">
        <v>-1051</v>
      </c>
    </row>
    <row r="2049" spans="1:5">
      <c r="A2049" s="15">
        <v>43617</v>
      </c>
      <c r="B2049" s="13">
        <v>2510</v>
      </c>
      <c r="C2049" s="13" t="s">
        <v>24</v>
      </c>
      <c r="D2049" s="13" t="s">
        <v>10</v>
      </c>
      <c r="E2049" s="13">
        <v>-1040</v>
      </c>
    </row>
    <row r="2050" spans="1:5">
      <c r="A2050" s="14">
        <v>43617</v>
      </c>
      <c r="B2050" s="12">
        <v>2510</v>
      </c>
      <c r="C2050" s="12" t="s">
        <v>24</v>
      </c>
      <c r="D2050" s="12" t="s">
        <v>14</v>
      </c>
      <c r="E2050" s="12">
        <v>-1766</v>
      </c>
    </row>
    <row r="2051" spans="1:5">
      <c r="A2051" s="15">
        <v>43617</v>
      </c>
      <c r="B2051" s="13">
        <v>2502</v>
      </c>
      <c r="C2051" s="13" t="s">
        <v>7</v>
      </c>
      <c r="D2051" s="13" t="s">
        <v>19</v>
      </c>
      <c r="E2051" s="13">
        <v>-2277</v>
      </c>
    </row>
    <row r="2052" spans="1:5">
      <c r="A2052" s="14">
        <v>43617</v>
      </c>
      <c r="B2052" s="12">
        <v>2507</v>
      </c>
      <c r="C2052" s="12" t="s">
        <v>11</v>
      </c>
      <c r="D2052" s="12" t="s">
        <v>19</v>
      </c>
      <c r="E2052" s="12">
        <v>-2160</v>
      </c>
    </row>
    <row r="2053" spans="1:5">
      <c r="A2053" s="15">
        <v>43617</v>
      </c>
      <c r="B2053" s="13">
        <v>2510</v>
      </c>
      <c r="C2053" s="13" t="s">
        <v>24</v>
      </c>
      <c r="D2053" s="13" t="s">
        <v>19</v>
      </c>
      <c r="E2053" s="13">
        <v>-691</v>
      </c>
    </row>
    <row r="2054" spans="1:5">
      <c r="A2054" s="14">
        <v>43618</v>
      </c>
      <c r="B2054" s="12">
        <v>2500</v>
      </c>
      <c r="C2054" s="12" t="s">
        <v>25</v>
      </c>
      <c r="D2054" s="12" t="s">
        <v>19</v>
      </c>
      <c r="E2054" s="12">
        <v>-19413</v>
      </c>
    </row>
    <row r="2055" spans="1:5">
      <c r="A2055" s="15">
        <v>43618</v>
      </c>
      <c r="B2055" s="13">
        <v>2513</v>
      </c>
      <c r="C2055" s="13" t="s">
        <v>17</v>
      </c>
      <c r="D2055" s="13" t="s">
        <v>13</v>
      </c>
      <c r="E2055" s="13">
        <v>-793</v>
      </c>
    </row>
    <row r="2056" spans="1:5">
      <c r="A2056" s="14">
        <v>43618</v>
      </c>
      <c r="B2056" s="12">
        <v>2501</v>
      </c>
      <c r="C2056" s="12" t="s">
        <v>5</v>
      </c>
      <c r="D2056" s="12" t="s">
        <v>19</v>
      </c>
      <c r="E2056" s="12">
        <v>-92</v>
      </c>
    </row>
    <row r="2057" spans="1:5">
      <c r="A2057" s="15">
        <v>43619</v>
      </c>
      <c r="B2057" s="13">
        <v>1500</v>
      </c>
      <c r="C2057" s="13" t="s">
        <v>26</v>
      </c>
      <c r="D2057" s="13" t="s">
        <v>19</v>
      </c>
      <c r="E2057" s="13">
        <v>-60127</v>
      </c>
    </row>
    <row r="2058" spans="1:5">
      <c r="A2058" s="14">
        <v>43619</v>
      </c>
      <c r="B2058" s="12">
        <v>2508</v>
      </c>
      <c r="C2058" s="12" t="s">
        <v>15</v>
      </c>
      <c r="D2058" s="12" t="s">
        <v>19</v>
      </c>
      <c r="E2058" s="12">
        <v>-44430</v>
      </c>
    </row>
    <row r="2059" spans="1:5">
      <c r="A2059" s="15">
        <v>43619</v>
      </c>
      <c r="B2059" s="13">
        <v>2512</v>
      </c>
      <c r="C2059" s="13" t="s">
        <v>16</v>
      </c>
      <c r="D2059" s="13" t="s">
        <v>19</v>
      </c>
      <c r="E2059" s="13">
        <v>-8962</v>
      </c>
    </row>
    <row r="2060" spans="1:5">
      <c r="A2060" s="14">
        <v>43619</v>
      </c>
      <c r="B2060" s="12">
        <v>2501</v>
      </c>
      <c r="C2060" s="12" t="s">
        <v>5</v>
      </c>
      <c r="D2060" s="12" t="s">
        <v>14</v>
      </c>
      <c r="E2060" s="12">
        <v>-141</v>
      </c>
    </row>
    <row r="2061" spans="1:5">
      <c r="A2061" s="15">
        <v>43619</v>
      </c>
      <c r="B2061" s="13">
        <v>2502</v>
      </c>
      <c r="C2061" s="13" t="s">
        <v>7</v>
      </c>
      <c r="D2061" s="13" t="s">
        <v>10</v>
      </c>
      <c r="E2061" s="13">
        <v>-5042</v>
      </c>
    </row>
    <row r="2062" spans="1:5">
      <c r="A2062" s="14">
        <v>43619</v>
      </c>
      <c r="B2062" s="12">
        <v>2502</v>
      </c>
      <c r="C2062" s="12" t="s">
        <v>7</v>
      </c>
      <c r="D2062" s="12" t="s">
        <v>12</v>
      </c>
      <c r="E2062" s="12">
        <v>-4997</v>
      </c>
    </row>
    <row r="2063" spans="1:5">
      <c r="A2063" s="15">
        <v>43619</v>
      </c>
      <c r="B2063" s="13">
        <v>2505</v>
      </c>
      <c r="C2063" s="13" t="s">
        <v>9</v>
      </c>
      <c r="D2063" s="13" t="s">
        <v>8</v>
      </c>
      <c r="E2063" s="13">
        <v>-628</v>
      </c>
    </row>
    <row r="2064" spans="1:5">
      <c r="A2064" s="14">
        <v>43619</v>
      </c>
      <c r="B2064" s="12">
        <v>2506</v>
      </c>
      <c r="C2064" s="12" t="s">
        <v>27</v>
      </c>
      <c r="D2064" s="12" t="s">
        <v>8</v>
      </c>
      <c r="E2064" s="12">
        <v>-471</v>
      </c>
    </row>
    <row r="2065" spans="1:5">
      <c r="A2065" s="15">
        <v>43619</v>
      </c>
      <c r="B2065" s="13">
        <v>2508</v>
      </c>
      <c r="C2065" s="13" t="s">
        <v>15</v>
      </c>
      <c r="D2065" s="13" t="s">
        <v>14</v>
      </c>
      <c r="E2065" s="13">
        <v>-80522</v>
      </c>
    </row>
    <row r="2066" spans="1:5">
      <c r="A2066" s="14">
        <v>43619</v>
      </c>
      <c r="B2066" s="12">
        <v>2510</v>
      </c>
      <c r="C2066" s="12" t="s">
        <v>24</v>
      </c>
      <c r="D2066" s="12" t="s">
        <v>13</v>
      </c>
      <c r="E2066" s="12">
        <v>-1073</v>
      </c>
    </row>
    <row r="2067" spans="1:5">
      <c r="A2067" s="15">
        <v>43619</v>
      </c>
      <c r="B2067" s="13">
        <v>2504</v>
      </c>
      <c r="C2067" s="13" t="s">
        <v>21</v>
      </c>
      <c r="D2067" s="13" t="s">
        <v>19</v>
      </c>
      <c r="E2067" s="13">
        <v>-1499</v>
      </c>
    </row>
    <row r="2068" spans="1:5">
      <c r="A2068" s="14">
        <v>43619</v>
      </c>
      <c r="B2068" s="12">
        <v>2514</v>
      </c>
      <c r="C2068" s="12" t="s">
        <v>20</v>
      </c>
      <c r="D2068" s="12" t="s">
        <v>19</v>
      </c>
      <c r="E2068" s="12">
        <v>-850</v>
      </c>
    </row>
    <row r="2069" spans="1:5">
      <c r="A2069" s="15">
        <v>43619</v>
      </c>
      <c r="B2069" s="13">
        <v>2505</v>
      </c>
      <c r="C2069" s="13" t="s">
        <v>9</v>
      </c>
      <c r="D2069" s="13" t="s">
        <v>19</v>
      </c>
      <c r="E2069" s="13">
        <v>-423</v>
      </c>
    </row>
    <row r="2070" spans="1:5">
      <c r="A2070" s="14">
        <v>43619</v>
      </c>
      <c r="B2070" s="12">
        <v>2501</v>
      </c>
      <c r="C2070" s="12" t="s">
        <v>5</v>
      </c>
      <c r="D2070" s="12" t="s">
        <v>19</v>
      </c>
      <c r="E2070" s="12">
        <v>-130</v>
      </c>
    </row>
    <row r="2071" spans="1:5">
      <c r="A2071" s="15">
        <v>43620</v>
      </c>
      <c r="B2071" s="13">
        <v>2512</v>
      </c>
      <c r="C2071" s="13" t="s">
        <v>16</v>
      </c>
      <c r="D2071" s="13" t="s">
        <v>19</v>
      </c>
      <c r="E2071" s="13">
        <v>-11192</v>
      </c>
    </row>
    <row r="2072" spans="1:5">
      <c r="A2072" s="14">
        <v>43620</v>
      </c>
      <c r="B2072" s="12">
        <v>2501</v>
      </c>
      <c r="C2072" s="12" t="s">
        <v>5</v>
      </c>
      <c r="D2072" s="12" t="s">
        <v>10</v>
      </c>
      <c r="E2072" s="12">
        <v>-124</v>
      </c>
    </row>
    <row r="2073" spans="1:5">
      <c r="A2073" s="15">
        <v>43620</v>
      </c>
      <c r="B2073" s="13">
        <v>2503</v>
      </c>
      <c r="C2073" s="13" t="s">
        <v>22</v>
      </c>
      <c r="D2073" s="13" t="s">
        <v>10</v>
      </c>
      <c r="E2073" s="13">
        <v>-421</v>
      </c>
    </row>
    <row r="2074" spans="1:5">
      <c r="A2074" s="14">
        <v>43620</v>
      </c>
      <c r="B2074" s="12">
        <v>2503</v>
      </c>
      <c r="C2074" s="12" t="s">
        <v>22</v>
      </c>
      <c r="D2074" s="12" t="s">
        <v>14</v>
      </c>
      <c r="E2074" s="12">
        <v>-367</v>
      </c>
    </row>
    <row r="2075" spans="1:5">
      <c r="A2075" s="15">
        <v>43620</v>
      </c>
      <c r="B2075" s="13">
        <v>2503</v>
      </c>
      <c r="C2075" s="13" t="s">
        <v>22</v>
      </c>
      <c r="D2075" s="13" t="s">
        <v>12</v>
      </c>
      <c r="E2075" s="13">
        <v>-487</v>
      </c>
    </row>
    <row r="2076" spans="1:5">
      <c r="A2076" s="14">
        <v>43620</v>
      </c>
      <c r="B2076" s="12">
        <v>2508</v>
      </c>
      <c r="C2076" s="12" t="s">
        <v>15</v>
      </c>
      <c r="D2076" s="12" t="s">
        <v>6</v>
      </c>
      <c r="E2076" s="12">
        <v>-68956</v>
      </c>
    </row>
    <row r="2077" spans="1:5">
      <c r="A2077" s="15">
        <v>43620</v>
      </c>
      <c r="B2077" s="13">
        <v>2512</v>
      </c>
      <c r="C2077" s="13" t="s">
        <v>16</v>
      </c>
      <c r="D2077" s="13" t="s">
        <v>6</v>
      </c>
      <c r="E2077" s="13">
        <v>-4016</v>
      </c>
    </row>
    <row r="2078" spans="1:5">
      <c r="A2078" s="14">
        <v>43620</v>
      </c>
      <c r="B2078" s="12">
        <v>2512</v>
      </c>
      <c r="C2078" s="12" t="s">
        <v>16</v>
      </c>
      <c r="D2078" s="12" t="s">
        <v>12</v>
      </c>
      <c r="E2078" s="12">
        <v>-1228</v>
      </c>
    </row>
    <row r="2079" spans="1:5">
      <c r="A2079" s="15">
        <v>43620</v>
      </c>
      <c r="B2079" s="13">
        <v>2513</v>
      </c>
      <c r="C2079" s="13" t="s">
        <v>17</v>
      </c>
      <c r="D2079" s="13" t="s">
        <v>13</v>
      </c>
      <c r="E2079" s="13">
        <v>-682</v>
      </c>
    </row>
    <row r="2080" spans="1:5">
      <c r="A2080" s="14">
        <v>43620</v>
      </c>
      <c r="B2080" s="12">
        <v>2514</v>
      </c>
      <c r="C2080" s="12" t="s">
        <v>20</v>
      </c>
      <c r="D2080" s="12" t="s">
        <v>8</v>
      </c>
      <c r="E2080" s="12">
        <v>-1555</v>
      </c>
    </row>
    <row r="2081" spans="1:5">
      <c r="A2081" s="15">
        <v>43620</v>
      </c>
      <c r="B2081" s="13">
        <v>2510</v>
      </c>
      <c r="C2081" s="13" t="s">
        <v>24</v>
      </c>
      <c r="D2081" s="13" t="s">
        <v>8</v>
      </c>
      <c r="E2081" s="13">
        <v>-1155</v>
      </c>
    </row>
    <row r="2082" spans="1:5">
      <c r="A2082" s="14">
        <v>43620</v>
      </c>
      <c r="B2082" s="12">
        <v>2504</v>
      </c>
      <c r="C2082" s="12" t="s">
        <v>21</v>
      </c>
      <c r="D2082" s="12" t="s">
        <v>19</v>
      </c>
      <c r="E2082" s="12">
        <v>-1164</v>
      </c>
    </row>
    <row r="2083" spans="1:5">
      <c r="A2083" s="15">
        <v>43620</v>
      </c>
      <c r="B2083" s="13">
        <v>2505</v>
      </c>
      <c r="C2083" s="13" t="s">
        <v>9</v>
      </c>
      <c r="D2083" s="13" t="s">
        <v>19</v>
      </c>
      <c r="E2083" s="13">
        <v>-547</v>
      </c>
    </row>
    <row r="2084" spans="1:5">
      <c r="A2084" s="14">
        <v>43621</v>
      </c>
      <c r="B2084" s="12">
        <v>1500</v>
      </c>
      <c r="C2084" s="12" t="s">
        <v>26</v>
      </c>
      <c r="D2084" s="12" t="s">
        <v>19</v>
      </c>
      <c r="E2084" s="12">
        <v>-21282</v>
      </c>
    </row>
    <row r="2085" spans="1:5">
      <c r="A2085" s="15">
        <v>43621</v>
      </c>
      <c r="B2085" s="13">
        <v>2502</v>
      </c>
      <c r="C2085" s="13" t="s">
        <v>7</v>
      </c>
      <c r="D2085" s="13" t="s">
        <v>19</v>
      </c>
      <c r="E2085" s="13">
        <v>-5280</v>
      </c>
    </row>
    <row r="2086" spans="1:5">
      <c r="A2086" s="14">
        <v>43621</v>
      </c>
      <c r="B2086" s="12">
        <v>2503</v>
      </c>
      <c r="C2086" s="12" t="s">
        <v>22</v>
      </c>
      <c r="D2086" s="12" t="s">
        <v>8</v>
      </c>
      <c r="E2086" s="12">
        <v>-322</v>
      </c>
    </row>
    <row r="2087" spans="1:5">
      <c r="A2087" s="15">
        <v>43621</v>
      </c>
      <c r="B2087" s="13">
        <v>2506</v>
      </c>
      <c r="C2087" s="13" t="s">
        <v>27</v>
      </c>
      <c r="D2087" s="13" t="s">
        <v>8</v>
      </c>
      <c r="E2087" s="13">
        <v>-546</v>
      </c>
    </row>
    <row r="2088" spans="1:5">
      <c r="A2088" s="14">
        <v>43621</v>
      </c>
      <c r="B2088" s="12">
        <v>2508</v>
      </c>
      <c r="C2088" s="12" t="s">
        <v>15</v>
      </c>
      <c r="D2088" s="12" t="s">
        <v>10</v>
      </c>
      <c r="E2088" s="12">
        <v>-60018</v>
      </c>
    </row>
    <row r="2089" spans="1:5">
      <c r="A2089" s="15">
        <v>43621</v>
      </c>
      <c r="B2089" s="13">
        <v>2508</v>
      </c>
      <c r="C2089" s="13" t="s">
        <v>15</v>
      </c>
      <c r="D2089" s="13" t="s">
        <v>13</v>
      </c>
      <c r="E2089" s="13">
        <v>-50320</v>
      </c>
    </row>
    <row r="2090" spans="1:5">
      <c r="A2090" s="14">
        <v>43621</v>
      </c>
      <c r="B2090" s="12">
        <v>2512</v>
      </c>
      <c r="C2090" s="12" t="s">
        <v>16</v>
      </c>
      <c r="D2090" s="12" t="s">
        <v>10</v>
      </c>
      <c r="E2090" s="12">
        <v>-2970</v>
      </c>
    </row>
    <row r="2091" spans="1:5">
      <c r="A2091" s="15">
        <v>43621</v>
      </c>
      <c r="B2091" s="13">
        <v>2514</v>
      </c>
      <c r="C2091" s="13" t="s">
        <v>20</v>
      </c>
      <c r="D2091" s="13" t="s">
        <v>8</v>
      </c>
      <c r="E2091" s="13">
        <v>-1060</v>
      </c>
    </row>
    <row r="2092" spans="1:5">
      <c r="A2092" s="14">
        <v>43621</v>
      </c>
      <c r="B2092" s="12">
        <v>2510</v>
      </c>
      <c r="C2092" s="12" t="s">
        <v>24</v>
      </c>
      <c r="D2092" s="12" t="s">
        <v>13</v>
      </c>
      <c r="E2092" s="12">
        <v>-1328</v>
      </c>
    </row>
    <row r="2093" spans="1:5">
      <c r="A2093" s="15">
        <v>43621</v>
      </c>
      <c r="B2093" s="13">
        <v>2514</v>
      </c>
      <c r="C2093" s="13" t="s">
        <v>20</v>
      </c>
      <c r="D2093" s="13" t="s">
        <v>19</v>
      </c>
      <c r="E2093" s="13">
        <v>-900</v>
      </c>
    </row>
    <row r="2094" spans="1:5">
      <c r="A2094" s="14">
        <v>43621</v>
      </c>
      <c r="B2094" s="12">
        <v>2510</v>
      </c>
      <c r="C2094" s="12" t="s">
        <v>24</v>
      </c>
      <c r="D2094" s="12" t="s">
        <v>19</v>
      </c>
      <c r="E2094" s="12">
        <v>-719</v>
      </c>
    </row>
    <row r="2095" spans="1:5">
      <c r="A2095" s="15">
        <v>43621</v>
      </c>
      <c r="B2095" s="13">
        <v>2501</v>
      </c>
      <c r="C2095" s="13" t="s">
        <v>5</v>
      </c>
      <c r="D2095" s="13" t="s">
        <v>19</v>
      </c>
      <c r="E2095" s="13">
        <v>-69</v>
      </c>
    </row>
    <row r="2096" spans="1:5">
      <c r="A2096" s="14">
        <v>43622</v>
      </c>
      <c r="B2096" s="12">
        <v>2000</v>
      </c>
      <c r="C2096" s="12" t="s">
        <v>18</v>
      </c>
      <c r="D2096" s="12" t="s">
        <v>19</v>
      </c>
      <c r="E2096" s="12">
        <v>-209067</v>
      </c>
    </row>
    <row r="2097" spans="1:5">
      <c r="A2097" s="15">
        <v>43622</v>
      </c>
      <c r="B2097" s="13">
        <v>1500</v>
      </c>
      <c r="C2097" s="13" t="s">
        <v>26</v>
      </c>
      <c r="D2097" s="13" t="s">
        <v>19</v>
      </c>
      <c r="E2097" s="13">
        <v>-6608</v>
      </c>
    </row>
    <row r="2098" spans="1:5">
      <c r="A2098" s="14">
        <v>43622</v>
      </c>
      <c r="B2098" s="12">
        <v>1500</v>
      </c>
      <c r="C2098" s="12" t="s">
        <v>26</v>
      </c>
      <c r="D2098" s="12" t="s">
        <v>19</v>
      </c>
      <c r="E2098" s="12">
        <v>-2491</v>
      </c>
    </row>
    <row r="2099" spans="1:5">
      <c r="A2099" s="15">
        <v>43622</v>
      </c>
      <c r="B2099" s="13">
        <v>2503</v>
      </c>
      <c r="C2099" s="13" t="s">
        <v>22</v>
      </c>
      <c r="D2099" s="13" t="s">
        <v>12</v>
      </c>
      <c r="E2099" s="13">
        <v>-596</v>
      </c>
    </row>
    <row r="2100" spans="1:5">
      <c r="A2100" s="14">
        <v>43622</v>
      </c>
      <c r="B2100" s="12">
        <v>2513</v>
      </c>
      <c r="C2100" s="12" t="s">
        <v>17</v>
      </c>
      <c r="D2100" s="12" t="s">
        <v>6</v>
      </c>
      <c r="E2100" s="12">
        <v>-1321</v>
      </c>
    </row>
    <row r="2101" spans="1:5">
      <c r="A2101" s="15">
        <v>43622</v>
      </c>
      <c r="B2101" s="13">
        <v>2513</v>
      </c>
      <c r="C2101" s="13" t="s">
        <v>17</v>
      </c>
      <c r="D2101" s="13" t="s">
        <v>14</v>
      </c>
      <c r="E2101" s="13">
        <v>-978</v>
      </c>
    </row>
    <row r="2102" spans="1:5">
      <c r="A2102" s="14">
        <v>43622</v>
      </c>
      <c r="B2102" s="12">
        <v>2510</v>
      </c>
      <c r="C2102" s="12" t="s">
        <v>24</v>
      </c>
      <c r="D2102" s="12" t="s">
        <v>8</v>
      </c>
      <c r="E2102" s="12">
        <v>-929</v>
      </c>
    </row>
    <row r="2103" spans="1:5">
      <c r="A2103" s="15">
        <v>43622</v>
      </c>
      <c r="B2103" s="13">
        <v>2510</v>
      </c>
      <c r="C2103" s="13" t="s">
        <v>24</v>
      </c>
      <c r="D2103" s="13" t="s">
        <v>19</v>
      </c>
      <c r="E2103" s="13">
        <v>-996</v>
      </c>
    </row>
    <row r="2104" spans="1:5">
      <c r="A2104" s="14">
        <v>43622</v>
      </c>
      <c r="B2104" s="12">
        <v>2505</v>
      </c>
      <c r="C2104" s="12" t="s">
        <v>9</v>
      </c>
      <c r="D2104" s="12" t="s">
        <v>19</v>
      </c>
      <c r="E2104" s="12">
        <v>-326</v>
      </c>
    </row>
    <row r="2105" spans="1:5">
      <c r="A2105" s="15">
        <v>43622</v>
      </c>
      <c r="B2105" s="13">
        <v>2501</v>
      </c>
      <c r="C2105" s="13" t="s">
        <v>5</v>
      </c>
      <c r="D2105" s="13" t="s">
        <v>19</v>
      </c>
      <c r="E2105" s="13">
        <v>-146</v>
      </c>
    </row>
    <row r="2106" spans="1:5">
      <c r="A2106" s="14">
        <v>43623</v>
      </c>
      <c r="B2106" s="12">
        <v>1500</v>
      </c>
      <c r="C2106" s="12" t="s">
        <v>26</v>
      </c>
      <c r="D2106" s="12" t="s">
        <v>19</v>
      </c>
      <c r="E2106" s="12">
        <v>-14019</v>
      </c>
    </row>
    <row r="2107" spans="1:5">
      <c r="A2107" s="15">
        <v>43623</v>
      </c>
      <c r="B2107" s="13">
        <v>1500</v>
      </c>
      <c r="C2107" s="13" t="s">
        <v>26</v>
      </c>
      <c r="D2107" s="13" t="s">
        <v>19</v>
      </c>
      <c r="E2107" s="13">
        <v>-7386</v>
      </c>
    </row>
    <row r="2108" spans="1:5">
      <c r="A2108" s="14">
        <v>43623</v>
      </c>
      <c r="B2108" s="12">
        <v>2502</v>
      </c>
      <c r="C2108" s="12" t="s">
        <v>7</v>
      </c>
      <c r="D2108" s="12" t="s">
        <v>19</v>
      </c>
      <c r="E2108" s="12">
        <v>-2559</v>
      </c>
    </row>
    <row r="2109" spans="1:5">
      <c r="A2109" s="15">
        <v>43623</v>
      </c>
      <c r="B2109" s="13">
        <v>2501</v>
      </c>
      <c r="C2109" s="13" t="s">
        <v>5</v>
      </c>
      <c r="D2109" s="13" t="s">
        <v>6</v>
      </c>
      <c r="E2109" s="13">
        <v>-93</v>
      </c>
    </row>
    <row r="2110" spans="1:5">
      <c r="A2110" s="14">
        <v>43623</v>
      </c>
      <c r="B2110" s="12">
        <v>2503</v>
      </c>
      <c r="C2110" s="12" t="s">
        <v>22</v>
      </c>
      <c r="D2110" s="12" t="s">
        <v>12</v>
      </c>
      <c r="E2110" s="12">
        <v>-522</v>
      </c>
    </row>
    <row r="2111" spans="1:5">
      <c r="A2111" s="15">
        <v>43623</v>
      </c>
      <c r="B2111" s="13">
        <v>2505</v>
      </c>
      <c r="C2111" s="13" t="s">
        <v>9</v>
      </c>
      <c r="D2111" s="13" t="s">
        <v>12</v>
      </c>
      <c r="E2111" s="13">
        <v>-726</v>
      </c>
    </row>
    <row r="2112" spans="1:5">
      <c r="A2112" s="14">
        <v>43623</v>
      </c>
      <c r="B2112" s="12">
        <v>2508</v>
      </c>
      <c r="C2112" s="12" t="s">
        <v>15</v>
      </c>
      <c r="D2112" s="12" t="s">
        <v>8</v>
      </c>
      <c r="E2112" s="12">
        <v>-60881</v>
      </c>
    </row>
    <row r="2113" spans="1:5">
      <c r="A2113" s="15">
        <v>43623</v>
      </c>
      <c r="B2113" s="13">
        <v>2512</v>
      </c>
      <c r="C2113" s="13" t="s">
        <v>16</v>
      </c>
      <c r="D2113" s="13" t="s">
        <v>12</v>
      </c>
      <c r="E2113" s="13">
        <v>-1104</v>
      </c>
    </row>
    <row r="2114" spans="1:5">
      <c r="A2114" s="14">
        <v>43623</v>
      </c>
      <c r="B2114" s="12">
        <v>2512</v>
      </c>
      <c r="C2114" s="12" t="s">
        <v>16</v>
      </c>
      <c r="D2114" s="12" t="s">
        <v>12</v>
      </c>
      <c r="E2114" s="12">
        <v>-988</v>
      </c>
    </row>
    <row r="2115" spans="1:5">
      <c r="A2115" s="15">
        <v>43623</v>
      </c>
      <c r="B2115" s="13">
        <v>2513</v>
      </c>
      <c r="C2115" s="13" t="s">
        <v>17</v>
      </c>
      <c r="D2115" s="13" t="s">
        <v>6</v>
      </c>
      <c r="E2115" s="13">
        <v>-1259</v>
      </c>
    </row>
    <row r="2116" spans="1:5">
      <c r="A2116" s="14">
        <v>43623</v>
      </c>
      <c r="B2116" s="12">
        <v>2514</v>
      </c>
      <c r="C2116" s="12" t="s">
        <v>20</v>
      </c>
      <c r="D2116" s="12" t="s">
        <v>10</v>
      </c>
      <c r="E2116" s="12">
        <v>-1458</v>
      </c>
    </row>
    <row r="2117" spans="1:5">
      <c r="A2117" s="15">
        <v>43623</v>
      </c>
      <c r="B2117" s="13">
        <v>2514</v>
      </c>
      <c r="C2117" s="13" t="s">
        <v>20</v>
      </c>
      <c r="D2117" s="13" t="s">
        <v>6</v>
      </c>
      <c r="E2117" s="13">
        <v>-1202</v>
      </c>
    </row>
    <row r="2118" spans="1:5">
      <c r="A2118" s="14">
        <v>43623</v>
      </c>
      <c r="B2118" s="12">
        <v>2510</v>
      </c>
      <c r="C2118" s="12" t="s">
        <v>24</v>
      </c>
      <c r="D2118" s="12" t="s">
        <v>8</v>
      </c>
      <c r="E2118" s="12">
        <v>-1741</v>
      </c>
    </row>
    <row r="2119" spans="1:5">
      <c r="A2119" s="15">
        <v>43623</v>
      </c>
      <c r="B2119" s="13">
        <v>2504</v>
      </c>
      <c r="C2119" s="13" t="s">
        <v>21</v>
      </c>
      <c r="D2119" s="13" t="s">
        <v>19</v>
      </c>
      <c r="E2119" s="13">
        <v>-1490</v>
      </c>
    </row>
    <row r="2120" spans="1:5">
      <c r="A2120" s="14">
        <v>43623</v>
      </c>
      <c r="B2120" s="12">
        <v>2505</v>
      </c>
      <c r="C2120" s="12" t="s">
        <v>9</v>
      </c>
      <c r="D2120" s="12" t="s">
        <v>19</v>
      </c>
      <c r="E2120" s="12">
        <v>-559</v>
      </c>
    </row>
    <row r="2121" spans="1:5">
      <c r="A2121" s="15">
        <v>43623</v>
      </c>
      <c r="B2121" s="13">
        <v>2505</v>
      </c>
      <c r="C2121" s="13" t="s">
        <v>9</v>
      </c>
      <c r="D2121" s="13" t="s">
        <v>19</v>
      </c>
      <c r="E2121" s="13">
        <v>-346</v>
      </c>
    </row>
    <row r="2122" spans="1:5">
      <c r="A2122" s="14">
        <v>43623</v>
      </c>
      <c r="B2122" s="12">
        <v>2505</v>
      </c>
      <c r="C2122" s="12" t="s">
        <v>9</v>
      </c>
      <c r="D2122" s="12" t="s">
        <v>19</v>
      </c>
      <c r="E2122" s="12">
        <v>-285</v>
      </c>
    </row>
    <row r="2123" spans="1:5">
      <c r="A2123" s="15">
        <v>43623</v>
      </c>
      <c r="B2123" s="13">
        <v>2503</v>
      </c>
      <c r="C2123" s="13" t="s">
        <v>22</v>
      </c>
      <c r="D2123" s="13" t="s">
        <v>19</v>
      </c>
      <c r="E2123" s="13">
        <v>-238</v>
      </c>
    </row>
    <row r="2124" spans="1:5">
      <c r="A2124" s="14">
        <v>43623</v>
      </c>
      <c r="B2124" s="12">
        <v>2503</v>
      </c>
      <c r="C2124" s="12" t="s">
        <v>22</v>
      </c>
      <c r="D2124" s="12" t="s">
        <v>19</v>
      </c>
      <c r="E2124" s="12">
        <v>-206</v>
      </c>
    </row>
    <row r="2125" spans="1:5">
      <c r="A2125" s="15">
        <v>43623</v>
      </c>
      <c r="B2125" s="13">
        <v>1000</v>
      </c>
      <c r="C2125" s="13" t="s">
        <v>23</v>
      </c>
      <c r="D2125" s="13" t="s">
        <v>19</v>
      </c>
      <c r="E2125" s="13">
        <v>455603</v>
      </c>
    </row>
    <row r="2126" spans="1:5">
      <c r="A2126" s="14">
        <v>43624</v>
      </c>
      <c r="B2126" s="12">
        <v>2508</v>
      </c>
      <c r="C2126" s="12" t="s">
        <v>15</v>
      </c>
      <c r="D2126" s="12" t="s">
        <v>19</v>
      </c>
      <c r="E2126" s="12">
        <v>-61479</v>
      </c>
    </row>
    <row r="2127" spans="1:5">
      <c r="A2127" s="15">
        <v>43624</v>
      </c>
      <c r="B2127" s="13">
        <v>2512</v>
      </c>
      <c r="C2127" s="13" t="s">
        <v>16</v>
      </c>
      <c r="D2127" s="13" t="s">
        <v>19</v>
      </c>
      <c r="E2127" s="13">
        <v>-7102</v>
      </c>
    </row>
    <row r="2128" spans="1:5">
      <c r="A2128" s="14">
        <v>43624</v>
      </c>
      <c r="B2128" s="12">
        <v>2502</v>
      </c>
      <c r="C2128" s="12" t="s">
        <v>7</v>
      </c>
      <c r="D2128" s="12" t="s">
        <v>19</v>
      </c>
      <c r="E2128" s="12">
        <v>-3326</v>
      </c>
    </row>
    <row r="2129" spans="1:5">
      <c r="A2129" s="15">
        <v>43624</v>
      </c>
      <c r="B2129" s="13">
        <v>2502</v>
      </c>
      <c r="C2129" s="13" t="s">
        <v>7</v>
      </c>
      <c r="D2129" s="13" t="s">
        <v>12</v>
      </c>
      <c r="E2129" s="13">
        <v>-9201</v>
      </c>
    </row>
    <row r="2130" spans="1:5">
      <c r="A2130" s="14">
        <v>43624</v>
      </c>
      <c r="B2130" s="12">
        <v>2508</v>
      </c>
      <c r="C2130" s="12" t="s">
        <v>15</v>
      </c>
      <c r="D2130" s="12" t="s">
        <v>10</v>
      </c>
      <c r="E2130" s="12">
        <v>-68779</v>
      </c>
    </row>
    <row r="2131" spans="1:5">
      <c r="A2131" s="15">
        <v>43624</v>
      </c>
      <c r="B2131" s="13">
        <v>2513</v>
      </c>
      <c r="C2131" s="13" t="s">
        <v>17</v>
      </c>
      <c r="D2131" s="13" t="s">
        <v>10</v>
      </c>
      <c r="E2131" s="13">
        <v>-976</v>
      </c>
    </row>
    <row r="2132" spans="1:5">
      <c r="A2132" s="14">
        <v>43624</v>
      </c>
      <c r="B2132" s="12">
        <v>2514</v>
      </c>
      <c r="C2132" s="12" t="s">
        <v>20</v>
      </c>
      <c r="D2132" s="12" t="s">
        <v>6</v>
      </c>
      <c r="E2132" s="12">
        <v>-1365</v>
      </c>
    </row>
    <row r="2133" spans="1:5">
      <c r="A2133" s="15">
        <v>43624</v>
      </c>
      <c r="B2133" s="13">
        <v>2510</v>
      </c>
      <c r="C2133" s="13" t="s">
        <v>24</v>
      </c>
      <c r="D2133" s="13" t="s">
        <v>10</v>
      </c>
      <c r="E2133" s="13">
        <v>-2019</v>
      </c>
    </row>
    <row r="2134" spans="1:5">
      <c r="A2134" s="14">
        <v>43624</v>
      </c>
      <c r="B2134" s="12">
        <v>2504</v>
      </c>
      <c r="C2134" s="12" t="s">
        <v>21</v>
      </c>
      <c r="D2134" s="12" t="s">
        <v>19</v>
      </c>
      <c r="E2134" s="12">
        <v>-973</v>
      </c>
    </row>
    <row r="2135" spans="1:5">
      <c r="A2135" s="15">
        <v>43624</v>
      </c>
      <c r="B2135" s="13">
        <v>2514</v>
      </c>
      <c r="C2135" s="13" t="s">
        <v>20</v>
      </c>
      <c r="D2135" s="13" t="s">
        <v>19</v>
      </c>
      <c r="E2135" s="13">
        <v>-882</v>
      </c>
    </row>
    <row r="2136" spans="1:5">
      <c r="A2136" s="14">
        <v>43624</v>
      </c>
      <c r="B2136" s="12">
        <v>2505</v>
      </c>
      <c r="C2136" s="12" t="s">
        <v>9</v>
      </c>
      <c r="D2136" s="12" t="s">
        <v>19</v>
      </c>
      <c r="E2136" s="12">
        <v>-447</v>
      </c>
    </row>
    <row r="2137" spans="1:5">
      <c r="A2137" s="15">
        <v>43624</v>
      </c>
      <c r="B2137" s="13">
        <v>2503</v>
      </c>
      <c r="C2137" s="13" t="s">
        <v>22</v>
      </c>
      <c r="D2137" s="13" t="s">
        <v>19</v>
      </c>
      <c r="E2137" s="13">
        <v>-254</v>
      </c>
    </row>
    <row r="2138" spans="1:5">
      <c r="A2138" s="14">
        <v>43625</v>
      </c>
      <c r="B2138" s="12">
        <v>2508</v>
      </c>
      <c r="C2138" s="12" t="s">
        <v>15</v>
      </c>
      <c r="D2138" s="12" t="s">
        <v>19</v>
      </c>
      <c r="E2138" s="12">
        <v>-41623</v>
      </c>
    </row>
    <row r="2139" spans="1:5">
      <c r="A2139" s="15">
        <v>43625</v>
      </c>
      <c r="B2139" s="13">
        <v>2500</v>
      </c>
      <c r="C2139" s="13" t="s">
        <v>25</v>
      </c>
      <c r="D2139" s="13" t="s">
        <v>19</v>
      </c>
      <c r="E2139" s="13">
        <v>-34295</v>
      </c>
    </row>
    <row r="2140" spans="1:5">
      <c r="A2140" s="14">
        <v>43625</v>
      </c>
      <c r="B2140" s="12">
        <v>2502</v>
      </c>
      <c r="C2140" s="12" t="s">
        <v>7</v>
      </c>
      <c r="D2140" s="12" t="s">
        <v>19</v>
      </c>
      <c r="E2140" s="12">
        <v>-4902</v>
      </c>
    </row>
    <row r="2141" spans="1:5">
      <c r="A2141" s="15">
        <v>43625</v>
      </c>
      <c r="B2141" s="13">
        <v>2501</v>
      </c>
      <c r="C2141" s="13" t="s">
        <v>5</v>
      </c>
      <c r="D2141" s="13" t="s">
        <v>13</v>
      </c>
      <c r="E2141" s="13">
        <v>-105</v>
      </c>
    </row>
    <row r="2142" spans="1:5">
      <c r="A2142" s="14">
        <v>43625</v>
      </c>
      <c r="B2142" s="12">
        <v>2505</v>
      </c>
      <c r="C2142" s="12" t="s">
        <v>9</v>
      </c>
      <c r="D2142" s="12" t="s">
        <v>8</v>
      </c>
      <c r="E2142" s="12">
        <v>-432</v>
      </c>
    </row>
    <row r="2143" spans="1:5">
      <c r="A2143" s="15">
        <v>43625</v>
      </c>
      <c r="B2143" s="13">
        <v>2508</v>
      </c>
      <c r="C2143" s="13" t="s">
        <v>15</v>
      </c>
      <c r="D2143" s="13" t="s">
        <v>13</v>
      </c>
      <c r="E2143" s="13">
        <v>-46649</v>
      </c>
    </row>
    <row r="2144" spans="1:5">
      <c r="A2144" s="14">
        <v>43625</v>
      </c>
      <c r="B2144" s="12">
        <v>2512</v>
      </c>
      <c r="C2144" s="12" t="s">
        <v>16</v>
      </c>
      <c r="D2144" s="12" t="s">
        <v>8</v>
      </c>
      <c r="E2144" s="12">
        <v>-3629</v>
      </c>
    </row>
    <row r="2145" spans="1:5">
      <c r="A2145" s="15">
        <v>43625</v>
      </c>
      <c r="B2145" s="13">
        <v>2512</v>
      </c>
      <c r="C2145" s="13" t="s">
        <v>16</v>
      </c>
      <c r="D2145" s="13" t="s">
        <v>6</v>
      </c>
      <c r="E2145" s="13">
        <v>-4546</v>
      </c>
    </row>
    <row r="2146" spans="1:5">
      <c r="A2146" s="14">
        <v>43625</v>
      </c>
      <c r="B2146" s="12">
        <v>2514</v>
      </c>
      <c r="C2146" s="12" t="s">
        <v>20</v>
      </c>
      <c r="D2146" s="12" t="s">
        <v>6</v>
      </c>
      <c r="E2146" s="12">
        <v>-1359</v>
      </c>
    </row>
    <row r="2147" spans="1:5">
      <c r="A2147" s="15">
        <v>43625</v>
      </c>
      <c r="B2147" s="13">
        <v>1000</v>
      </c>
      <c r="C2147" s="13" t="s">
        <v>23</v>
      </c>
      <c r="D2147" s="13" t="s">
        <v>19</v>
      </c>
      <c r="E2147" s="13">
        <v>526212</v>
      </c>
    </row>
    <row r="2148" spans="1:5">
      <c r="A2148" s="14">
        <v>43626</v>
      </c>
      <c r="B2148" s="12">
        <v>2000</v>
      </c>
      <c r="C2148" s="12" t="s">
        <v>18</v>
      </c>
      <c r="D2148" s="12" t="s">
        <v>19</v>
      </c>
      <c r="E2148" s="12">
        <v>-314252</v>
      </c>
    </row>
    <row r="2149" spans="1:5">
      <c r="A2149" s="15">
        <v>43626</v>
      </c>
      <c r="B2149" s="13">
        <v>2502</v>
      </c>
      <c r="C2149" s="13" t="s">
        <v>7</v>
      </c>
      <c r="D2149" s="13" t="s">
        <v>12</v>
      </c>
      <c r="E2149" s="13">
        <v>-10631</v>
      </c>
    </row>
    <row r="2150" spans="1:5">
      <c r="A2150" s="14">
        <v>43626</v>
      </c>
      <c r="B2150" s="12">
        <v>2502</v>
      </c>
      <c r="C2150" s="12" t="s">
        <v>7</v>
      </c>
      <c r="D2150" s="12" t="s">
        <v>6</v>
      </c>
      <c r="E2150" s="12">
        <v>-3855</v>
      </c>
    </row>
    <row r="2151" spans="1:5">
      <c r="A2151" s="15">
        <v>43626</v>
      </c>
      <c r="B2151" s="13">
        <v>2503</v>
      </c>
      <c r="C2151" s="13" t="s">
        <v>22</v>
      </c>
      <c r="D2151" s="13" t="s">
        <v>8</v>
      </c>
      <c r="E2151" s="13">
        <v>-285</v>
      </c>
    </row>
    <row r="2152" spans="1:5">
      <c r="A2152" s="14">
        <v>43626</v>
      </c>
      <c r="B2152" s="12">
        <v>2508</v>
      </c>
      <c r="C2152" s="12" t="s">
        <v>15</v>
      </c>
      <c r="D2152" s="12" t="s">
        <v>14</v>
      </c>
      <c r="E2152" s="12">
        <v>-57242</v>
      </c>
    </row>
    <row r="2153" spans="1:5">
      <c r="A2153" s="15">
        <v>43626</v>
      </c>
      <c r="B2153" s="13">
        <v>2513</v>
      </c>
      <c r="C2153" s="13" t="s">
        <v>17</v>
      </c>
      <c r="D2153" s="13" t="s">
        <v>6</v>
      </c>
      <c r="E2153" s="13">
        <v>-1246</v>
      </c>
    </row>
    <row r="2154" spans="1:5">
      <c r="A2154" s="14">
        <v>43626</v>
      </c>
      <c r="B2154" s="12">
        <v>2514</v>
      </c>
      <c r="C2154" s="12" t="s">
        <v>20</v>
      </c>
      <c r="D2154" s="12" t="s">
        <v>19</v>
      </c>
      <c r="E2154" s="12">
        <v>-847</v>
      </c>
    </row>
    <row r="2155" spans="1:5">
      <c r="A2155" s="15">
        <v>43626</v>
      </c>
      <c r="B2155" s="13">
        <v>2503</v>
      </c>
      <c r="C2155" s="13" t="s">
        <v>22</v>
      </c>
      <c r="D2155" s="13" t="s">
        <v>19</v>
      </c>
      <c r="E2155" s="13">
        <v>-297</v>
      </c>
    </row>
    <row r="2156" spans="1:5">
      <c r="A2156" s="14">
        <v>43626</v>
      </c>
      <c r="B2156" s="12">
        <v>2501</v>
      </c>
      <c r="C2156" s="12" t="s">
        <v>5</v>
      </c>
      <c r="D2156" s="12" t="s">
        <v>19</v>
      </c>
      <c r="E2156" s="12">
        <v>-113</v>
      </c>
    </row>
    <row r="2157" spans="1:5">
      <c r="A2157" s="15">
        <v>43627</v>
      </c>
      <c r="B2157" s="13">
        <v>1500</v>
      </c>
      <c r="C2157" s="13" t="s">
        <v>26</v>
      </c>
      <c r="D2157" s="13" t="s">
        <v>19</v>
      </c>
      <c r="E2157" s="13">
        <v>-55057</v>
      </c>
    </row>
    <row r="2158" spans="1:5">
      <c r="A2158" s="14">
        <v>43627</v>
      </c>
      <c r="B2158" s="12">
        <v>2512</v>
      </c>
      <c r="C2158" s="12" t="s">
        <v>16</v>
      </c>
      <c r="D2158" s="12" t="s">
        <v>19</v>
      </c>
      <c r="E2158" s="12">
        <v>-8836</v>
      </c>
    </row>
    <row r="2159" spans="1:5">
      <c r="A2159" s="15">
        <v>43627</v>
      </c>
      <c r="B2159" s="13">
        <v>2502</v>
      </c>
      <c r="C2159" s="13" t="s">
        <v>7</v>
      </c>
      <c r="D2159" s="13" t="s">
        <v>19</v>
      </c>
      <c r="E2159" s="13">
        <v>-5356</v>
      </c>
    </row>
    <row r="2160" spans="1:5">
      <c r="A2160" s="14">
        <v>43627</v>
      </c>
      <c r="B2160" s="12">
        <v>2504</v>
      </c>
      <c r="C2160" s="12" t="s">
        <v>21</v>
      </c>
      <c r="D2160" s="12" t="s">
        <v>19</v>
      </c>
      <c r="E2160" s="12">
        <v>-2497</v>
      </c>
    </row>
    <row r="2161" spans="1:5">
      <c r="A2161" s="15">
        <v>43627</v>
      </c>
      <c r="B2161" s="13">
        <v>2501</v>
      </c>
      <c r="C2161" s="13" t="s">
        <v>5</v>
      </c>
      <c r="D2161" s="13" t="s">
        <v>6</v>
      </c>
      <c r="E2161" s="13">
        <v>-118</v>
      </c>
    </row>
    <row r="2162" spans="1:5">
      <c r="A2162" s="14">
        <v>43627</v>
      </c>
      <c r="B2162" s="12">
        <v>2501</v>
      </c>
      <c r="C2162" s="12" t="s">
        <v>5</v>
      </c>
      <c r="D2162" s="12" t="s">
        <v>12</v>
      </c>
      <c r="E2162" s="12">
        <v>-253</v>
      </c>
    </row>
    <row r="2163" spans="1:5">
      <c r="A2163" s="15">
        <v>43627</v>
      </c>
      <c r="B2163" s="13">
        <v>2501</v>
      </c>
      <c r="C2163" s="13" t="s">
        <v>5</v>
      </c>
      <c r="D2163" s="13" t="s">
        <v>13</v>
      </c>
      <c r="E2163" s="13">
        <v>-116</v>
      </c>
    </row>
    <row r="2164" spans="1:5">
      <c r="A2164" s="14">
        <v>43627</v>
      </c>
      <c r="B2164" s="12">
        <v>2502</v>
      </c>
      <c r="C2164" s="12" t="s">
        <v>7</v>
      </c>
      <c r="D2164" s="12" t="s">
        <v>12</v>
      </c>
      <c r="E2164" s="12">
        <v>-5973</v>
      </c>
    </row>
    <row r="2165" spans="1:5">
      <c r="A2165" s="15">
        <v>43627</v>
      </c>
      <c r="B2165" s="13">
        <v>2502</v>
      </c>
      <c r="C2165" s="13" t="s">
        <v>7</v>
      </c>
      <c r="D2165" s="13" t="s">
        <v>10</v>
      </c>
      <c r="E2165" s="13">
        <v>-5515</v>
      </c>
    </row>
    <row r="2166" spans="1:5">
      <c r="A2166" s="14">
        <v>43627</v>
      </c>
      <c r="B2166" s="12">
        <v>2506</v>
      </c>
      <c r="C2166" s="12" t="s">
        <v>27</v>
      </c>
      <c r="D2166" s="12" t="s">
        <v>8</v>
      </c>
      <c r="E2166" s="12">
        <v>-539</v>
      </c>
    </row>
    <row r="2167" spans="1:5">
      <c r="A2167" s="15">
        <v>43627</v>
      </c>
      <c r="B2167" s="13">
        <v>2506</v>
      </c>
      <c r="C2167" s="13" t="s">
        <v>27</v>
      </c>
      <c r="D2167" s="13" t="s">
        <v>14</v>
      </c>
      <c r="E2167" s="13">
        <v>-526</v>
      </c>
    </row>
    <row r="2168" spans="1:5">
      <c r="A2168" s="14">
        <v>43627</v>
      </c>
      <c r="B2168" s="12">
        <v>2506</v>
      </c>
      <c r="C2168" s="12" t="s">
        <v>27</v>
      </c>
      <c r="D2168" s="12" t="s">
        <v>8</v>
      </c>
      <c r="E2168" s="12">
        <v>-688</v>
      </c>
    </row>
    <row r="2169" spans="1:5">
      <c r="A2169" s="15">
        <v>43627</v>
      </c>
      <c r="B2169" s="13">
        <v>2508</v>
      </c>
      <c r="C2169" s="13" t="s">
        <v>15</v>
      </c>
      <c r="D2169" s="13" t="s">
        <v>6</v>
      </c>
      <c r="E2169" s="13">
        <v>-77971</v>
      </c>
    </row>
    <row r="2170" spans="1:5">
      <c r="A2170" s="14">
        <v>43627</v>
      </c>
      <c r="B2170" s="12">
        <v>2512</v>
      </c>
      <c r="C2170" s="12" t="s">
        <v>16</v>
      </c>
      <c r="D2170" s="12" t="s">
        <v>12</v>
      </c>
      <c r="E2170" s="12">
        <v>-1116</v>
      </c>
    </row>
    <row r="2171" spans="1:5">
      <c r="A2171" s="15">
        <v>43627</v>
      </c>
      <c r="B2171" s="13">
        <v>2512</v>
      </c>
      <c r="C2171" s="13" t="s">
        <v>16</v>
      </c>
      <c r="D2171" s="13" t="s">
        <v>12</v>
      </c>
      <c r="E2171" s="13">
        <v>-981</v>
      </c>
    </row>
    <row r="2172" spans="1:5">
      <c r="A2172" s="14">
        <v>43627</v>
      </c>
      <c r="B2172" s="12">
        <v>2513</v>
      </c>
      <c r="C2172" s="12" t="s">
        <v>17</v>
      </c>
      <c r="D2172" s="12" t="s">
        <v>10</v>
      </c>
      <c r="E2172" s="12">
        <v>-737</v>
      </c>
    </row>
    <row r="2173" spans="1:5">
      <c r="A2173" s="15">
        <v>43627</v>
      </c>
      <c r="B2173" s="13">
        <v>2514</v>
      </c>
      <c r="C2173" s="13" t="s">
        <v>20</v>
      </c>
      <c r="D2173" s="13" t="s">
        <v>8</v>
      </c>
      <c r="E2173" s="13">
        <v>-1520</v>
      </c>
    </row>
    <row r="2174" spans="1:5">
      <c r="A2174" s="14">
        <v>43627</v>
      </c>
      <c r="B2174" s="12">
        <v>2514</v>
      </c>
      <c r="C2174" s="12" t="s">
        <v>20</v>
      </c>
      <c r="D2174" s="12" t="s">
        <v>19</v>
      </c>
      <c r="E2174" s="12">
        <v>-1197</v>
      </c>
    </row>
    <row r="2175" spans="1:5">
      <c r="A2175" s="15">
        <v>43627</v>
      </c>
      <c r="B2175" s="13">
        <v>2504</v>
      </c>
      <c r="C2175" s="13" t="s">
        <v>21</v>
      </c>
      <c r="D2175" s="13" t="s">
        <v>19</v>
      </c>
      <c r="E2175" s="13">
        <v>-849</v>
      </c>
    </row>
    <row r="2176" spans="1:5">
      <c r="A2176" s="14">
        <v>43627</v>
      </c>
      <c r="B2176" s="12">
        <v>2505</v>
      </c>
      <c r="C2176" s="12" t="s">
        <v>9</v>
      </c>
      <c r="D2176" s="12" t="s">
        <v>19</v>
      </c>
      <c r="E2176" s="12">
        <v>-529</v>
      </c>
    </row>
    <row r="2177" spans="1:5">
      <c r="A2177" s="15">
        <v>43627</v>
      </c>
      <c r="B2177" s="13">
        <v>2513</v>
      </c>
      <c r="C2177" s="13" t="s">
        <v>17</v>
      </c>
      <c r="D2177" s="13" t="s">
        <v>19</v>
      </c>
      <c r="E2177" s="13">
        <v>-361</v>
      </c>
    </row>
    <row r="2178" spans="1:5">
      <c r="A2178" s="14">
        <v>43627</v>
      </c>
      <c r="B2178" s="12">
        <v>2503</v>
      </c>
      <c r="C2178" s="12" t="s">
        <v>22</v>
      </c>
      <c r="D2178" s="12" t="s">
        <v>19</v>
      </c>
      <c r="E2178" s="12">
        <v>-335</v>
      </c>
    </row>
    <row r="2179" spans="1:5">
      <c r="A2179" s="15">
        <v>43627</v>
      </c>
      <c r="B2179" s="13">
        <v>2503</v>
      </c>
      <c r="C2179" s="13" t="s">
        <v>22</v>
      </c>
      <c r="D2179" s="13" t="s">
        <v>19</v>
      </c>
      <c r="E2179" s="13">
        <v>-242</v>
      </c>
    </row>
    <row r="2180" spans="1:5">
      <c r="A2180" s="14">
        <v>43627</v>
      </c>
      <c r="B2180" s="12">
        <v>1000</v>
      </c>
      <c r="C2180" s="12" t="s">
        <v>23</v>
      </c>
      <c r="D2180" s="12" t="s">
        <v>19</v>
      </c>
      <c r="E2180" s="12">
        <v>1276827</v>
      </c>
    </row>
    <row r="2181" spans="1:5">
      <c r="A2181" s="15">
        <v>43628</v>
      </c>
      <c r="B2181" s="13">
        <v>2500</v>
      </c>
      <c r="C2181" s="13" t="s">
        <v>25</v>
      </c>
      <c r="D2181" s="13" t="s">
        <v>19</v>
      </c>
      <c r="E2181" s="13">
        <v>-53374</v>
      </c>
    </row>
    <row r="2182" spans="1:5">
      <c r="A2182" s="14">
        <v>43628</v>
      </c>
      <c r="B2182" s="12">
        <v>2500</v>
      </c>
      <c r="C2182" s="12" t="s">
        <v>25</v>
      </c>
      <c r="D2182" s="12" t="s">
        <v>19</v>
      </c>
      <c r="E2182" s="12">
        <v>-14910</v>
      </c>
    </row>
    <row r="2183" spans="1:5">
      <c r="A2183" s="15">
        <v>43628</v>
      </c>
      <c r="B2183" s="13">
        <v>1500</v>
      </c>
      <c r="C2183" s="13" t="s">
        <v>26</v>
      </c>
      <c r="D2183" s="13" t="s">
        <v>19</v>
      </c>
      <c r="E2183" s="13">
        <v>-10858</v>
      </c>
    </row>
    <row r="2184" spans="1:5">
      <c r="A2184" s="14">
        <v>43628</v>
      </c>
      <c r="B2184" s="12">
        <v>2512</v>
      </c>
      <c r="C2184" s="12" t="s">
        <v>16</v>
      </c>
      <c r="D2184" s="12" t="s">
        <v>19</v>
      </c>
      <c r="E2184" s="12">
        <v>-6967</v>
      </c>
    </row>
    <row r="2185" spans="1:5">
      <c r="A2185" s="15">
        <v>43628</v>
      </c>
      <c r="B2185" s="13">
        <v>2512</v>
      </c>
      <c r="C2185" s="13" t="s">
        <v>16</v>
      </c>
      <c r="D2185" s="13" t="s">
        <v>19</v>
      </c>
      <c r="E2185" s="13">
        <v>-3572</v>
      </c>
    </row>
    <row r="2186" spans="1:5">
      <c r="A2186" s="14">
        <v>43628</v>
      </c>
      <c r="B2186" s="12">
        <v>2503</v>
      </c>
      <c r="C2186" s="12" t="s">
        <v>22</v>
      </c>
      <c r="D2186" s="12" t="s">
        <v>6</v>
      </c>
      <c r="E2186" s="12">
        <v>-423</v>
      </c>
    </row>
    <row r="2187" spans="1:5">
      <c r="A2187" s="15">
        <v>43628</v>
      </c>
      <c r="B2187" s="13">
        <v>2505</v>
      </c>
      <c r="C2187" s="13" t="s">
        <v>9</v>
      </c>
      <c r="D2187" s="13" t="s">
        <v>8</v>
      </c>
      <c r="E2187" s="13">
        <v>-520</v>
      </c>
    </row>
    <row r="2188" spans="1:5">
      <c r="A2188" s="14">
        <v>43628</v>
      </c>
      <c r="B2188" s="12">
        <v>2505</v>
      </c>
      <c r="C2188" s="12" t="s">
        <v>9</v>
      </c>
      <c r="D2188" s="12" t="s">
        <v>10</v>
      </c>
      <c r="E2188" s="12">
        <v>-715</v>
      </c>
    </row>
    <row r="2189" spans="1:5">
      <c r="A2189" s="15">
        <v>43628</v>
      </c>
      <c r="B2189" s="13">
        <v>2506</v>
      </c>
      <c r="C2189" s="13" t="s">
        <v>27</v>
      </c>
      <c r="D2189" s="13" t="s">
        <v>14</v>
      </c>
      <c r="E2189" s="13">
        <v>-727</v>
      </c>
    </row>
    <row r="2190" spans="1:5">
      <c r="A2190" s="14">
        <v>43628</v>
      </c>
      <c r="B2190" s="12">
        <v>2513</v>
      </c>
      <c r="C2190" s="12" t="s">
        <v>17</v>
      </c>
      <c r="D2190" s="12" t="s">
        <v>10</v>
      </c>
      <c r="E2190" s="12">
        <v>-916</v>
      </c>
    </row>
    <row r="2191" spans="1:5">
      <c r="A2191" s="15">
        <v>43628</v>
      </c>
      <c r="B2191" s="13">
        <v>2514</v>
      </c>
      <c r="C2191" s="13" t="s">
        <v>20</v>
      </c>
      <c r="D2191" s="13" t="s">
        <v>19</v>
      </c>
      <c r="E2191" s="13">
        <v>-1156</v>
      </c>
    </row>
    <row r="2192" spans="1:5">
      <c r="A2192" s="14">
        <v>43628</v>
      </c>
      <c r="B2192" s="12">
        <v>2513</v>
      </c>
      <c r="C2192" s="12" t="s">
        <v>17</v>
      </c>
      <c r="D2192" s="12" t="s">
        <v>19</v>
      </c>
      <c r="E2192" s="12">
        <v>-682</v>
      </c>
    </row>
    <row r="2193" spans="1:5">
      <c r="A2193" s="15">
        <v>43628</v>
      </c>
      <c r="B2193" s="13">
        <v>2505</v>
      </c>
      <c r="C2193" s="13" t="s">
        <v>9</v>
      </c>
      <c r="D2193" s="13" t="s">
        <v>19</v>
      </c>
      <c r="E2193" s="13">
        <v>-613</v>
      </c>
    </row>
    <row r="2194" spans="1:5">
      <c r="A2194" s="14">
        <v>43628</v>
      </c>
      <c r="B2194" s="12">
        <v>2513</v>
      </c>
      <c r="C2194" s="12" t="s">
        <v>17</v>
      </c>
      <c r="D2194" s="12" t="s">
        <v>19</v>
      </c>
      <c r="E2194" s="12">
        <v>-538</v>
      </c>
    </row>
    <row r="2195" spans="1:5">
      <c r="A2195" s="15">
        <v>43628</v>
      </c>
      <c r="B2195" s="13">
        <v>2505</v>
      </c>
      <c r="C2195" s="13" t="s">
        <v>9</v>
      </c>
      <c r="D2195" s="13" t="s">
        <v>19</v>
      </c>
      <c r="E2195" s="13">
        <v>-490</v>
      </c>
    </row>
    <row r="2196" spans="1:5">
      <c r="A2196" s="14">
        <v>43628</v>
      </c>
      <c r="B2196" s="12">
        <v>1000</v>
      </c>
      <c r="C2196" s="12" t="s">
        <v>23</v>
      </c>
      <c r="D2196" s="12" t="s">
        <v>19</v>
      </c>
      <c r="E2196" s="12">
        <v>649602</v>
      </c>
    </row>
    <row r="2197" spans="1:5">
      <c r="A2197" s="15">
        <v>43629</v>
      </c>
      <c r="B2197" s="13">
        <v>2000</v>
      </c>
      <c r="C2197" s="13" t="s">
        <v>18</v>
      </c>
      <c r="D2197" s="13" t="s">
        <v>19</v>
      </c>
      <c r="E2197" s="13">
        <v>-208608</v>
      </c>
    </row>
    <row r="2198" spans="1:5">
      <c r="A2198" s="14">
        <v>43629</v>
      </c>
      <c r="B2198" s="12">
        <v>2500</v>
      </c>
      <c r="C2198" s="12" t="s">
        <v>25</v>
      </c>
      <c r="D2198" s="12" t="s">
        <v>19</v>
      </c>
      <c r="E2198" s="12">
        <v>-46004</v>
      </c>
    </row>
    <row r="2199" spans="1:5">
      <c r="A2199" s="15">
        <v>43629</v>
      </c>
      <c r="B2199" s="13">
        <v>2500</v>
      </c>
      <c r="C2199" s="13" t="s">
        <v>25</v>
      </c>
      <c r="D2199" s="13" t="s">
        <v>19</v>
      </c>
      <c r="E2199" s="13">
        <v>-18862</v>
      </c>
    </row>
    <row r="2200" spans="1:5">
      <c r="A2200" s="14">
        <v>43629</v>
      </c>
      <c r="B2200" s="12">
        <v>2512</v>
      </c>
      <c r="C2200" s="12" t="s">
        <v>16</v>
      </c>
      <c r="D2200" s="12" t="s">
        <v>19</v>
      </c>
      <c r="E2200" s="12">
        <v>-9671</v>
      </c>
    </row>
    <row r="2201" spans="1:5">
      <c r="A2201" s="15">
        <v>43629</v>
      </c>
      <c r="B2201" s="13">
        <v>2502</v>
      </c>
      <c r="C2201" s="13" t="s">
        <v>7</v>
      </c>
      <c r="D2201" s="13" t="s">
        <v>13</v>
      </c>
      <c r="E2201" s="13">
        <v>-4719</v>
      </c>
    </row>
    <row r="2202" spans="1:5">
      <c r="A2202" s="14">
        <v>43629</v>
      </c>
      <c r="B2202" s="12">
        <v>2502</v>
      </c>
      <c r="C2202" s="12" t="s">
        <v>7</v>
      </c>
      <c r="D2202" s="12" t="s">
        <v>6</v>
      </c>
      <c r="E2202" s="12">
        <v>-4514</v>
      </c>
    </row>
    <row r="2203" spans="1:5">
      <c r="A2203" s="15">
        <v>43629</v>
      </c>
      <c r="B2203" s="13">
        <v>2502</v>
      </c>
      <c r="C2203" s="13" t="s">
        <v>7</v>
      </c>
      <c r="D2203" s="13" t="s">
        <v>8</v>
      </c>
      <c r="E2203" s="13">
        <v>-3451</v>
      </c>
    </row>
    <row r="2204" spans="1:5">
      <c r="A2204" s="14">
        <v>43629</v>
      </c>
      <c r="B2204" s="12">
        <v>2505</v>
      </c>
      <c r="C2204" s="12" t="s">
        <v>9</v>
      </c>
      <c r="D2204" s="12" t="s">
        <v>8</v>
      </c>
      <c r="E2204" s="12">
        <v>-491</v>
      </c>
    </row>
    <row r="2205" spans="1:5">
      <c r="A2205" s="15">
        <v>43629</v>
      </c>
      <c r="B2205" s="13">
        <v>2505</v>
      </c>
      <c r="C2205" s="13" t="s">
        <v>9</v>
      </c>
      <c r="D2205" s="13" t="s">
        <v>12</v>
      </c>
      <c r="E2205" s="13">
        <v>-906</v>
      </c>
    </row>
    <row r="2206" spans="1:5">
      <c r="A2206" s="14">
        <v>43629</v>
      </c>
      <c r="B2206" s="12">
        <v>2512</v>
      </c>
      <c r="C2206" s="12" t="s">
        <v>16</v>
      </c>
      <c r="D2206" s="12" t="s">
        <v>8</v>
      </c>
      <c r="E2206" s="12">
        <v>-2320</v>
      </c>
    </row>
    <row r="2207" spans="1:5">
      <c r="A2207" s="15">
        <v>43629</v>
      </c>
      <c r="B2207" s="13">
        <v>2510</v>
      </c>
      <c r="C2207" s="13" t="s">
        <v>24</v>
      </c>
      <c r="D2207" s="13" t="s">
        <v>13</v>
      </c>
      <c r="E2207" s="13">
        <v>-1218</v>
      </c>
    </row>
    <row r="2208" spans="1:5">
      <c r="A2208" s="14">
        <v>43629</v>
      </c>
      <c r="B2208" s="12">
        <v>2510</v>
      </c>
      <c r="C2208" s="12" t="s">
        <v>24</v>
      </c>
      <c r="D2208" s="12" t="s">
        <v>8</v>
      </c>
      <c r="E2208" s="12">
        <v>-1010</v>
      </c>
    </row>
    <row r="2209" spans="1:5">
      <c r="A2209" s="15">
        <v>43629</v>
      </c>
      <c r="B2209" s="13">
        <v>2505</v>
      </c>
      <c r="C2209" s="13" t="s">
        <v>9</v>
      </c>
      <c r="D2209" s="13" t="s">
        <v>19</v>
      </c>
      <c r="E2209" s="13">
        <v>-535</v>
      </c>
    </row>
    <row r="2210" spans="1:5">
      <c r="A2210" s="14">
        <v>43629</v>
      </c>
      <c r="B2210" s="12">
        <v>2505</v>
      </c>
      <c r="C2210" s="12" t="s">
        <v>9</v>
      </c>
      <c r="D2210" s="12" t="s">
        <v>19</v>
      </c>
      <c r="E2210" s="12">
        <v>-299</v>
      </c>
    </row>
    <row r="2211" spans="1:5">
      <c r="A2211" s="15">
        <v>43629</v>
      </c>
      <c r="B2211" s="13">
        <v>2503</v>
      </c>
      <c r="C2211" s="13" t="s">
        <v>22</v>
      </c>
      <c r="D2211" s="13" t="s">
        <v>19</v>
      </c>
      <c r="E2211" s="13">
        <v>-221</v>
      </c>
    </row>
    <row r="2212" spans="1:5">
      <c r="A2212" s="14">
        <v>43630</v>
      </c>
      <c r="B2212" s="12">
        <v>2000</v>
      </c>
      <c r="C2212" s="12" t="s">
        <v>18</v>
      </c>
      <c r="D2212" s="12" t="s">
        <v>19</v>
      </c>
      <c r="E2212" s="12">
        <v>-277372</v>
      </c>
    </row>
    <row r="2213" spans="1:5">
      <c r="A2213" s="15">
        <v>43630</v>
      </c>
      <c r="B2213" s="13">
        <v>2000</v>
      </c>
      <c r="C2213" s="13" t="s">
        <v>18</v>
      </c>
      <c r="D2213" s="13" t="s">
        <v>19</v>
      </c>
      <c r="E2213" s="13">
        <v>-148953</v>
      </c>
    </row>
    <row r="2214" spans="1:5">
      <c r="A2214" s="14">
        <v>43630</v>
      </c>
      <c r="B2214" s="12">
        <v>2512</v>
      </c>
      <c r="C2214" s="12" t="s">
        <v>16</v>
      </c>
      <c r="D2214" s="12" t="s">
        <v>19</v>
      </c>
      <c r="E2214" s="12">
        <v>-11531</v>
      </c>
    </row>
    <row r="2215" spans="1:5">
      <c r="A2215" s="15">
        <v>43630</v>
      </c>
      <c r="B2215" s="13">
        <v>2512</v>
      </c>
      <c r="C2215" s="13" t="s">
        <v>16</v>
      </c>
      <c r="D2215" s="13" t="s">
        <v>19</v>
      </c>
      <c r="E2215" s="13">
        <v>-9761</v>
      </c>
    </row>
    <row r="2216" spans="1:5">
      <c r="A2216" s="14">
        <v>43630</v>
      </c>
      <c r="B2216" s="12">
        <v>2512</v>
      </c>
      <c r="C2216" s="12" t="s">
        <v>16</v>
      </c>
      <c r="D2216" s="12" t="s">
        <v>19</v>
      </c>
      <c r="E2216" s="12">
        <v>-6868</v>
      </c>
    </row>
    <row r="2217" spans="1:5">
      <c r="A2217" s="15">
        <v>43630</v>
      </c>
      <c r="B2217" s="13">
        <v>2502</v>
      </c>
      <c r="C2217" s="13" t="s">
        <v>7</v>
      </c>
      <c r="D2217" s="13" t="s">
        <v>19</v>
      </c>
      <c r="E2217" s="13">
        <v>-3343</v>
      </c>
    </row>
    <row r="2218" spans="1:5">
      <c r="A2218" s="14">
        <v>43630</v>
      </c>
      <c r="B2218" s="12">
        <v>2505</v>
      </c>
      <c r="C2218" s="12" t="s">
        <v>9</v>
      </c>
      <c r="D2218" s="12" t="s">
        <v>6</v>
      </c>
      <c r="E2218" s="12">
        <v>-534</v>
      </c>
    </row>
    <row r="2219" spans="1:5">
      <c r="A2219" s="15">
        <v>43630</v>
      </c>
      <c r="B2219" s="13">
        <v>2510</v>
      </c>
      <c r="C2219" s="13" t="s">
        <v>24</v>
      </c>
      <c r="D2219" s="13" t="s">
        <v>13</v>
      </c>
      <c r="E2219" s="13">
        <v>-1019</v>
      </c>
    </row>
    <row r="2220" spans="1:5">
      <c r="A2220" s="14">
        <v>43630</v>
      </c>
      <c r="B2220" s="12">
        <v>2504</v>
      </c>
      <c r="C2220" s="12" t="s">
        <v>21</v>
      </c>
      <c r="D2220" s="12" t="s">
        <v>19</v>
      </c>
      <c r="E2220" s="12">
        <v>-1012</v>
      </c>
    </row>
    <row r="2221" spans="1:5">
      <c r="A2221" s="15">
        <v>43630</v>
      </c>
      <c r="B2221" s="13">
        <v>2513</v>
      </c>
      <c r="C2221" s="13" t="s">
        <v>17</v>
      </c>
      <c r="D2221" s="13" t="s">
        <v>19</v>
      </c>
      <c r="E2221" s="13">
        <v>-883</v>
      </c>
    </row>
    <row r="2222" spans="1:5">
      <c r="A2222" s="14">
        <v>43630</v>
      </c>
      <c r="B2222" s="12">
        <v>2514</v>
      </c>
      <c r="C2222" s="12" t="s">
        <v>20</v>
      </c>
      <c r="D2222" s="12" t="s">
        <v>19</v>
      </c>
      <c r="E2222" s="12">
        <v>-728</v>
      </c>
    </row>
    <row r="2223" spans="1:5">
      <c r="A2223" s="15">
        <v>43630</v>
      </c>
      <c r="B2223" s="13">
        <v>2505</v>
      </c>
      <c r="C2223" s="13" t="s">
        <v>9</v>
      </c>
      <c r="D2223" s="13" t="s">
        <v>19</v>
      </c>
      <c r="E2223" s="13">
        <v>-579</v>
      </c>
    </row>
    <row r="2224" spans="1:5">
      <c r="A2224" s="14">
        <v>43630</v>
      </c>
      <c r="B2224" s="12">
        <v>2513</v>
      </c>
      <c r="C2224" s="12" t="s">
        <v>17</v>
      </c>
      <c r="D2224" s="12" t="s">
        <v>19</v>
      </c>
      <c r="E2224" s="12">
        <v>-331</v>
      </c>
    </row>
    <row r="2225" spans="1:5">
      <c r="A2225" s="15">
        <v>43630</v>
      </c>
      <c r="B2225" s="13">
        <v>2503</v>
      </c>
      <c r="C2225" s="13" t="s">
        <v>22</v>
      </c>
      <c r="D2225" s="13" t="s">
        <v>19</v>
      </c>
      <c r="E2225" s="13">
        <v>-326</v>
      </c>
    </row>
    <row r="2226" spans="1:5">
      <c r="A2226" s="14">
        <v>43631</v>
      </c>
      <c r="B2226" s="12">
        <v>2508</v>
      </c>
      <c r="C2226" s="12" t="s">
        <v>15</v>
      </c>
      <c r="D2226" s="12" t="s">
        <v>19</v>
      </c>
      <c r="E2226" s="12">
        <v>-57227</v>
      </c>
    </row>
    <row r="2227" spans="1:5">
      <c r="A2227" s="15">
        <v>43631</v>
      </c>
      <c r="B2227" s="13">
        <v>2500</v>
      </c>
      <c r="C2227" s="13" t="s">
        <v>25</v>
      </c>
      <c r="D2227" s="13" t="s">
        <v>19</v>
      </c>
      <c r="E2227" s="13">
        <v>-49140</v>
      </c>
    </row>
    <row r="2228" spans="1:5">
      <c r="A2228" s="14">
        <v>43631</v>
      </c>
      <c r="B2228" s="12">
        <v>2500</v>
      </c>
      <c r="C2228" s="12" t="s">
        <v>25</v>
      </c>
      <c r="D2228" s="12" t="s">
        <v>19</v>
      </c>
      <c r="E2228" s="12">
        <v>-14075</v>
      </c>
    </row>
    <row r="2229" spans="1:5">
      <c r="A2229" s="15">
        <v>43631</v>
      </c>
      <c r="B2229" s="13">
        <v>2512</v>
      </c>
      <c r="C2229" s="13" t="s">
        <v>16</v>
      </c>
      <c r="D2229" s="13" t="s">
        <v>19</v>
      </c>
      <c r="E2229" s="13">
        <v>-8668</v>
      </c>
    </row>
    <row r="2230" spans="1:5">
      <c r="A2230" s="14">
        <v>43631</v>
      </c>
      <c r="B2230" s="12">
        <v>2512</v>
      </c>
      <c r="C2230" s="12" t="s">
        <v>16</v>
      </c>
      <c r="D2230" s="12" t="s">
        <v>19</v>
      </c>
      <c r="E2230" s="12">
        <v>-7629</v>
      </c>
    </row>
    <row r="2231" spans="1:5">
      <c r="A2231" s="15">
        <v>43631</v>
      </c>
      <c r="B2231" s="13">
        <v>2502</v>
      </c>
      <c r="C2231" s="13" t="s">
        <v>7</v>
      </c>
      <c r="D2231" s="13" t="s">
        <v>19</v>
      </c>
      <c r="E2231" s="13">
        <v>-4251</v>
      </c>
    </row>
    <row r="2232" spans="1:5">
      <c r="A2232" s="14">
        <v>43631</v>
      </c>
      <c r="B2232" s="12">
        <v>2501</v>
      </c>
      <c r="C2232" s="12" t="s">
        <v>5</v>
      </c>
      <c r="D2232" s="12" t="s">
        <v>8</v>
      </c>
      <c r="E2232" s="12">
        <v>-160</v>
      </c>
    </row>
    <row r="2233" spans="1:5">
      <c r="A2233" s="15">
        <v>43631</v>
      </c>
      <c r="B2233" s="13">
        <v>2502</v>
      </c>
      <c r="C2233" s="13" t="s">
        <v>7</v>
      </c>
      <c r="D2233" s="13" t="s">
        <v>10</v>
      </c>
      <c r="E2233" s="13">
        <v>-5193</v>
      </c>
    </row>
    <row r="2234" spans="1:5">
      <c r="A2234" s="14">
        <v>43631</v>
      </c>
      <c r="B2234" s="12">
        <v>2512</v>
      </c>
      <c r="C2234" s="12" t="s">
        <v>16</v>
      </c>
      <c r="D2234" s="12" t="s">
        <v>12</v>
      </c>
      <c r="E2234" s="12">
        <v>-900</v>
      </c>
    </row>
    <row r="2235" spans="1:5">
      <c r="A2235" s="15">
        <v>43631</v>
      </c>
      <c r="B2235" s="13">
        <v>2512</v>
      </c>
      <c r="C2235" s="13" t="s">
        <v>16</v>
      </c>
      <c r="D2235" s="13" t="s">
        <v>8</v>
      </c>
      <c r="E2235" s="13">
        <v>-3301</v>
      </c>
    </row>
    <row r="2236" spans="1:5">
      <c r="A2236" s="14">
        <v>43631</v>
      </c>
      <c r="B2236" s="12">
        <v>2512</v>
      </c>
      <c r="C2236" s="12" t="s">
        <v>16</v>
      </c>
      <c r="D2236" s="12" t="s">
        <v>12</v>
      </c>
      <c r="E2236" s="12">
        <v>-1041</v>
      </c>
    </row>
    <row r="2237" spans="1:5">
      <c r="A2237" s="15">
        <v>43631</v>
      </c>
      <c r="B2237" s="13">
        <v>2512</v>
      </c>
      <c r="C2237" s="13" t="s">
        <v>16</v>
      </c>
      <c r="D2237" s="13" t="s">
        <v>14</v>
      </c>
      <c r="E2237" s="13">
        <v>-3806</v>
      </c>
    </row>
    <row r="2238" spans="1:5">
      <c r="A2238" s="14">
        <v>43631</v>
      </c>
      <c r="B2238" s="12">
        <v>2514</v>
      </c>
      <c r="C2238" s="12" t="s">
        <v>20</v>
      </c>
      <c r="D2238" s="12" t="s">
        <v>8</v>
      </c>
      <c r="E2238" s="12">
        <v>-1028</v>
      </c>
    </row>
    <row r="2239" spans="1:5">
      <c r="A2239" s="15">
        <v>43631</v>
      </c>
      <c r="B2239" s="13">
        <v>2510</v>
      </c>
      <c r="C2239" s="13" t="s">
        <v>24</v>
      </c>
      <c r="D2239" s="13" t="s">
        <v>12</v>
      </c>
      <c r="E2239" s="13">
        <v>-2353</v>
      </c>
    </row>
    <row r="2240" spans="1:5">
      <c r="A2240" s="14">
        <v>43631</v>
      </c>
      <c r="B2240" s="12">
        <v>2510</v>
      </c>
      <c r="C2240" s="12" t="s">
        <v>24</v>
      </c>
      <c r="D2240" s="12" t="s">
        <v>10</v>
      </c>
      <c r="E2240" s="12">
        <v>-1278</v>
      </c>
    </row>
    <row r="2241" spans="1:5">
      <c r="A2241" s="15">
        <v>43631</v>
      </c>
      <c r="B2241" s="13">
        <v>2513</v>
      </c>
      <c r="C2241" s="13" t="s">
        <v>17</v>
      </c>
      <c r="D2241" s="13" t="s">
        <v>19</v>
      </c>
      <c r="E2241" s="13">
        <v>-880</v>
      </c>
    </row>
    <row r="2242" spans="1:5">
      <c r="A2242" s="14">
        <v>43631</v>
      </c>
      <c r="B2242" s="12">
        <v>2505</v>
      </c>
      <c r="C2242" s="12" t="s">
        <v>9</v>
      </c>
      <c r="D2242" s="12" t="s">
        <v>19</v>
      </c>
      <c r="E2242" s="12">
        <v>-434</v>
      </c>
    </row>
    <row r="2243" spans="1:5">
      <c r="A2243" s="15">
        <v>43631</v>
      </c>
      <c r="B2243" s="13">
        <v>2503</v>
      </c>
      <c r="C2243" s="13" t="s">
        <v>22</v>
      </c>
      <c r="D2243" s="13" t="s">
        <v>19</v>
      </c>
      <c r="E2243" s="13">
        <v>-324</v>
      </c>
    </row>
    <row r="2244" spans="1:5">
      <c r="A2244" s="14">
        <v>43631</v>
      </c>
      <c r="B2244" s="12">
        <v>2503</v>
      </c>
      <c r="C2244" s="12" t="s">
        <v>22</v>
      </c>
      <c r="D2244" s="12" t="s">
        <v>19</v>
      </c>
      <c r="E2244" s="12">
        <v>-294</v>
      </c>
    </row>
    <row r="2245" spans="1:5">
      <c r="A2245" s="15">
        <v>43632</v>
      </c>
      <c r="B2245" s="13">
        <v>1500</v>
      </c>
      <c r="C2245" s="13" t="s">
        <v>26</v>
      </c>
      <c r="D2245" s="13" t="s">
        <v>19</v>
      </c>
      <c r="E2245" s="13">
        <v>-42039</v>
      </c>
    </row>
    <row r="2246" spans="1:5">
      <c r="A2246" s="14">
        <v>43632</v>
      </c>
      <c r="B2246" s="12">
        <v>2500</v>
      </c>
      <c r="C2246" s="12" t="s">
        <v>25</v>
      </c>
      <c r="D2246" s="12" t="s">
        <v>19</v>
      </c>
      <c r="E2246" s="12">
        <v>-41473</v>
      </c>
    </row>
    <row r="2247" spans="1:5">
      <c r="A2247" s="15">
        <v>43632</v>
      </c>
      <c r="B2247" s="13">
        <v>2502</v>
      </c>
      <c r="C2247" s="13" t="s">
        <v>7</v>
      </c>
      <c r="D2247" s="13" t="s">
        <v>14</v>
      </c>
      <c r="E2247" s="13">
        <v>-5224</v>
      </c>
    </row>
    <row r="2248" spans="1:5">
      <c r="A2248" s="14">
        <v>43632</v>
      </c>
      <c r="B2248" s="12">
        <v>2502</v>
      </c>
      <c r="C2248" s="12" t="s">
        <v>7</v>
      </c>
      <c r="D2248" s="12" t="s">
        <v>6</v>
      </c>
      <c r="E2248" s="12">
        <v>-4335</v>
      </c>
    </row>
    <row r="2249" spans="1:5">
      <c r="A2249" s="15">
        <v>43632</v>
      </c>
      <c r="B2249" s="13">
        <v>2505</v>
      </c>
      <c r="C2249" s="13" t="s">
        <v>9</v>
      </c>
      <c r="D2249" s="13" t="s">
        <v>10</v>
      </c>
      <c r="E2249" s="13">
        <v>-561</v>
      </c>
    </row>
    <row r="2250" spans="1:5">
      <c r="A2250" s="14">
        <v>43632</v>
      </c>
      <c r="B2250" s="12">
        <v>2506</v>
      </c>
      <c r="C2250" s="12" t="s">
        <v>27</v>
      </c>
      <c r="D2250" s="12" t="s">
        <v>14</v>
      </c>
      <c r="E2250" s="12">
        <v>-515</v>
      </c>
    </row>
    <row r="2251" spans="1:5">
      <c r="A2251" s="15">
        <v>43632</v>
      </c>
      <c r="B2251" s="13">
        <v>2508</v>
      </c>
      <c r="C2251" s="13" t="s">
        <v>15</v>
      </c>
      <c r="D2251" s="13" t="s">
        <v>10</v>
      </c>
      <c r="E2251" s="13">
        <v>-54422</v>
      </c>
    </row>
    <row r="2252" spans="1:5">
      <c r="A2252" s="14">
        <v>43632</v>
      </c>
      <c r="B2252" s="12">
        <v>2508</v>
      </c>
      <c r="C2252" s="12" t="s">
        <v>15</v>
      </c>
      <c r="D2252" s="12" t="s">
        <v>12</v>
      </c>
      <c r="E2252" s="12">
        <v>-88796</v>
      </c>
    </row>
    <row r="2253" spans="1:5">
      <c r="A2253" s="15">
        <v>43633</v>
      </c>
      <c r="B2253" s="13">
        <v>2500</v>
      </c>
      <c r="C2253" s="13" t="s">
        <v>25</v>
      </c>
      <c r="D2253" s="13" t="s">
        <v>19</v>
      </c>
      <c r="E2253" s="13">
        <v>-39750</v>
      </c>
    </row>
    <row r="2254" spans="1:5">
      <c r="A2254" s="14">
        <v>43633</v>
      </c>
      <c r="B2254" s="12">
        <v>1500</v>
      </c>
      <c r="C2254" s="12" t="s">
        <v>26</v>
      </c>
      <c r="D2254" s="12" t="s">
        <v>19</v>
      </c>
      <c r="E2254" s="12">
        <v>-22229</v>
      </c>
    </row>
    <row r="2255" spans="1:5">
      <c r="A2255" s="15">
        <v>43633</v>
      </c>
      <c r="B2255" s="13">
        <v>2502</v>
      </c>
      <c r="C2255" s="13" t="s">
        <v>7</v>
      </c>
      <c r="D2255" s="13" t="s">
        <v>19</v>
      </c>
      <c r="E2255" s="13">
        <v>-4612</v>
      </c>
    </row>
    <row r="2256" spans="1:5">
      <c r="A2256" s="14">
        <v>43633</v>
      </c>
      <c r="B2256" s="12">
        <v>2512</v>
      </c>
      <c r="C2256" s="12" t="s">
        <v>16</v>
      </c>
      <c r="D2256" s="12" t="s">
        <v>19</v>
      </c>
      <c r="E2256" s="12">
        <v>-3526</v>
      </c>
    </row>
    <row r="2257" spans="1:5">
      <c r="A2257" s="15">
        <v>43633</v>
      </c>
      <c r="B2257" s="13">
        <v>2503</v>
      </c>
      <c r="C2257" s="13" t="s">
        <v>22</v>
      </c>
      <c r="D2257" s="13" t="s">
        <v>14</v>
      </c>
      <c r="E2257" s="13">
        <v>-356</v>
      </c>
    </row>
    <row r="2258" spans="1:5">
      <c r="A2258" s="14">
        <v>43633</v>
      </c>
      <c r="B2258" s="12">
        <v>2503</v>
      </c>
      <c r="C2258" s="12" t="s">
        <v>22</v>
      </c>
      <c r="D2258" s="12" t="s">
        <v>6</v>
      </c>
      <c r="E2258" s="12">
        <v>-420</v>
      </c>
    </row>
    <row r="2259" spans="1:5">
      <c r="A2259" s="15">
        <v>43633</v>
      </c>
      <c r="B2259" s="13">
        <v>2505</v>
      </c>
      <c r="C2259" s="13" t="s">
        <v>9</v>
      </c>
      <c r="D2259" s="13" t="s">
        <v>6</v>
      </c>
      <c r="E2259" s="13">
        <v>-522</v>
      </c>
    </row>
    <row r="2260" spans="1:5">
      <c r="A2260" s="14">
        <v>43633</v>
      </c>
      <c r="B2260" s="12">
        <v>2513</v>
      </c>
      <c r="C2260" s="12" t="s">
        <v>17</v>
      </c>
      <c r="D2260" s="12" t="s">
        <v>13</v>
      </c>
      <c r="E2260" s="12">
        <v>-690</v>
      </c>
    </row>
    <row r="2261" spans="1:5">
      <c r="A2261" s="15">
        <v>43633</v>
      </c>
      <c r="B2261" s="13">
        <v>2513</v>
      </c>
      <c r="C2261" s="13" t="s">
        <v>17</v>
      </c>
      <c r="D2261" s="13" t="s">
        <v>14</v>
      </c>
      <c r="E2261" s="13">
        <v>-953</v>
      </c>
    </row>
    <row r="2262" spans="1:5">
      <c r="A2262" s="14">
        <v>43633</v>
      </c>
      <c r="B2262" s="12">
        <v>2510</v>
      </c>
      <c r="C2262" s="12" t="s">
        <v>24</v>
      </c>
      <c r="D2262" s="12" t="s">
        <v>13</v>
      </c>
      <c r="E2262" s="12">
        <v>-1521</v>
      </c>
    </row>
    <row r="2263" spans="1:5">
      <c r="A2263" s="15">
        <v>43633</v>
      </c>
      <c r="B2263" s="13">
        <v>2504</v>
      </c>
      <c r="C2263" s="13" t="s">
        <v>21</v>
      </c>
      <c r="D2263" s="13" t="s">
        <v>19</v>
      </c>
      <c r="E2263" s="13">
        <v>-1513</v>
      </c>
    </row>
    <row r="2264" spans="1:5">
      <c r="A2264" s="14">
        <v>43633</v>
      </c>
      <c r="B2264" s="12">
        <v>2514</v>
      </c>
      <c r="C2264" s="12" t="s">
        <v>20</v>
      </c>
      <c r="D2264" s="12" t="s">
        <v>19</v>
      </c>
      <c r="E2264" s="12">
        <v>-1124</v>
      </c>
    </row>
    <row r="2265" spans="1:5">
      <c r="A2265" s="15">
        <v>43633</v>
      </c>
      <c r="B2265" s="13">
        <v>2505</v>
      </c>
      <c r="C2265" s="13" t="s">
        <v>9</v>
      </c>
      <c r="D2265" s="13" t="s">
        <v>19</v>
      </c>
      <c r="E2265" s="13">
        <v>-601</v>
      </c>
    </row>
    <row r="2266" spans="1:5">
      <c r="A2266" s="14">
        <v>43633</v>
      </c>
      <c r="B2266" s="12">
        <v>2503</v>
      </c>
      <c r="C2266" s="12" t="s">
        <v>22</v>
      </c>
      <c r="D2266" s="12" t="s">
        <v>19</v>
      </c>
      <c r="E2266" s="12">
        <v>-226</v>
      </c>
    </row>
    <row r="2267" spans="1:5">
      <c r="A2267" s="15">
        <v>43633</v>
      </c>
      <c r="B2267" s="13">
        <v>1000</v>
      </c>
      <c r="C2267" s="13" t="s">
        <v>23</v>
      </c>
      <c r="D2267" s="13" t="s">
        <v>19</v>
      </c>
      <c r="E2267" s="13">
        <v>603107</v>
      </c>
    </row>
    <row r="2268" spans="1:5">
      <c r="A2268" s="14">
        <v>43634</v>
      </c>
      <c r="B2268" s="12">
        <v>2501</v>
      </c>
      <c r="C2268" s="12" t="s">
        <v>5</v>
      </c>
      <c r="D2268" s="12" t="s">
        <v>6</v>
      </c>
      <c r="E2268" s="12">
        <v>-122</v>
      </c>
    </row>
    <row r="2269" spans="1:5">
      <c r="A2269" s="15">
        <v>43634</v>
      </c>
      <c r="B2269" s="13">
        <v>2501</v>
      </c>
      <c r="C2269" s="13" t="s">
        <v>5</v>
      </c>
      <c r="D2269" s="13" t="s">
        <v>8</v>
      </c>
      <c r="E2269" s="13">
        <v>-131</v>
      </c>
    </row>
    <row r="2270" spans="1:5">
      <c r="A2270" s="14">
        <v>43634</v>
      </c>
      <c r="B2270" s="12">
        <v>2502</v>
      </c>
      <c r="C2270" s="12" t="s">
        <v>7</v>
      </c>
      <c r="D2270" s="12" t="s">
        <v>8</v>
      </c>
      <c r="E2270" s="12">
        <v>-7187</v>
      </c>
    </row>
    <row r="2271" spans="1:5">
      <c r="A2271" s="15">
        <v>43634</v>
      </c>
      <c r="B2271" s="13">
        <v>2503</v>
      </c>
      <c r="C2271" s="13" t="s">
        <v>22</v>
      </c>
      <c r="D2271" s="13" t="s">
        <v>8</v>
      </c>
      <c r="E2271" s="13">
        <v>-380</v>
      </c>
    </row>
    <row r="2272" spans="1:5">
      <c r="A2272" s="14">
        <v>43634</v>
      </c>
      <c r="B2272" s="12">
        <v>2505</v>
      </c>
      <c r="C2272" s="12" t="s">
        <v>9</v>
      </c>
      <c r="D2272" s="12" t="s">
        <v>8</v>
      </c>
      <c r="E2272" s="12">
        <v>-664</v>
      </c>
    </row>
    <row r="2273" spans="1:5">
      <c r="A2273" s="15">
        <v>43634</v>
      </c>
      <c r="B2273" s="13">
        <v>2513</v>
      </c>
      <c r="C2273" s="13" t="s">
        <v>17</v>
      </c>
      <c r="D2273" s="13" t="s">
        <v>13</v>
      </c>
      <c r="E2273" s="13">
        <v>-823</v>
      </c>
    </row>
    <row r="2274" spans="1:5">
      <c r="A2274" s="14">
        <v>43634</v>
      </c>
      <c r="B2274" s="12">
        <v>2514</v>
      </c>
      <c r="C2274" s="12" t="s">
        <v>20</v>
      </c>
      <c r="D2274" s="12" t="s">
        <v>13</v>
      </c>
      <c r="E2274" s="12">
        <v>-930</v>
      </c>
    </row>
    <row r="2275" spans="1:5">
      <c r="A2275" s="15">
        <v>43634</v>
      </c>
      <c r="B2275" s="13">
        <v>2514</v>
      </c>
      <c r="C2275" s="13" t="s">
        <v>20</v>
      </c>
      <c r="D2275" s="13" t="s">
        <v>14</v>
      </c>
      <c r="E2275" s="13">
        <v>-1339</v>
      </c>
    </row>
    <row r="2276" spans="1:5">
      <c r="A2276" s="14">
        <v>43634</v>
      </c>
      <c r="B2276" s="12">
        <v>2514</v>
      </c>
      <c r="C2276" s="12" t="s">
        <v>20</v>
      </c>
      <c r="D2276" s="12" t="s">
        <v>14</v>
      </c>
      <c r="E2276" s="12">
        <v>-1398</v>
      </c>
    </row>
    <row r="2277" spans="1:5">
      <c r="A2277" s="15">
        <v>43634</v>
      </c>
      <c r="B2277" s="13">
        <v>2510</v>
      </c>
      <c r="C2277" s="13" t="s">
        <v>24</v>
      </c>
      <c r="D2277" s="13" t="s">
        <v>6</v>
      </c>
      <c r="E2277" s="13">
        <v>-1174</v>
      </c>
    </row>
    <row r="2278" spans="1:5">
      <c r="A2278" s="14">
        <v>43634</v>
      </c>
      <c r="B2278" s="12">
        <v>2510</v>
      </c>
      <c r="C2278" s="12" t="s">
        <v>24</v>
      </c>
      <c r="D2278" s="12" t="s">
        <v>6</v>
      </c>
      <c r="E2278" s="12">
        <v>-1929</v>
      </c>
    </row>
    <row r="2279" spans="1:5">
      <c r="A2279" s="15">
        <v>43634</v>
      </c>
      <c r="B2279" s="13">
        <v>2504</v>
      </c>
      <c r="C2279" s="13" t="s">
        <v>21</v>
      </c>
      <c r="D2279" s="13" t="s">
        <v>19</v>
      </c>
      <c r="E2279" s="13">
        <v>-1107</v>
      </c>
    </row>
    <row r="2280" spans="1:5">
      <c r="A2280" s="14">
        <v>43634</v>
      </c>
      <c r="B2280" s="12">
        <v>2514</v>
      </c>
      <c r="C2280" s="12" t="s">
        <v>20</v>
      </c>
      <c r="D2280" s="12" t="s">
        <v>19</v>
      </c>
      <c r="E2280" s="12">
        <v>-1016</v>
      </c>
    </row>
    <row r="2281" spans="1:5">
      <c r="A2281" s="15">
        <v>43634</v>
      </c>
      <c r="B2281" s="13">
        <v>2510</v>
      </c>
      <c r="C2281" s="13" t="s">
        <v>24</v>
      </c>
      <c r="D2281" s="13" t="s">
        <v>19</v>
      </c>
      <c r="E2281" s="13">
        <v>-668</v>
      </c>
    </row>
    <row r="2282" spans="1:5">
      <c r="A2282" s="14">
        <v>43634</v>
      </c>
      <c r="B2282" s="12">
        <v>2505</v>
      </c>
      <c r="C2282" s="12" t="s">
        <v>9</v>
      </c>
      <c r="D2282" s="12" t="s">
        <v>19</v>
      </c>
      <c r="E2282" s="12">
        <v>-608</v>
      </c>
    </row>
    <row r="2283" spans="1:5">
      <c r="A2283" s="15">
        <v>43634</v>
      </c>
      <c r="B2283" s="13">
        <v>1000</v>
      </c>
      <c r="C2283" s="13" t="s">
        <v>23</v>
      </c>
      <c r="D2283" s="13" t="s">
        <v>19</v>
      </c>
      <c r="E2283" s="13">
        <v>1392572</v>
      </c>
    </row>
    <row r="2284" spans="1:5">
      <c r="A2284" s="14">
        <v>43635</v>
      </c>
      <c r="B2284" s="12">
        <v>2500</v>
      </c>
      <c r="C2284" s="12" t="s">
        <v>25</v>
      </c>
      <c r="D2284" s="12" t="s">
        <v>19</v>
      </c>
      <c r="E2284" s="12">
        <v>-28758</v>
      </c>
    </row>
    <row r="2285" spans="1:5">
      <c r="A2285" s="15">
        <v>43635</v>
      </c>
      <c r="B2285" s="13">
        <v>2512</v>
      </c>
      <c r="C2285" s="13" t="s">
        <v>16</v>
      </c>
      <c r="D2285" s="13" t="s">
        <v>19</v>
      </c>
      <c r="E2285" s="13">
        <v>-9788</v>
      </c>
    </row>
    <row r="2286" spans="1:5">
      <c r="A2286" s="14">
        <v>43635</v>
      </c>
      <c r="B2286" s="12">
        <v>2512</v>
      </c>
      <c r="C2286" s="12" t="s">
        <v>16</v>
      </c>
      <c r="D2286" s="12" t="s">
        <v>19</v>
      </c>
      <c r="E2286" s="12">
        <v>-4614</v>
      </c>
    </row>
    <row r="2287" spans="1:5">
      <c r="A2287" s="15">
        <v>43635</v>
      </c>
      <c r="B2287" s="13">
        <v>2502</v>
      </c>
      <c r="C2287" s="13" t="s">
        <v>7</v>
      </c>
      <c r="D2287" s="13" t="s">
        <v>19</v>
      </c>
      <c r="E2287" s="13">
        <v>-4319</v>
      </c>
    </row>
    <row r="2288" spans="1:5">
      <c r="A2288" s="14">
        <v>43635</v>
      </c>
      <c r="B2288" s="12">
        <v>2502</v>
      </c>
      <c r="C2288" s="12" t="s">
        <v>7</v>
      </c>
      <c r="D2288" s="12" t="s">
        <v>19</v>
      </c>
      <c r="E2288" s="12">
        <v>-3830</v>
      </c>
    </row>
    <row r="2289" spans="1:5">
      <c r="A2289" s="15">
        <v>43635</v>
      </c>
      <c r="B2289" s="13">
        <v>2502</v>
      </c>
      <c r="C2289" s="13" t="s">
        <v>7</v>
      </c>
      <c r="D2289" s="13" t="s">
        <v>14</v>
      </c>
      <c r="E2289" s="13">
        <v>-6167</v>
      </c>
    </row>
    <row r="2290" spans="1:5">
      <c r="A2290" s="14">
        <v>43635</v>
      </c>
      <c r="B2290" s="12">
        <v>2502</v>
      </c>
      <c r="C2290" s="12" t="s">
        <v>7</v>
      </c>
      <c r="D2290" s="12" t="s">
        <v>6</v>
      </c>
      <c r="E2290" s="12">
        <v>-4124</v>
      </c>
    </row>
    <row r="2291" spans="1:5">
      <c r="A2291" s="15">
        <v>43635</v>
      </c>
      <c r="B2291" s="13">
        <v>2505</v>
      </c>
      <c r="C2291" s="13" t="s">
        <v>9</v>
      </c>
      <c r="D2291" s="13" t="s">
        <v>14</v>
      </c>
      <c r="E2291" s="13">
        <v>-746</v>
      </c>
    </row>
    <row r="2292" spans="1:5">
      <c r="A2292" s="14">
        <v>43635</v>
      </c>
      <c r="B2292" s="12">
        <v>2505</v>
      </c>
      <c r="C2292" s="12" t="s">
        <v>9</v>
      </c>
      <c r="D2292" s="12" t="s">
        <v>8</v>
      </c>
      <c r="E2292" s="12">
        <v>-683</v>
      </c>
    </row>
    <row r="2293" spans="1:5">
      <c r="A2293" s="15">
        <v>43635</v>
      </c>
      <c r="B2293" s="13">
        <v>2512</v>
      </c>
      <c r="C2293" s="13" t="s">
        <v>16</v>
      </c>
      <c r="D2293" s="13" t="s">
        <v>10</v>
      </c>
      <c r="E2293" s="13">
        <v>-2629</v>
      </c>
    </row>
    <row r="2294" spans="1:5">
      <c r="A2294" s="14">
        <v>43635</v>
      </c>
      <c r="B2294" s="12">
        <v>2514</v>
      </c>
      <c r="C2294" s="12" t="s">
        <v>20</v>
      </c>
      <c r="D2294" s="12" t="s">
        <v>12</v>
      </c>
      <c r="E2294" s="12">
        <v>-2086</v>
      </c>
    </row>
    <row r="2295" spans="1:5">
      <c r="A2295" s="15">
        <v>43635</v>
      </c>
      <c r="B2295" s="13">
        <v>2514</v>
      </c>
      <c r="C2295" s="13" t="s">
        <v>20</v>
      </c>
      <c r="D2295" s="13" t="s">
        <v>12</v>
      </c>
      <c r="E2295" s="13">
        <v>-2224</v>
      </c>
    </row>
    <row r="2296" spans="1:5">
      <c r="A2296" s="14">
        <v>43635</v>
      </c>
      <c r="B2296" s="12">
        <v>2510</v>
      </c>
      <c r="C2296" s="12" t="s">
        <v>24</v>
      </c>
      <c r="D2296" s="12" t="s">
        <v>19</v>
      </c>
      <c r="E2296" s="12">
        <v>-1390</v>
      </c>
    </row>
    <row r="2297" spans="1:5">
      <c r="A2297" s="15">
        <v>43635</v>
      </c>
      <c r="B2297" s="13">
        <v>2503</v>
      </c>
      <c r="C2297" s="13" t="s">
        <v>22</v>
      </c>
      <c r="D2297" s="13" t="s">
        <v>19</v>
      </c>
      <c r="E2297" s="13">
        <v>-245</v>
      </c>
    </row>
    <row r="2298" spans="1:5">
      <c r="A2298" s="14">
        <v>43636</v>
      </c>
      <c r="B2298" s="12">
        <v>2508</v>
      </c>
      <c r="C2298" s="12" t="s">
        <v>15</v>
      </c>
      <c r="D2298" s="12" t="s">
        <v>19</v>
      </c>
      <c r="E2298" s="12">
        <v>-41594</v>
      </c>
    </row>
    <row r="2299" spans="1:5">
      <c r="A2299" s="15">
        <v>43636</v>
      </c>
      <c r="B2299" s="13">
        <v>2502</v>
      </c>
      <c r="C2299" s="13" t="s">
        <v>7</v>
      </c>
      <c r="D2299" s="13" t="s">
        <v>10</v>
      </c>
      <c r="E2299" s="13">
        <v>-7211</v>
      </c>
    </row>
    <row r="2300" spans="1:5">
      <c r="A2300" s="14">
        <v>43636</v>
      </c>
      <c r="B2300" s="12">
        <v>2505</v>
      </c>
      <c r="C2300" s="12" t="s">
        <v>9</v>
      </c>
      <c r="D2300" s="12" t="s">
        <v>10</v>
      </c>
      <c r="E2300" s="12">
        <v>-593</v>
      </c>
    </row>
    <row r="2301" spans="1:5">
      <c r="A2301" s="15">
        <v>43636</v>
      </c>
      <c r="B2301" s="13">
        <v>2506</v>
      </c>
      <c r="C2301" s="13" t="s">
        <v>27</v>
      </c>
      <c r="D2301" s="13" t="s">
        <v>8</v>
      </c>
      <c r="E2301" s="13">
        <v>-427</v>
      </c>
    </row>
    <row r="2302" spans="1:5">
      <c r="A2302" s="14">
        <v>43636</v>
      </c>
      <c r="B2302" s="12">
        <v>2512</v>
      </c>
      <c r="C2302" s="12" t="s">
        <v>16</v>
      </c>
      <c r="D2302" s="12" t="s">
        <v>14</v>
      </c>
      <c r="E2302" s="12">
        <v>-1621</v>
      </c>
    </row>
    <row r="2303" spans="1:5">
      <c r="A2303" s="15">
        <v>43636</v>
      </c>
      <c r="B2303" s="13">
        <v>2512</v>
      </c>
      <c r="C2303" s="13" t="s">
        <v>16</v>
      </c>
      <c r="D2303" s="13" t="s">
        <v>6</v>
      </c>
      <c r="E2303" s="13">
        <v>-4449</v>
      </c>
    </row>
    <row r="2304" spans="1:5">
      <c r="A2304" s="14">
        <v>43636</v>
      </c>
      <c r="B2304" s="12">
        <v>2512</v>
      </c>
      <c r="C2304" s="12" t="s">
        <v>16</v>
      </c>
      <c r="D2304" s="12" t="s">
        <v>13</v>
      </c>
      <c r="E2304" s="12">
        <v>-571</v>
      </c>
    </row>
    <row r="2305" spans="1:5">
      <c r="A2305" s="15">
        <v>43636</v>
      </c>
      <c r="B2305" s="13">
        <v>2513</v>
      </c>
      <c r="C2305" s="13" t="s">
        <v>17</v>
      </c>
      <c r="D2305" s="13" t="s">
        <v>10</v>
      </c>
      <c r="E2305" s="13">
        <v>-1048</v>
      </c>
    </row>
    <row r="2306" spans="1:5">
      <c r="A2306" s="14">
        <v>43636</v>
      </c>
      <c r="B2306" s="12">
        <v>2514</v>
      </c>
      <c r="C2306" s="12" t="s">
        <v>20</v>
      </c>
      <c r="D2306" s="12" t="s">
        <v>19</v>
      </c>
      <c r="E2306" s="12">
        <v>-1127</v>
      </c>
    </row>
    <row r="2307" spans="1:5">
      <c r="A2307" s="15">
        <v>43636</v>
      </c>
      <c r="B2307" s="13">
        <v>2510</v>
      </c>
      <c r="C2307" s="13" t="s">
        <v>24</v>
      </c>
      <c r="D2307" s="13" t="s">
        <v>19</v>
      </c>
      <c r="E2307" s="13">
        <v>-945</v>
      </c>
    </row>
    <row r="2308" spans="1:5">
      <c r="A2308" s="14">
        <v>43636</v>
      </c>
      <c r="B2308" s="12">
        <v>2505</v>
      </c>
      <c r="C2308" s="12" t="s">
        <v>9</v>
      </c>
      <c r="D2308" s="12" t="s">
        <v>19</v>
      </c>
      <c r="E2308" s="12">
        <v>-588</v>
      </c>
    </row>
    <row r="2309" spans="1:5">
      <c r="A2309" s="15">
        <v>43636</v>
      </c>
      <c r="B2309" s="13">
        <v>2510</v>
      </c>
      <c r="C2309" s="13" t="s">
        <v>24</v>
      </c>
      <c r="D2309" s="13" t="s">
        <v>19</v>
      </c>
      <c r="E2309" s="13">
        <v>-571</v>
      </c>
    </row>
    <row r="2310" spans="1:5">
      <c r="A2310" s="14">
        <v>43636</v>
      </c>
      <c r="B2310" s="12">
        <v>2505</v>
      </c>
      <c r="C2310" s="12" t="s">
        <v>9</v>
      </c>
      <c r="D2310" s="12" t="s">
        <v>19</v>
      </c>
      <c r="E2310" s="12">
        <v>-481</v>
      </c>
    </row>
    <row r="2311" spans="1:5">
      <c r="A2311" s="15">
        <v>43636</v>
      </c>
      <c r="B2311" s="13">
        <v>2505</v>
      </c>
      <c r="C2311" s="13" t="s">
        <v>9</v>
      </c>
      <c r="D2311" s="13" t="s">
        <v>19</v>
      </c>
      <c r="E2311" s="13">
        <v>-442</v>
      </c>
    </row>
    <row r="2312" spans="1:5">
      <c r="A2312" s="14">
        <v>43636</v>
      </c>
      <c r="B2312" s="12">
        <v>2505</v>
      </c>
      <c r="C2312" s="12" t="s">
        <v>9</v>
      </c>
      <c r="D2312" s="12" t="s">
        <v>19</v>
      </c>
      <c r="E2312" s="12">
        <v>-286</v>
      </c>
    </row>
    <row r="2313" spans="1:5">
      <c r="A2313" s="15">
        <v>43636</v>
      </c>
      <c r="B2313" s="13">
        <v>2503</v>
      </c>
      <c r="C2313" s="13" t="s">
        <v>22</v>
      </c>
      <c r="D2313" s="13" t="s">
        <v>19</v>
      </c>
      <c r="E2313" s="13">
        <v>-263</v>
      </c>
    </row>
    <row r="2314" spans="1:5">
      <c r="A2314" s="14">
        <v>43636</v>
      </c>
      <c r="B2314" s="12">
        <v>2503</v>
      </c>
      <c r="C2314" s="12" t="s">
        <v>22</v>
      </c>
      <c r="D2314" s="12" t="s">
        <v>19</v>
      </c>
      <c r="E2314" s="12">
        <v>-229</v>
      </c>
    </row>
    <row r="2315" spans="1:5">
      <c r="A2315" s="15">
        <v>43637</v>
      </c>
      <c r="B2315" s="13">
        <v>2000</v>
      </c>
      <c r="C2315" s="13" t="s">
        <v>18</v>
      </c>
      <c r="D2315" s="13" t="s">
        <v>19</v>
      </c>
      <c r="E2315" s="13">
        <v>-212138</v>
      </c>
    </row>
    <row r="2316" spans="1:5">
      <c r="A2316" s="14">
        <v>43637</v>
      </c>
      <c r="B2316" s="12">
        <v>2512</v>
      </c>
      <c r="C2316" s="12" t="s">
        <v>16</v>
      </c>
      <c r="D2316" s="12" t="s">
        <v>19</v>
      </c>
      <c r="E2316" s="12">
        <v>-9977</v>
      </c>
    </row>
    <row r="2317" spans="1:5">
      <c r="A2317" s="15">
        <v>43637</v>
      </c>
      <c r="B2317" s="13">
        <v>2501</v>
      </c>
      <c r="C2317" s="13" t="s">
        <v>5</v>
      </c>
      <c r="D2317" s="13" t="s">
        <v>13</v>
      </c>
      <c r="E2317" s="13">
        <v>-128</v>
      </c>
    </row>
    <row r="2318" spans="1:5">
      <c r="A2318" s="14">
        <v>43637</v>
      </c>
      <c r="B2318" s="12">
        <v>2501</v>
      </c>
      <c r="C2318" s="12" t="s">
        <v>5</v>
      </c>
      <c r="D2318" s="12" t="s">
        <v>10</v>
      </c>
      <c r="E2318" s="12">
        <v>-174</v>
      </c>
    </row>
    <row r="2319" spans="1:5">
      <c r="A2319" s="15">
        <v>43637</v>
      </c>
      <c r="B2319" s="13">
        <v>2501</v>
      </c>
      <c r="C2319" s="13" t="s">
        <v>5</v>
      </c>
      <c r="D2319" s="13" t="s">
        <v>13</v>
      </c>
      <c r="E2319" s="13">
        <v>-103</v>
      </c>
    </row>
    <row r="2320" spans="1:5">
      <c r="A2320" s="14">
        <v>43637</v>
      </c>
      <c r="B2320" s="12">
        <v>2512</v>
      </c>
      <c r="C2320" s="12" t="s">
        <v>16</v>
      </c>
      <c r="D2320" s="12" t="s">
        <v>10</v>
      </c>
      <c r="E2320" s="12">
        <v>-4815</v>
      </c>
    </row>
    <row r="2321" spans="1:5">
      <c r="A2321" s="15">
        <v>43637</v>
      </c>
      <c r="B2321" s="13">
        <v>2512</v>
      </c>
      <c r="C2321" s="13" t="s">
        <v>16</v>
      </c>
      <c r="D2321" s="13" t="s">
        <v>12</v>
      </c>
      <c r="E2321" s="13">
        <v>-1225</v>
      </c>
    </row>
    <row r="2322" spans="1:5">
      <c r="A2322" s="14">
        <v>43637</v>
      </c>
      <c r="B2322" s="12">
        <v>2513</v>
      </c>
      <c r="C2322" s="12" t="s">
        <v>17</v>
      </c>
      <c r="D2322" s="12" t="s">
        <v>19</v>
      </c>
      <c r="E2322" s="12">
        <v>-868</v>
      </c>
    </row>
    <row r="2323" spans="1:5">
      <c r="A2323" s="15">
        <v>43637</v>
      </c>
      <c r="B2323" s="13">
        <v>2513</v>
      </c>
      <c r="C2323" s="13" t="s">
        <v>17</v>
      </c>
      <c r="D2323" s="13" t="s">
        <v>19</v>
      </c>
      <c r="E2323" s="13">
        <v>-367</v>
      </c>
    </row>
    <row r="2324" spans="1:5">
      <c r="A2324" s="14">
        <v>43638</v>
      </c>
      <c r="B2324" s="12">
        <v>2000</v>
      </c>
      <c r="C2324" s="12" t="s">
        <v>18</v>
      </c>
      <c r="D2324" s="12" t="s">
        <v>19</v>
      </c>
      <c r="E2324" s="12">
        <v>-202879</v>
      </c>
    </row>
    <row r="2325" spans="1:5">
      <c r="A2325" s="15">
        <v>43638</v>
      </c>
      <c r="B2325" s="13">
        <v>2500</v>
      </c>
      <c r="C2325" s="13" t="s">
        <v>25</v>
      </c>
      <c r="D2325" s="13" t="s">
        <v>19</v>
      </c>
      <c r="E2325" s="13">
        <v>-48367</v>
      </c>
    </row>
    <row r="2326" spans="1:5">
      <c r="A2326" s="14">
        <v>43638</v>
      </c>
      <c r="B2326" s="12">
        <v>1500</v>
      </c>
      <c r="C2326" s="12" t="s">
        <v>26</v>
      </c>
      <c r="D2326" s="12" t="s">
        <v>19</v>
      </c>
      <c r="E2326" s="12">
        <v>-36589</v>
      </c>
    </row>
    <row r="2327" spans="1:5">
      <c r="A2327" s="15">
        <v>43638</v>
      </c>
      <c r="B2327" s="13">
        <v>2512</v>
      </c>
      <c r="C2327" s="13" t="s">
        <v>16</v>
      </c>
      <c r="D2327" s="13" t="s">
        <v>19</v>
      </c>
      <c r="E2327" s="13">
        <v>-6348</v>
      </c>
    </row>
    <row r="2328" spans="1:5">
      <c r="A2328" s="14">
        <v>43638</v>
      </c>
      <c r="B2328" s="12">
        <v>2504</v>
      </c>
      <c r="C2328" s="12" t="s">
        <v>21</v>
      </c>
      <c r="D2328" s="12" t="s">
        <v>19</v>
      </c>
      <c r="E2328" s="12">
        <v>-1482</v>
      </c>
    </row>
    <row r="2329" spans="1:5">
      <c r="A2329" s="15">
        <v>43638</v>
      </c>
      <c r="B2329" s="13">
        <v>2501</v>
      </c>
      <c r="C2329" s="13" t="s">
        <v>5</v>
      </c>
      <c r="D2329" s="13" t="s">
        <v>12</v>
      </c>
      <c r="E2329" s="13">
        <v>-296</v>
      </c>
    </row>
    <row r="2330" spans="1:5">
      <c r="A2330" s="14">
        <v>43638</v>
      </c>
      <c r="B2330" s="12">
        <v>2503</v>
      </c>
      <c r="C2330" s="12" t="s">
        <v>22</v>
      </c>
      <c r="D2330" s="12" t="s">
        <v>8</v>
      </c>
      <c r="E2330" s="12">
        <v>-388</v>
      </c>
    </row>
    <row r="2331" spans="1:5">
      <c r="A2331" s="15">
        <v>43638</v>
      </c>
      <c r="B2331" s="13">
        <v>2505</v>
      </c>
      <c r="C2331" s="13" t="s">
        <v>9</v>
      </c>
      <c r="D2331" s="13" t="s">
        <v>14</v>
      </c>
      <c r="E2331" s="13">
        <v>-699</v>
      </c>
    </row>
    <row r="2332" spans="1:5">
      <c r="A2332" s="14">
        <v>43638</v>
      </c>
      <c r="B2332" s="12">
        <v>2508</v>
      </c>
      <c r="C2332" s="12" t="s">
        <v>15</v>
      </c>
      <c r="D2332" s="12" t="s">
        <v>14</v>
      </c>
      <c r="E2332" s="12">
        <v>-65583</v>
      </c>
    </row>
    <row r="2333" spans="1:5">
      <c r="A2333" s="15">
        <v>43638</v>
      </c>
      <c r="B2333" s="13">
        <v>2512</v>
      </c>
      <c r="C2333" s="13" t="s">
        <v>16</v>
      </c>
      <c r="D2333" s="13" t="s">
        <v>14</v>
      </c>
      <c r="E2333" s="13">
        <v>-1770</v>
      </c>
    </row>
    <row r="2334" spans="1:5">
      <c r="A2334" s="14">
        <v>43638</v>
      </c>
      <c r="B2334" s="12">
        <v>2512</v>
      </c>
      <c r="C2334" s="12" t="s">
        <v>16</v>
      </c>
      <c r="D2334" s="12" t="s">
        <v>13</v>
      </c>
      <c r="E2334" s="12">
        <v>-601</v>
      </c>
    </row>
    <row r="2335" spans="1:5">
      <c r="A2335" s="15">
        <v>43638</v>
      </c>
      <c r="B2335" s="13">
        <v>2513</v>
      </c>
      <c r="C2335" s="13" t="s">
        <v>17</v>
      </c>
      <c r="D2335" s="13" t="s">
        <v>8</v>
      </c>
      <c r="E2335" s="13">
        <v>-575</v>
      </c>
    </row>
    <row r="2336" spans="1:5">
      <c r="A2336" s="14">
        <v>43638</v>
      </c>
      <c r="B2336" s="12">
        <v>2514</v>
      </c>
      <c r="C2336" s="12" t="s">
        <v>20</v>
      </c>
      <c r="D2336" s="12" t="s">
        <v>12</v>
      </c>
      <c r="E2336" s="12">
        <v>-1692</v>
      </c>
    </row>
    <row r="2337" spans="1:5">
      <c r="A2337" s="15">
        <v>43638</v>
      </c>
      <c r="B2337" s="13">
        <v>2514</v>
      </c>
      <c r="C2337" s="13" t="s">
        <v>20</v>
      </c>
      <c r="D2337" s="13" t="s">
        <v>14</v>
      </c>
      <c r="E2337" s="13">
        <v>-1270</v>
      </c>
    </row>
    <row r="2338" spans="1:5">
      <c r="A2338" s="14">
        <v>43638</v>
      </c>
      <c r="B2338" s="12">
        <v>2510</v>
      </c>
      <c r="C2338" s="12" t="s">
        <v>24</v>
      </c>
      <c r="D2338" s="12" t="s">
        <v>10</v>
      </c>
      <c r="E2338" s="12">
        <v>-1718</v>
      </c>
    </row>
    <row r="2339" spans="1:5">
      <c r="A2339" s="15">
        <v>43638</v>
      </c>
      <c r="B2339" s="13">
        <v>2510</v>
      </c>
      <c r="C2339" s="13" t="s">
        <v>24</v>
      </c>
      <c r="D2339" s="13" t="s">
        <v>13</v>
      </c>
      <c r="E2339" s="13">
        <v>-729</v>
      </c>
    </row>
    <row r="2340" spans="1:5">
      <c r="A2340" s="14">
        <v>43638</v>
      </c>
      <c r="B2340" s="12">
        <v>2514</v>
      </c>
      <c r="C2340" s="12" t="s">
        <v>20</v>
      </c>
      <c r="D2340" s="12" t="s">
        <v>19</v>
      </c>
      <c r="E2340" s="12">
        <v>-1175</v>
      </c>
    </row>
    <row r="2341" spans="1:5">
      <c r="A2341" s="15">
        <v>43639</v>
      </c>
      <c r="B2341" s="13">
        <v>2508</v>
      </c>
      <c r="C2341" s="13" t="s">
        <v>15</v>
      </c>
      <c r="D2341" s="13" t="s">
        <v>19</v>
      </c>
      <c r="E2341" s="13">
        <v>-61184</v>
      </c>
    </row>
    <row r="2342" spans="1:5">
      <c r="A2342" s="14">
        <v>43639</v>
      </c>
      <c r="B2342" s="12">
        <v>2508</v>
      </c>
      <c r="C2342" s="12" t="s">
        <v>15</v>
      </c>
      <c r="D2342" s="12" t="s">
        <v>19</v>
      </c>
      <c r="E2342" s="12">
        <v>-57291</v>
      </c>
    </row>
    <row r="2343" spans="1:5">
      <c r="A2343" s="15">
        <v>43639</v>
      </c>
      <c r="B2343" s="13">
        <v>2502</v>
      </c>
      <c r="C2343" s="13" t="s">
        <v>7</v>
      </c>
      <c r="D2343" s="13" t="s">
        <v>19</v>
      </c>
      <c r="E2343" s="13">
        <v>-5686</v>
      </c>
    </row>
    <row r="2344" spans="1:5">
      <c r="A2344" s="14">
        <v>43639</v>
      </c>
      <c r="B2344" s="12">
        <v>2504</v>
      </c>
      <c r="C2344" s="12" t="s">
        <v>21</v>
      </c>
      <c r="D2344" s="12" t="s">
        <v>19</v>
      </c>
      <c r="E2344" s="12">
        <v>-2296</v>
      </c>
    </row>
    <row r="2345" spans="1:5">
      <c r="A2345" s="15">
        <v>43639</v>
      </c>
      <c r="B2345" s="13">
        <v>2504</v>
      </c>
      <c r="C2345" s="13" t="s">
        <v>21</v>
      </c>
      <c r="D2345" s="13" t="s">
        <v>19</v>
      </c>
      <c r="E2345" s="13">
        <v>-2250</v>
      </c>
    </row>
    <row r="2346" spans="1:5">
      <c r="A2346" s="14">
        <v>43639</v>
      </c>
      <c r="B2346" s="12">
        <v>2502</v>
      </c>
      <c r="C2346" s="12" t="s">
        <v>7</v>
      </c>
      <c r="D2346" s="12" t="s">
        <v>13</v>
      </c>
      <c r="E2346" s="12">
        <v>-3973</v>
      </c>
    </row>
    <row r="2347" spans="1:5">
      <c r="A2347" s="15">
        <v>43639</v>
      </c>
      <c r="B2347" s="13">
        <v>2503</v>
      </c>
      <c r="C2347" s="13" t="s">
        <v>22</v>
      </c>
      <c r="D2347" s="13" t="s">
        <v>13</v>
      </c>
      <c r="E2347" s="13">
        <v>-277</v>
      </c>
    </row>
    <row r="2348" spans="1:5">
      <c r="A2348" s="14">
        <v>43639</v>
      </c>
      <c r="B2348" s="12">
        <v>2503</v>
      </c>
      <c r="C2348" s="12" t="s">
        <v>22</v>
      </c>
      <c r="D2348" s="12" t="s">
        <v>13</v>
      </c>
      <c r="E2348" s="12">
        <v>-312</v>
      </c>
    </row>
    <row r="2349" spans="1:5">
      <c r="A2349" s="15">
        <v>43639</v>
      </c>
      <c r="B2349" s="13">
        <v>2506</v>
      </c>
      <c r="C2349" s="13" t="s">
        <v>27</v>
      </c>
      <c r="D2349" s="13" t="s">
        <v>14</v>
      </c>
      <c r="E2349" s="13">
        <v>-689</v>
      </c>
    </row>
    <row r="2350" spans="1:5">
      <c r="A2350" s="14">
        <v>43639</v>
      </c>
      <c r="B2350" s="12">
        <v>2508</v>
      </c>
      <c r="C2350" s="12" t="s">
        <v>15</v>
      </c>
      <c r="D2350" s="12" t="s">
        <v>13</v>
      </c>
      <c r="E2350" s="12">
        <v>-44244</v>
      </c>
    </row>
    <row r="2351" spans="1:5">
      <c r="A2351" s="15">
        <v>43639</v>
      </c>
      <c r="B2351" s="13">
        <v>2513</v>
      </c>
      <c r="C2351" s="13" t="s">
        <v>17</v>
      </c>
      <c r="D2351" s="13" t="s">
        <v>14</v>
      </c>
      <c r="E2351" s="13">
        <v>-750</v>
      </c>
    </row>
    <row r="2352" spans="1:5">
      <c r="A2352" s="14">
        <v>43639</v>
      </c>
      <c r="B2352" s="12">
        <v>2510</v>
      </c>
      <c r="C2352" s="12" t="s">
        <v>24</v>
      </c>
      <c r="D2352" s="12" t="s">
        <v>12</v>
      </c>
      <c r="E2352" s="12">
        <v>-2255</v>
      </c>
    </row>
    <row r="2353" spans="1:5">
      <c r="A2353" s="15">
        <v>43639</v>
      </c>
      <c r="B2353" s="13">
        <v>2510</v>
      </c>
      <c r="C2353" s="13" t="s">
        <v>24</v>
      </c>
      <c r="D2353" s="13" t="s">
        <v>14</v>
      </c>
      <c r="E2353" s="13">
        <v>-1006</v>
      </c>
    </row>
    <row r="2354" spans="1:5">
      <c r="A2354" s="14">
        <v>43639</v>
      </c>
      <c r="B2354" s="12">
        <v>2503</v>
      </c>
      <c r="C2354" s="12" t="s">
        <v>22</v>
      </c>
      <c r="D2354" s="12" t="s">
        <v>19</v>
      </c>
      <c r="E2354" s="12">
        <v>-221</v>
      </c>
    </row>
    <row r="2355" spans="1:5">
      <c r="A2355" s="15">
        <v>43639</v>
      </c>
      <c r="B2355" s="13">
        <v>2501</v>
      </c>
      <c r="C2355" s="13" t="s">
        <v>5</v>
      </c>
      <c r="D2355" s="13" t="s">
        <v>19</v>
      </c>
      <c r="E2355" s="13">
        <v>-97</v>
      </c>
    </row>
    <row r="2356" spans="1:5">
      <c r="A2356" s="14">
        <v>43640</v>
      </c>
      <c r="B2356" s="12">
        <v>2000</v>
      </c>
      <c r="C2356" s="12" t="s">
        <v>18</v>
      </c>
      <c r="D2356" s="12" t="s">
        <v>19</v>
      </c>
      <c r="E2356" s="12">
        <v>-132946</v>
      </c>
    </row>
    <row r="2357" spans="1:5">
      <c r="A2357" s="15">
        <v>43640</v>
      </c>
      <c r="B2357" s="13">
        <v>2512</v>
      </c>
      <c r="C2357" s="13" t="s">
        <v>16</v>
      </c>
      <c r="D2357" s="13" t="s">
        <v>19</v>
      </c>
      <c r="E2357" s="13">
        <v>-9290</v>
      </c>
    </row>
    <row r="2358" spans="1:5">
      <c r="A2358" s="14">
        <v>43640</v>
      </c>
      <c r="B2358" s="12">
        <v>2503</v>
      </c>
      <c r="C2358" s="12" t="s">
        <v>22</v>
      </c>
      <c r="D2358" s="12" t="s">
        <v>10</v>
      </c>
      <c r="E2358" s="12">
        <v>-285</v>
      </c>
    </row>
    <row r="2359" spans="1:5">
      <c r="A2359" s="15">
        <v>43640</v>
      </c>
      <c r="B2359" s="13">
        <v>2508</v>
      </c>
      <c r="C2359" s="13" t="s">
        <v>15</v>
      </c>
      <c r="D2359" s="13" t="s">
        <v>8</v>
      </c>
      <c r="E2359" s="13">
        <v>-58370</v>
      </c>
    </row>
    <row r="2360" spans="1:5">
      <c r="A2360" s="14">
        <v>43640</v>
      </c>
      <c r="B2360" s="12">
        <v>2514</v>
      </c>
      <c r="C2360" s="12" t="s">
        <v>20</v>
      </c>
      <c r="D2360" s="12" t="s">
        <v>8</v>
      </c>
      <c r="E2360" s="12">
        <v>-1423</v>
      </c>
    </row>
    <row r="2361" spans="1:5">
      <c r="A2361" s="15">
        <v>43640</v>
      </c>
      <c r="B2361" s="13">
        <v>2514</v>
      </c>
      <c r="C2361" s="13" t="s">
        <v>20</v>
      </c>
      <c r="D2361" s="13" t="s">
        <v>14</v>
      </c>
      <c r="E2361" s="13">
        <v>-1115</v>
      </c>
    </row>
    <row r="2362" spans="1:5">
      <c r="A2362" s="14">
        <v>43640</v>
      </c>
      <c r="B2362" s="12">
        <v>2504</v>
      </c>
      <c r="C2362" s="12" t="s">
        <v>21</v>
      </c>
      <c r="D2362" s="12" t="s">
        <v>19</v>
      </c>
      <c r="E2362" s="12">
        <v>-1207</v>
      </c>
    </row>
    <row r="2363" spans="1:5">
      <c r="A2363" s="15">
        <v>43640</v>
      </c>
      <c r="B2363" s="13">
        <v>2514</v>
      </c>
      <c r="C2363" s="13" t="s">
        <v>20</v>
      </c>
      <c r="D2363" s="13" t="s">
        <v>19</v>
      </c>
      <c r="E2363" s="13">
        <v>-787</v>
      </c>
    </row>
    <row r="2364" spans="1:5">
      <c r="A2364" s="14">
        <v>43640</v>
      </c>
      <c r="B2364" s="12">
        <v>2505</v>
      </c>
      <c r="C2364" s="12" t="s">
        <v>9</v>
      </c>
      <c r="D2364" s="12" t="s">
        <v>19</v>
      </c>
      <c r="E2364" s="12">
        <v>-405</v>
      </c>
    </row>
    <row r="2365" spans="1:5">
      <c r="A2365" s="15">
        <v>43640</v>
      </c>
      <c r="B2365" s="13">
        <v>2501</v>
      </c>
      <c r="C2365" s="13" t="s">
        <v>5</v>
      </c>
      <c r="D2365" s="13" t="s">
        <v>19</v>
      </c>
      <c r="E2365" s="13">
        <v>-107</v>
      </c>
    </row>
    <row r="2366" spans="1:5">
      <c r="A2366" s="14">
        <v>43640</v>
      </c>
      <c r="B2366" s="12">
        <v>2501</v>
      </c>
      <c r="C2366" s="12" t="s">
        <v>5</v>
      </c>
      <c r="D2366" s="12" t="s">
        <v>19</v>
      </c>
      <c r="E2366" s="12">
        <v>-105</v>
      </c>
    </row>
    <row r="2367" spans="1:5">
      <c r="A2367" s="15">
        <v>43641</v>
      </c>
      <c r="B2367" s="13">
        <v>2512</v>
      </c>
      <c r="C2367" s="13" t="s">
        <v>16</v>
      </c>
      <c r="D2367" s="13" t="s">
        <v>19</v>
      </c>
      <c r="E2367" s="13">
        <v>-7448</v>
      </c>
    </row>
    <row r="2368" spans="1:5">
      <c r="A2368" s="14">
        <v>43641</v>
      </c>
      <c r="B2368" s="12">
        <v>2512</v>
      </c>
      <c r="C2368" s="12" t="s">
        <v>16</v>
      </c>
      <c r="D2368" s="12" t="s">
        <v>19</v>
      </c>
      <c r="E2368" s="12">
        <v>-6500</v>
      </c>
    </row>
    <row r="2369" spans="1:5">
      <c r="A2369" s="15">
        <v>43641</v>
      </c>
      <c r="B2369" s="13">
        <v>2504</v>
      </c>
      <c r="C2369" s="13" t="s">
        <v>21</v>
      </c>
      <c r="D2369" s="13" t="s">
        <v>19</v>
      </c>
      <c r="E2369" s="13">
        <v>-2382</v>
      </c>
    </row>
    <row r="2370" spans="1:5">
      <c r="A2370" s="14">
        <v>43641</v>
      </c>
      <c r="B2370" s="12">
        <v>2501</v>
      </c>
      <c r="C2370" s="12" t="s">
        <v>5</v>
      </c>
      <c r="D2370" s="12" t="s">
        <v>14</v>
      </c>
      <c r="E2370" s="12">
        <v>-162</v>
      </c>
    </row>
    <row r="2371" spans="1:5">
      <c r="A2371" s="15">
        <v>43641</v>
      </c>
      <c r="B2371" s="13">
        <v>2502</v>
      </c>
      <c r="C2371" s="13" t="s">
        <v>7</v>
      </c>
      <c r="D2371" s="13" t="s">
        <v>14</v>
      </c>
      <c r="E2371" s="13">
        <v>-3774</v>
      </c>
    </row>
    <row r="2372" spans="1:5">
      <c r="A2372" s="14">
        <v>43641</v>
      </c>
      <c r="B2372" s="12">
        <v>2502</v>
      </c>
      <c r="C2372" s="12" t="s">
        <v>7</v>
      </c>
      <c r="D2372" s="12" t="s">
        <v>6</v>
      </c>
      <c r="E2372" s="12">
        <v>-3200</v>
      </c>
    </row>
    <row r="2373" spans="1:5">
      <c r="A2373" s="15">
        <v>43641</v>
      </c>
      <c r="B2373" s="13">
        <v>2505</v>
      </c>
      <c r="C2373" s="13" t="s">
        <v>9</v>
      </c>
      <c r="D2373" s="13" t="s">
        <v>6</v>
      </c>
      <c r="E2373" s="13">
        <v>-764</v>
      </c>
    </row>
    <row r="2374" spans="1:5">
      <c r="A2374" s="14">
        <v>43641</v>
      </c>
      <c r="B2374" s="12">
        <v>2512</v>
      </c>
      <c r="C2374" s="12" t="s">
        <v>16</v>
      </c>
      <c r="D2374" s="12" t="s">
        <v>8</v>
      </c>
      <c r="E2374" s="12">
        <v>-1717</v>
      </c>
    </row>
    <row r="2375" spans="1:5">
      <c r="A2375" s="15">
        <v>43641</v>
      </c>
      <c r="B2375" s="13">
        <v>2513</v>
      </c>
      <c r="C2375" s="13" t="s">
        <v>17</v>
      </c>
      <c r="D2375" s="13" t="s">
        <v>14</v>
      </c>
      <c r="E2375" s="13">
        <v>-769</v>
      </c>
    </row>
    <row r="2376" spans="1:5">
      <c r="A2376" s="14">
        <v>43642</v>
      </c>
      <c r="B2376" s="12">
        <v>2000</v>
      </c>
      <c r="C2376" s="12" t="s">
        <v>18</v>
      </c>
      <c r="D2376" s="12" t="s">
        <v>19</v>
      </c>
      <c r="E2376" s="12">
        <v>-213795</v>
      </c>
    </row>
    <row r="2377" spans="1:5">
      <c r="A2377" s="15">
        <v>43642</v>
      </c>
      <c r="B2377" s="13">
        <v>2508</v>
      </c>
      <c r="C2377" s="13" t="s">
        <v>15</v>
      </c>
      <c r="D2377" s="13" t="s">
        <v>19</v>
      </c>
      <c r="E2377" s="13">
        <v>-59487</v>
      </c>
    </row>
    <row r="2378" spans="1:5">
      <c r="A2378" s="14">
        <v>43642</v>
      </c>
      <c r="B2378" s="12">
        <v>2512</v>
      </c>
      <c r="C2378" s="12" t="s">
        <v>16</v>
      </c>
      <c r="D2378" s="12" t="s">
        <v>19</v>
      </c>
      <c r="E2378" s="12">
        <v>-11163</v>
      </c>
    </row>
    <row r="2379" spans="1:5">
      <c r="A2379" s="15">
        <v>43642</v>
      </c>
      <c r="B2379" s="13">
        <v>2504</v>
      </c>
      <c r="C2379" s="13" t="s">
        <v>21</v>
      </c>
      <c r="D2379" s="13" t="s">
        <v>19</v>
      </c>
      <c r="E2379" s="13">
        <v>-1481</v>
      </c>
    </row>
    <row r="2380" spans="1:5">
      <c r="A2380" s="14">
        <v>43642</v>
      </c>
      <c r="B2380" s="12">
        <v>2502</v>
      </c>
      <c r="C2380" s="12" t="s">
        <v>7</v>
      </c>
      <c r="D2380" s="12" t="s">
        <v>8</v>
      </c>
      <c r="E2380" s="12">
        <v>-7453</v>
      </c>
    </row>
    <row r="2381" spans="1:5">
      <c r="A2381" s="15">
        <v>43642</v>
      </c>
      <c r="B2381" s="13">
        <v>2503</v>
      </c>
      <c r="C2381" s="13" t="s">
        <v>22</v>
      </c>
      <c r="D2381" s="13" t="s">
        <v>6</v>
      </c>
      <c r="E2381" s="13">
        <v>-328</v>
      </c>
    </row>
    <row r="2382" spans="1:5">
      <c r="A2382" s="14">
        <v>43642</v>
      </c>
      <c r="B2382" s="12">
        <v>2505</v>
      </c>
      <c r="C2382" s="12" t="s">
        <v>9</v>
      </c>
      <c r="D2382" s="12" t="s">
        <v>10</v>
      </c>
      <c r="E2382" s="12">
        <v>-477</v>
      </c>
    </row>
    <row r="2383" spans="1:5">
      <c r="A2383" s="15">
        <v>43642</v>
      </c>
      <c r="B2383" s="13">
        <v>2505</v>
      </c>
      <c r="C2383" s="13" t="s">
        <v>9</v>
      </c>
      <c r="D2383" s="13" t="s">
        <v>14</v>
      </c>
      <c r="E2383" s="13">
        <v>-632</v>
      </c>
    </row>
    <row r="2384" spans="1:5">
      <c r="A2384" s="14">
        <v>43642</v>
      </c>
      <c r="B2384" s="12">
        <v>2506</v>
      </c>
      <c r="C2384" s="12" t="s">
        <v>27</v>
      </c>
      <c r="D2384" s="12" t="s">
        <v>8</v>
      </c>
      <c r="E2384" s="12">
        <v>-623</v>
      </c>
    </row>
    <row r="2385" spans="1:5">
      <c r="A2385" s="15">
        <v>43642</v>
      </c>
      <c r="B2385" s="13">
        <v>2510</v>
      </c>
      <c r="C2385" s="13" t="s">
        <v>24</v>
      </c>
      <c r="D2385" s="13" t="s">
        <v>13</v>
      </c>
      <c r="E2385" s="13">
        <v>-1287</v>
      </c>
    </row>
    <row r="2386" spans="1:5">
      <c r="A2386" s="14">
        <v>43642</v>
      </c>
      <c r="B2386" s="12">
        <v>2503</v>
      </c>
      <c r="C2386" s="12" t="s">
        <v>22</v>
      </c>
      <c r="D2386" s="12" t="s">
        <v>19</v>
      </c>
      <c r="E2386" s="12">
        <v>-228</v>
      </c>
    </row>
    <row r="2387" spans="1:5">
      <c r="A2387" s="15">
        <v>43643</v>
      </c>
      <c r="B2387" s="13">
        <v>1500</v>
      </c>
      <c r="C2387" s="13" t="s">
        <v>26</v>
      </c>
      <c r="D2387" s="13" t="s">
        <v>19</v>
      </c>
      <c r="E2387" s="13">
        <v>-35652</v>
      </c>
    </row>
    <row r="2388" spans="1:5">
      <c r="A2388" s="14">
        <v>43643</v>
      </c>
      <c r="B2388" s="12">
        <v>2512</v>
      </c>
      <c r="C2388" s="12" t="s">
        <v>16</v>
      </c>
      <c r="D2388" s="12" t="s">
        <v>19</v>
      </c>
      <c r="E2388" s="12">
        <v>-8762</v>
      </c>
    </row>
    <row r="2389" spans="1:5">
      <c r="A2389" s="15">
        <v>43643</v>
      </c>
      <c r="B2389" s="13">
        <v>2504</v>
      </c>
      <c r="C2389" s="13" t="s">
        <v>21</v>
      </c>
      <c r="D2389" s="13" t="s">
        <v>19</v>
      </c>
      <c r="E2389" s="13">
        <v>-2320</v>
      </c>
    </row>
    <row r="2390" spans="1:5">
      <c r="A2390" s="14">
        <v>43643</v>
      </c>
      <c r="B2390" s="12">
        <v>2504</v>
      </c>
      <c r="C2390" s="12" t="s">
        <v>21</v>
      </c>
      <c r="D2390" s="12" t="s">
        <v>19</v>
      </c>
      <c r="E2390" s="12">
        <v>-1596</v>
      </c>
    </row>
    <row r="2391" spans="1:5">
      <c r="A2391" s="15">
        <v>43643</v>
      </c>
      <c r="B2391" s="13">
        <v>2503</v>
      </c>
      <c r="C2391" s="13" t="s">
        <v>22</v>
      </c>
      <c r="D2391" s="13" t="s">
        <v>13</v>
      </c>
      <c r="E2391" s="13">
        <v>-245</v>
      </c>
    </row>
    <row r="2392" spans="1:5">
      <c r="A2392" s="14">
        <v>43643</v>
      </c>
      <c r="B2392" s="12">
        <v>2513</v>
      </c>
      <c r="C2392" s="12" t="s">
        <v>17</v>
      </c>
      <c r="D2392" s="12" t="s">
        <v>14</v>
      </c>
      <c r="E2392" s="12">
        <v>-595</v>
      </c>
    </row>
    <row r="2393" spans="1:5">
      <c r="A2393" s="15">
        <v>43643</v>
      </c>
      <c r="B2393" s="13">
        <v>2510</v>
      </c>
      <c r="C2393" s="13" t="s">
        <v>24</v>
      </c>
      <c r="D2393" s="13" t="s">
        <v>10</v>
      </c>
      <c r="E2393" s="13">
        <v>-1099</v>
      </c>
    </row>
    <row r="2394" spans="1:5">
      <c r="A2394" s="14">
        <v>43643</v>
      </c>
      <c r="B2394" s="12">
        <v>2505</v>
      </c>
      <c r="C2394" s="12" t="s">
        <v>9</v>
      </c>
      <c r="D2394" s="12" t="s">
        <v>19</v>
      </c>
      <c r="E2394" s="12">
        <v>-604</v>
      </c>
    </row>
    <row r="2395" spans="1:5">
      <c r="A2395" s="15">
        <v>43643</v>
      </c>
      <c r="B2395" s="13">
        <v>2513</v>
      </c>
      <c r="C2395" s="13" t="s">
        <v>17</v>
      </c>
      <c r="D2395" s="13" t="s">
        <v>19</v>
      </c>
      <c r="E2395" s="13">
        <v>-566</v>
      </c>
    </row>
    <row r="2396" spans="1:5">
      <c r="A2396" s="14">
        <v>43644</v>
      </c>
      <c r="B2396" s="12">
        <v>2000</v>
      </c>
      <c r="C2396" s="12" t="s">
        <v>18</v>
      </c>
      <c r="D2396" s="12" t="s">
        <v>19</v>
      </c>
      <c r="E2396" s="12">
        <v>-198937</v>
      </c>
    </row>
    <row r="2397" spans="1:5">
      <c r="A2397" s="15">
        <v>43644</v>
      </c>
      <c r="B2397" s="13">
        <v>1500</v>
      </c>
      <c r="C2397" s="13" t="s">
        <v>26</v>
      </c>
      <c r="D2397" s="13" t="s">
        <v>19</v>
      </c>
      <c r="E2397" s="13">
        <v>-29004</v>
      </c>
    </row>
    <row r="2398" spans="1:5">
      <c r="A2398" s="14">
        <v>43644</v>
      </c>
      <c r="B2398" s="12">
        <v>2502</v>
      </c>
      <c r="C2398" s="12" t="s">
        <v>7</v>
      </c>
      <c r="D2398" s="12" t="s">
        <v>19</v>
      </c>
      <c r="E2398" s="12">
        <v>-4726</v>
      </c>
    </row>
    <row r="2399" spans="1:5">
      <c r="A2399" s="15">
        <v>43644</v>
      </c>
      <c r="B2399" s="13">
        <v>2502</v>
      </c>
      <c r="C2399" s="13" t="s">
        <v>7</v>
      </c>
      <c r="D2399" s="13" t="s">
        <v>19</v>
      </c>
      <c r="E2399" s="13">
        <v>-4700</v>
      </c>
    </row>
    <row r="2400" spans="1:5">
      <c r="A2400" s="14">
        <v>43644</v>
      </c>
      <c r="B2400" s="12">
        <v>2501</v>
      </c>
      <c r="C2400" s="12" t="s">
        <v>5</v>
      </c>
      <c r="D2400" s="12" t="s">
        <v>12</v>
      </c>
      <c r="E2400" s="12">
        <v>-188</v>
      </c>
    </row>
    <row r="2401" spans="1:5">
      <c r="A2401" s="15">
        <v>43644</v>
      </c>
      <c r="B2401" s="13">
        <v>2502</v>
      </c>
      <c r="C2401" s="13" t="s">
        <v>7</v>
      </c>
      <c r="D2401" s="13" t="s">
        <v>6</v>
      </c>
      <c r="E2401" s="13">
        <v>-5253</v>
      </c>
    </row>
    <row r="2402" spans="1:5">
      <c r="A2402" s="14">
        <v>43644</v>
      </c>
      <c r="B2402" s="12">
        <v>2502</v>
      </c>
      <c r="C2402" s="12" t="s">
        <v>7</v>
      </c>
      <c r="D2402" s="12" t="s">
        <v>13</v>
      </c>
      <c r="E2402" s="12">
        <v>-4948</v>
      </c>
    </row>
    <row r="2403" spans="1:5">
      <c r="A2403" s="15">
        <v>43644</v>
      </c>
      <c r="B2403" s="13">
        <v>2503</v>
      </c>
      <c r="C2403" s="13" t="s">
        <v>22</v>
      </c>
      <c r="D2403" s="13" t="s">
        <v>8</v>
      </c>
      <c r="E2403" s="13">
        <v>-403</v>
      </c>
    </row>
    <row r="2404" spans="1:5">
      <c r="A2404" s="14">
        <v>43644</v>
      </c>
      <c r="B2404" s="12">
        <v>2503</v>
      </c>
      <c r="C2404" s="12" t="s">
        <v>22</v>
      </c>
      <c r="D2404" s="12" t="s">
        <v>12</v>
      </c>
      <c r="E2404" s="12">
        <v>-424</v>
      </c>
    </row>
    <row r="2405" spans="1:5">
      <c r="A2405" s="15">
        <v>43644</v>
      </c>
      <c r="B2405" s="13">
        <v>2508</v>
      </c>
      <c r="C2405" s="13" t="s">
        <v>15</v>
      </c>
      <c r="D2405" s="13" t="s">
        <v>10</v>
      </c>
      <c r="E2405" s="13">
        <v>-68556</v>
      </c>
    </row>
    <row r="2406" spans="1:5">
      <c r="A2406" s="14">
        <v>43644</v>
      </c>
      <c r="B2406" s="12">
        <v>2512</v>
      </c>
      <c r="C2406" s="12" t="s">
        <v>16</v>
      </c>
      <c r="D2406" s="12" t="s">
        <v>14</v>
      </c>
      <c r="E2406" s="12">
        <v>-1997</v>
      </c>
    </row>
    <row r="2407" spans="1:5">
      <c r="A2407" s="15">
        <v>43644</v>
      </c>
      <c r="B2407" s="13">
        <v>2510</v>
      </c>
      <c r="C2407" s="13" t="s">
        <v>24</v>
      </c>
      <c r="D2407" s="13" t="s">
        <v>14</v>
      </c>
      <c r="E2407" s="13">
        <v>-1147</v>
      </c>
    </row>
    <row r="2408" spans="1:5">
      <c r="A2408" s="14">
        <v>43644</v>
      </c>
      <c r="B2408" s="12">
        <v>2510</v>
      </c>
      <c r="C2408" s="12" t="s">
        <v>24</v>
      </c>
      <c r="D2408" s="12" t="s">
        <v>12</v>
      </c>
      <c r="E2408" s="12">
        <v>-2707</v>
      </c>
    </row>
    <row r="2409" spans="1:5">
      <c r="A2409" s="15">
        <v>43644</v>
      </c>
      <c r="B2409" s="13">
        <v>2510</v>
      </c>
      <c r="C2409" s="13" t="s">
        <v>24</v>
      </c>
      <c r="D2409" s="13" t="s">
        <v>19</v>
      </c>
      <c r="E2409" s="13">
        <v>-922</v>
      </c>
    </row>
    <row r="2410" spans="1:5">
      <c r="A2410" s="14">
        <v>43644</v>
      </c>
      <c r="B2410" s="12">
        <v>2510</v>
      </c>
      <c r="C2410" s="12" t="s">
        <v>24</v>
      </c>
      <c r="D2410" s="12" t="s">
        <v>19</v>
      </c>
      <c r="E2410" s="12">
        <v>-875</v>
      </c>
    </row>
    <row r="2411" spans="1:5">
      <c r="A2411" s="15">
        <v>43644</v>
      </c>
      <c r="B2411" s="13">
        <v>2501</v>
      </c>
      <c r="C2411" s="13" t="s">
        <v>5</v>
      </c>
      <c r="D2411" s="13" t="s">
        <v>19</v>
      </c>
      <c r="E2411" s="13">
        <v>-126</v>
      </c>
    </row>
    <row r="2412" spans="1:5">
      <c r="A2412" s="14">
        <v>43644</v>
      </c>
      <c r="B2412" s="12">
        <v>2501</v>
      </c>
      <c r="C2412" s="12" t="s">
        <v>5</v>
      </c>
      <c r="D2412" s="12" t="s">
        <v>19</v>
      </c>
      <c r="E2412" s="12">
        <v>-118</v>
      </c>
    </row>
    <row r="2413" spans="1:5">
      <c r="A2413" s="15">
        <v>43645</v>
      </c>
      <c r="B2413" s="13">
        <v>2502</v>
      </c>
      <c r="C2413" s="13" t="s">
        <v>7</v>
      </c>
      <c r="D2413" s="13" t="s">
        <v>19</v>
      </c>
      <c r="E2413" s="13">
        <v>-5362</v>
      </c>
    </row>
    <row r="2414" spans="1:5">
      <c r="A2414" s="14">
        <v>43645</v>
      </c>
      <c r="B2414" s="12">
        <v>2501</v>
      </c>
      <c r="C2414" s="12" t="s">
        <v>5</v>
      </c>
      <c r="D2414" s="12" t="s">
        <v>8</v>
      </c>
      <c r="E2414" s="12">
        <v>-130</v>
      </c>
    </row>
    <row r="2415" spans="1:5">
      <c r="A2415" s="15">
        <v>43645</v>
      </c>
      <c r="B2415" s="13">
        <v>2503</v>
      </c>
      <c r="C2415" s="13" t="s">
        <v>22</v>
      </c>
      <c r="D2415" s="13" t="s">
        <v>12</v>
      </c>
      <c r="E2415" s="13">
        <v>-480</v>
      </c>
    </row>
    <row r="2416" spans="1:5">
      <c r="A2416" s="14">
        <v>43645</v>
      </c>
      <c r="B2416" s="12">
        <v>2503</v>
      </c>
      <c r="C2416" s="12" t="s">
        <v>22</v>
      </c>
      <c r="D2416" s="12" t="s">
        <v>12</v>
      </c>
      <c r="E2416" s="12">
        <v>-416</v>
      </c>
    </row>
    <row r="2417" spans="1:5">
      <c r="A2417" s="15">
        <v>43645</v>
      </c>
      <c r="B2417" s="13">
        <v>2503</v>
      </c>
      <c r="C2417" s="13" t="s">
        <v>22</v>
      </c>
      <c r="D2417" s="13" t="s">
        <v>8</v>
      </c>
      <c r="E2417" s="13">
        <v>-275</v>
      </c>
    </row>
    <row r="2418" spans="1:5">
      <c r="A2418" s="14">
        <v>43645</v>
      </c>
      <c r="B2418" s="12">
        <v>2513</v>
      </c>
      <c r="C2418" s="12" t="s">
        <v>17</v>
      </c>
      <c r="D2418" s="12" t="s">
        <v>10</v>
      </c>
      <c r="E2418" s="12">
        <v>-983</v>
      </c>
    </row>
    <row r="2419" spans="1:5">
      <c r="A2419" s="15">
        <v>43645</v>
      </c>
      <c r="B2419" s="13">
        <v>2510</v>
      </c>
      <c r="C2419" s="13" t="s">
        <v>24</v>
      </c>
      <c r="D2419" s="13" t="s">
        <v>6</v>
      </c>
      <c r="E2419" s="13">
        <v>-1344</v>
      </c>
    </row>
    <row r="2420" spans="1:5">
      <c r="A2420" s="14">
        <v>43645</v>
      </c>
      <c r="B2420" s="12">
        <v>2514</v>
      </c>
      <c r="C2420" s="12" t="s">
        <v>20</v>
      </c>
      <c r="D2420" s="12" t="s">
        <v>19</v>
      </c>
      <c r="E2420" s="12">
        <v>-1203</v>
      </c>
    </row>
    <row r="2421" spans="1:5">
      <c r="A2421" s="15">
        <v>43645</v>
      </c>
      <c r="B2421" s="13">
        <v>2510</v>
      </c>
      <c r="C2421" s="13" t="s">
        <v>24</v>
      </c>
      <c r="D2421" s="13" t="s">
        <v>19</v>
      </c>
      <c r="E2421" s="13">
        <v>-585</v>
      </c>
    </row>
    <row r="2422" spans="1:5">
      <c r="A2422" s="14">
        <v>43645</v>
      </c>
      <c r="B2422" s="12">
        <v>2503</v>
      </c>
      <c r="C2422" s="12" t="s">
        <v>22</v>
      </c>
      <c r="D2422" s="12" t="s">
        <v>19</v>
      </c>
      <c r="E2422" s="12">
        <v>-276</v>
      </c>
    </row>
    <row r="2423" spans="1:5">
      <c r="A2423" s="15">
        <v>43645</v>
      </c>
      <c r="B2423" s="13">
        <v>2501</v>
      </c>
      <c r="C2423" s="13" t="s">
        <v>5</v>
      </c>
      <c r="D2423" s="13" t="s">
        <v>19</v>
      </c>
      <c r="E2423" s="13">
        <v>-137</v>
      </c>
    </row>
    <row r="2424" spans="1:5">
      <c r="A2424" s="14">
        <v>43645</v>
      </c>
      <c r="B2424" s="12">
        <v>2501</v>
      </c>
      <c r="C2424" s="12" t="s">
        <v>5</v>
      </c>
      <c r="D2424" s="12" t="s">
        <v>19</v>
      </c>
      <c r="E2424" s="12">
        <v>-121</v>
      </c>
    </row>
    <row r="2425" spans="1:5">
      <c r="A2425" s="15">
        <v>43646</v>
      </c>
      <c r="B2425" s="13">
        <v>2500</v>
      </c>
      <c r="C2425" s="13" t="s">
        <v>25</v>
      </c>
      <c r="D2425" s="13" t="s">
        <v>19</v>
      </c>
      <c r="E2425" s="13">
        <v>-53851</v>
      </c>
    </row>
    <row r="2426" spans="1:5">
      <c r="A2426" s="14">
        <v>43646</v>
      </c>
      <c r="B2426" s="12">
        <v>2508</v>
      </c>
      <c r="C2426" s="12" t="s">
        <v>15</v>
      </c>
      <c r="D2426" s="12" t="s">
        <v>19</v>
      </c>
      <c r="E2426" s="12">
        <v>-42821</v>
      </c>
    </row>
    <row r="2427" spans="1:5">
      <c r="A2427" s="15">
        <v>43646</v>
      </c>
      <c r="B2427" s="13">
        <v>2510</v>
      </c>
      <c r="C2427" s="13" t="s">
        <v>24</v>
      </c>
      <c r="D2427" s="13" t="s">
        <v>19</v>
      </c>
      <c r="E2427" s="13">
        <v>-1441</v>
      </c>
    </row>
    <row r="2428" spans="1:5">
      <c r="A2428" s="14">
        <v>43646</v>
      </c>
      <c r="B2428" s="12">
        <v>2501</v>
      </c>
      <c r="C2428" s="12" t="s">
        <v>5</v>
      </c>
      <c r="D2428" s="12" t="s">
        <v>10</v>
      </c>
      <c r="E2428" s="12">
        <v>-103</v>
      </c>
    </row>
    <row r="2429" spans="1:5">
      <c r="A2429" s="15">
        <v>43646</v>
      </c>
      <c r="B2429" s="13">
        <v>2502</v>
      </c>
      <c r="C2429" s="13" t="s">
        <v>7</v>
      </c>
      <c r="D2429" s="13" t="s">
        <v>8</v>
      </c>
      <c r="E2429" s="13">
        <v>-7213</v>
      </c>
    </row>
    <row r="2430" spans="1:5">
      <c r="A2430" s="14">
        <v>43646</v>
      </c>
      <c r="B2430" s="12">
        <v>2513</v>
      </c>
      <c r="C2430" s="12" t="s">
        <v>17</v>
      </c>
      <c r="D2430" s="12" t="s">
        <v>8</v>
      </c>
      <c r="E2430" s="12">
        <v>-693</v>
      </c>
    </row>
    <row r="2431" spans="1:5">
      <c r="A2431" s="15">
        <v>43646</v>
      </c>
      <c r="B2431" s="13">
        <v>2510</v>
      </c>
      <c r="C2431" s="13" t="s">
        <v>24</v>
      </c>
      <c r="D2431" s="13" t="s">
        <v>19</v>
      </c>
      <c r="E2431" s="13">
        <v>-595</v>
      </c>
    </row>
    <row r="2432" spans="1:5">
      <c r="A2432" s="14">
        <v>43646</v>
      </c>
      <c r="B2432" s="12">
        <v>2510</v>
      </c>
      <c r="C2432" s="12" t="s">
        <v>24</v>
      </c>
      <c r="D2432" s="12" t="s">
        <v>19</v>
      </c>
      <c r="E2432" s="12">
        <v>-580</v>
      </c>
    </row>
    <row r="2433" spans="1:5">
      <c r="A2433" s="15">
        <v>43646</v>
      </c>
      <c r="B2433" s="13">
        <v>2505</v>
      </c>
      <c r="C2433" s="13" t="s">
        <v>9</v>
      </c>
      <c r="D2433" s="13" t="s">
        <v>19</v>
      </c>
      <c r="E2433" s="13">
        <v>-531</v>
      </c>
    </row>
    <row r="2434" spans="1:5">
      <c r="A2434" s="14">
        <v>43646</v>
      </c>
      <c r="B2434" s="12">
        <v>2501</v>
      </c>
      <c r="C2434" s="12" t="s">
        <v>5</v>
      </c>
      <c r="D2434" s="12" t="s">
        <v>19</v>
      </c>
      <c r="E2434" s="12">
        <v>-119</v>
      </c>
    </row>
    <row r="2435" spans="1:5">
      <c r="A2435" s="15">
        <v>43646</v>
      </c>
      <c r="B2435" s="13">
        <v>1000</v>
      </c>
      <c r="C2435" s="13" t="s">
        <v>23</v>
      </c>
      <c r="D2435" s="13" t="s">
        <v>19</v>
      </c>
      <c r="E2435" s="13">
        <v>938796</v>
      </c>
    </row>
    <row r="2436" spans="1:5">
      <c r="A2436" s="14">
        <v>43647</v>
      </c>
      <c r="B2436" s="12">
        <v>2000</v>
      </c>
      <c r="C2436" s="12" t="s">
        <v>18</v>
      </c>
      <c r="D2436" s="12" t="s">
        <v>19</v>
      </c>
      <c r="E2436" s="12">
        <v>-272051</v>
      </c>
    </row>
    <row r="2437" spans="1:5">
      <c r="A2437" s="15">
        <v>43647</v>
      </c>
      <c r="B2437" s="13">
        <v>2512</v>
      </c>
      <c r="C2437" s="13" t="s">
        <v>16</v>
      </c>
      <c r="D2437" s="13" t="s">
        <v>19</v>
      </c>
      <c r="E2437" s="13">
        <v>-12330</v>
      </c>
    </row>
    <row r="2438" spans="1:5">
      <c r="A2438" s="14">
        <v>43647</v>
      </c>
      <c r="B2438" s="12">
        <v>2507</v>
      </c>
      <c r="C2438" s="12" t="s">
        <v>11</v>
      </c>
      <c r="D2438" s="12" t="s">
        <v>19</v>
      </c>
      <c r="E2438" s="12">
        <v>-2160</v>
      </c>
    </row>
    <row r="2439" spans="1:5">
      <c r="A2439" s="15">
        <v>43647</v>
      </c>
      <c r="B2439" s="13">
        <v>2501</v>
      </c>
      <c r="C2439" s="13" t="s">
        <v>5</v>
      </c>
      <c r="D2439" s="13" t="s">
        <v>8</v>
      </c>
      <c r="E2439" s="13">
        <v>-95</v>
      </c>
    </row>
    <row r="2440" spans="1:5">
      <c r="A2440" s="14">
        <v>43647</v>
      </c>
      <c r="B2440" s="12">
        <v>2507</v>
      </c>
      <c r="C2440" s="12" t="s">
        <v>11</v>
      </c>
      <c r="D2440" s="12" t="s">
        <v>12</v>
      </c>
      <c r="E2440" s="12">
        <v>-2370</v>
      </c>
    </row>
    <row r="2441" spans="1:5">
      <c r="A2441" s="15">
        <v>43647</v>
      </c>
      <c r="B2441" s="13">
        <v>2507</v>
      </c>
      <c r="C2441" s="13" t="s">
        <v>11</v>
      </c>
      <c r="D2441" s="13" t="s">
        <v>13</v>
      </c>
      <c r="E2441" s="13">
        <v>-2060</v>
      </c>
    </row>
    <row r="2442" spans="1:5">
      <c r="A2442" s="14">
        <v>43647</v>
      </c>
      <c r="B2442" s="12">
        <v>2507</v>
      </c>
      <c r="C2442" s="12" t="s">
        <v>11</v>
      </c>
      <c r="D2442" s="12" t="s">
        <v>8</v>
      </c>
      <c r="E2442" s="12">
        <v>-1980</v>
      </c>
    </row>
    <row r="2443" spans="1:5">
      <c r="A2443" s="15">
        <v>43647</v>
      </c>
      <c r="B2443" s="13">
        <v>2507</v>
      </c>
      <c r="C2443" s="13" t="s">
        <v>11</v>
      </c>
      <c r="D2443" s="13" t="s">
        <v>10</v>
      </c>
      <c r="E2443" s="13">
        <v>-1520</v>
      </c>
    </row>
    <row r="2444" spans="1:5">
      <c r="A2444" s="14">
        <v>43647</v>
      </c>
      <c r="B2444" s="12">
        <v>2507</v>
      </c>
      <c r="C2444" s="12" t="s">
        <v>11</v>
      </c>
      <c r="D2444" s="12" t="s">
        <v>6</v>
      </c>
      <c r="E2444" s="12">
        <v>-1750</v>
      </c>
    </row>
    <row r="2445" spans="1:5">
      <c r="A2445" s="15">
        <v>43647</v>
      </c>
      <c r="B2445" s="13">
        <v>2507</v>
      </c>
      <c r="C2445" s="13" t="s">
        <v>11</v>
      </c>
      <c r="D2445" s="13" t="s">
        <v>14</v>
      </c>
      <c r="E2445" s="13">
        <v>-1120</v>
      </c>
    </row>
    <row r="2446" spans="1:5">
      <c r="A2446" s="14">
        <v>43647</v>
      </c>
      <c r="B2446" s="12">
        <v>2508</v>
      </c>
      <c r="C2446" s="12" t="s">
        <v>15</v>
      </c>
      <c r="D2446" s="12" t="s">
        <v>8</v>
      </c>
      <c r="E2446" s="12">
        <v>-73480</v>
      </c>
    </row>
    <row r="2447" spans="1:5">
      <c r="A2447" s="15">
        <v>43647</v>
      </c>
      <c r="B2447" s="13">
        <v>2508</v>
      </c>
      <c r="C2447" s="13" t="s">
        <v>15</v>
      </c>
      <c r="D2447" s="13" t="s">
        <v>14</v>
      </c>
      <c r="E2447" s="13">
        <v>-75210</v>
      </c>
    </row>
    <row r="2448" spans="1:5">
      <c r="A2448" s="14">
        <v>43647</v>
      </c>
      <c r="B2448" s="12">
        <v>2508</v>
      </c>
      <c r="C2448" s="12" t="s">
        <v>15</v>
      </c>
      <c r="D2448" s="12" t="s">
        <v>8</v>
      </c>
      <c r="E2448" s="12">
        <v>-54378</v>
      </c>
    </row>
    <row r="2449" spans="1:5">
      <c r="A2449" s="15">
        <v>43647</v>
      </c>
      <c r="B2449" s="13">
        <v>2508</v>
      </c>
      <c r="C2449" s="13" t="s">
        <v>15</v>
      </c>
      <c r="D2449" s="13" t="s">
        <v>10</v>
      </c>
      <c r="E2449" s="13">
        <v>-60210</v>
      </c>
    </row>
    <row r="2450" spans="1:5">
      <c r="A2450" s="14">
        <v>43647</v>
      </c>
      <c r="B2450" s="12">
        <v>2514</v>
      </c>
      <c r="C2450" s="12" t="s">
        <v>20</v>
      </c>
      <c r="D2450" s="12" t="s">
        <v>6</v>
      </c>
      <c r="E2450" s="12">
        <v>-1330</v>
      </c>
    </row>
    <row r="2451" spans="1:5">
      <c r="A2451" s="15">
        <v>43647</v>
      </c>
      <c r="B2451" s="13">
        <v>2510</v>
      </c>
      <c r="C2451" s="13" t="s">
        <v>24</v>
      </c>
      <c r="D2451" s="13" t="s">
        <v>10</v>
      </c>
      <c r="E2451" s="13">
        <v>-1442</v>
      </c>
    </row>
    <row r="2452" spans="1:5">
      <c r="A2452" s="14">
        <v>43647</v>
      </c>
      <c r="B2452" s="12">
        <v>2503</v>
      </c>
      <c r="C2452" s="12" t="s">
        <v>22</v>
      </c>
      <c r="D2452" s="12" t="s">
        <v>19</v>
      </c>
      <c r="E2452" s="12">
        <v>-235</v>
      </c>
    </row>
    <row r="2453" spans="1:5">
      <c r="A2453" s="15">
        <v>43648</v>
      </c>
      <c r="B2453" s="13">
        <v>2500</v>
      </c>
      <c r="C2453" s="13" t="s">
        <v>25</v>
      </c>
      <c r="D2453" s="13" t="s">
        <v>19</v>
      </c>
      <c r="E2453" s="13">
        <v>-40966</v>
      </c>
    </row>
    <row r="2454" spans="1:5">
      <c r="A2454" s="14">
        <v>43648</v>
      </c>
      <c r="B2454" s="12">
        <v>2502</v>
      </c>
      <c r="C2454" s="12" t="s">
        <v>7</v>
      </c>
      <c r="D2454" s="12" t="s">
        <v>19</v>
      </c>
      <c r="E2454" s="12">
        <v>-4142</v>
      </c>
    </row>
    <row r="2455" spans="1:5">
      <c r="A2455" s="15">
        <v>43648</v>
      </c>
      <c r="B2455" s="13">
        <v>2502</v>
      </c>
      <c r="C2455" s="13" t="s">
        <v>7</v>
      </c>
      <c r="D2455" s="13" t="s">
        <v>19</v>
      </c>
      <c r="E2455" s="13">
        <v>-3205</v>
      </c>
    </row>
    <row r="2456" spans="1:5">
      <c r="A2456" s="14">
        <v>43648</v>
      </c>
      <c r="B2456" s="12">
        <v>2502</v>
      </c>
      <c r="C2456" s="12" t="s">
        <v>7</v>
      </c>
      <c r="D2456" s="12" t="s">
        <v>10</v>
      </c>
      <c r="E2456" s="12">
        <v>-6842</v>
      </c>
    </row>
    <row r="2457" spans="1:5">
      <c r="A2457" s="15">
        <v>43648</v>
      </c>
      <c r="B2457" s="13">
        <v>2508</v>
      </c>
      <c r="C2457" s="13" t="s">
        <v>15</v>
      </c>
      <c r="D2457" s="13" t="s">
        <v>12</v>
      </c>
      <c r="E2457" s="13">
        <v>-87266</v>
      </c>
    </row>
    <row r="2458" spans="1:5">
      <c r="A2458" s="14">
        <v>43648</v>
      </c>
      <c r="B2458" s="12">
        <v>2508</v>
      </c>
      <c r="C2458" s="12" t="s">
        <v>15</v>
      </c>
      <c r="D2458" s="12" t="s">
        <v>12</v>
      </c>
      <c r="E2458" s="12">
        <v>-88975</v>
      </c>
    </row>
    <row r="2459" spans="1:5">
      <c r="A2459" s="15">
        <v>43648</v>
      </c>
      <c r="B2459" s="13">
        <v>2508</v>
      </c>
      <c r="C2459" s="13" t="s">
        <v>15</v>
      </c>
      <c r="D2459" s="13" t="s">
        <v>10</v>
      </c>
      <c r="E2459" s="13">
        <v>-68647</v>
      </c>
    </row>
    <row r="2460" spans="1:5">
      <c r="A2460" s="14">
        <v>43648</v>
      </c>
      <c r="B2460" s="12">
        <v>2512</v>
      </c>
      <c r="C2460" s="12" t="s">
        <v>16</v>
      </c>
      <c r="D2460" s="12" t="s">
        <v>12</v>
      </c>
      <c r="E2460" s="12">
        <v>-1038</v>
      </c>
    </row>
    <row r="2461" spans="1:5">
      <c r="A2461" s="15">
        <v>43648</v>
      </c>
      <c r="B2461" s="13">
        <v>2510</v>
      </c>
      <c r="C2461" s="13" t="s">
        <v>24</v>
      </c>
      <c r="D2461" s="13" t="s">
        <v>12</v>
      </c>
      <c r="E2461" s="13">
        <v>-1210</v>
      </c>
    </row>
    <row r="2462" spans="1:5">
      <c r="A2462" s="14">
        <v>43648</v>
      </c>
      <c r="B2462" s="12">
        <v>2510</v>
      </c>
      <c r="C2462" s="12" t="s">
        <v>24</v>
      </c>
      <c r="D2462" s="12" t="s">
        <v>12</v>
      </c>
      <c r="E2462" s="12">
        <v>-1586</v>
      </c>
    </row>
    <row r="2463" spans="1:5">
      <c r="A2463" s="15">
        <v>43648</v>
      </c>
      <c r="B2463" s="13">
        <v>2510</v>
      </c>
      <c r="C2463" s="13" t="s">
        <v>24</v>
      </c>
      <c r="D2463" s="13" t="s">
        <v>10</v>
      </c>
      <c r="E2463" s="13">
        <v>-949</v>
      </c>
    </row>
    <row r="2464" spans="1:5">
      <c r="A2464" s="14">
        <v>43648</v>
      </c>
      <c r="B2464" s="12">
        <v>2513</v>
      </c>
      <c r="C2464" s="12" t="s">
        <v>17</v>
      </c>
      <c r="D2464" s="12" t="s">
        <v>19</v>
      </c>
      <c r="E2464" s="12">
        <v>-973</v>
      </c>
    </row>
    <row r="2465" spans="1:5">
      <c r="A2465" s="15">
        <v>43648</v>
      </c>
      <c r="B2465" s="13">
        <v>2505</v>
      </c>
      <c r="C2465" s="13" t="s">
        <v>9</v>
      </c>
      <c r="D2465" s="13" t="s">
        <v>19</v>
      </c>
      <c r="E2465" s="13">
        <v>-586</v>
      </c>
    </row>
    <row r="2466" spans="1:5">
      <c r="A2466" s="14">
        <v>43648</v>
      </c>
      <c r="B2466" s="12">
        <v>2503</v>
      </c>
      <c r="C2466" s="12" t="s">
        <v>22</v>
      </c>
      <c r="D2466" s="12" t="s">
        <v>19</v>
      </c>
      <c r="E2466" s="12">
        <v>-331</v>
      </c>
    </row>
    <row r="2467" spans="1:5">
      <c r="A2467" s="15">
        <v>43648</v>
      </c>
      <c r="B2467" s="13">
        <v>2505</v>
      </c>
      <c r="C2467" s="13" t="s">
        <v>9</v>
      </c>
      <c r="D2467" s="13" t="s">
        <v>19</v>
      </c>
      <c r="E2467" s="13">
        <v>-291</v>
      </c>
    </row>
    <row r="2468" spans="1:5">
      <c r="A2468" s="14">
        <v>43648</v>
      </c>
      <c r="B2468" s="12">
        <v>2501</v>
      </c>
      <c r="C2468" s="12" t="s">
        <v>5</v>
      </c>
      <c r="D2468" s="12" t="s">
        <v>19</v>
      </c>
      <c r="E2468" s="12">
        <v>-152</v>
      </c>
    </row>
    <row r="2469" spans="1:5">
      <c r="A2469" s="15">
        <v>43649</v>
      </c>
      <c r="B2469" s="13">
        <v>2000</v>
      </c>
      <c r="C2469" s="13" t="s">
        <v>18</v>
      </c>
      <c r="D2469" s="13" t="s">
        <v>19</v>
      </c>
      <c r="E2469" s="13">
        <v>-170617</v>
      </c>
    </row>
    <row r="2470" spans="1:5">
      <c r="A2470" s="14">
        <v>43649</v>
      </c>
      <c r="B2470" s="12">
        <v>1500</v>
      </c>
      <c r="C2470" s="12" t="s">
        <v>26</v>
      </c>
      <c r="D2470" s="12" t="s">
        <v>19</v>
      </c>
      <c r="E2470" s="12">
        <v>-56532</v>
      </c>
    </row>
    <row r="2471" spans="1:5">
      <c r="A2471" s="15">
        <v>43649</v>
      </c>
      <c r="B2471" s="13">
        <v>1500</v>
      </c>
      <c r="C2471" s="13" t="s">
        <v>26</v>
      </c>
      <c r="D2471" s="13" t="s">
        <v>19</v>
      </c>
      <c r="E2471" s="13">
        <v>-39515</v>
      </c>
    </row>
    <row r="2472" spans="1:5">
      <c r="A2472" s="14">
        <v>43649</v>
      </c>
      <c r="B2472" s="12">
        <v>2512</v>
      </c>
      <c r="C2472" s="12" t="s">
        <v>16</v>
      </c>
      <c r="D2472" s="12" t="s">
        <v>19</v>
      </c>
      <c r="E2472" s="12">
        <v>-5553</v>
      </c>
    </row>
    <row r="2473" spans="1:5">
      <c r="A2473" s="15">
        <v>43649</v>
      </c>
      <c r="B2473" s="13">
        <v>2502</v>
      </c>
      <c r="C2473" s="13" t="s">
        <v>7</v>
      </c>
      <c r="D2473" s="13" t="s">
        <v>19</v>
      </c>
      <c r="E2473" s="13">
        <v>-3659</v>
      </c>
    </row>
    <row r="2474" spans="1:5">
      <c r="A2474" s="14">
        <v>43649</v>
      </c>
      <c r="B2474" s="12">
        <v>2502</v>
      </c>
      <c r="C2474" s="12" t="s">
        <v>7</v>
      </c>
      <c r="D2474" s="12" t="s">
        <v>19</v>
      </c>
      <c r="E2474" s="12">
        <v>-3046</v>
      </c>
    </row>
    <row r="2475" spans="1:5">
      <c r="A2475" s="15">
        <v>43649</v>
      </c>
      <c r="B2475" s="13">
        <v>2502</v>
      </c>
      <c r="C2475" s="13" t="s">
        <v>7</v>
      </c>
      <c r="D2475" s="13" t="s">
        <v>19</v>
      </c>
      <c r="E2475" s="13">
        <v>-2434</v>
      </c>
    </row>
    <row r="2476" spans="1:5">
      <c r="A2476" s="14">
        <v>43649</v>
      </c>
      <c r="B2476" s="12">
        <v>2501</v>
      </c>
      <c r="C2476" s="12" t="s">
        <v>5</v>
      </c>
      <c r="D2476" s="12" t="s">
        <v>14</v>
      </c>
      <c r="E2476" s="12">
        <v>-189</v>
      </c>
    </row>
    <row r="2477" spans="1:5">
      <c r="A2477" s="15">
        <v>43649</v>
      </c>
      <c r="B2477" s="13">
        <v>2502</v>
      </c>
      <c r="C2477" s="13" t="s">
        <v>7</v>
      </c>
      <c r="D2477" s="13" t="s">
        <v>8</v>
      </c>
      <c r="E2477" s="13">
        <v>-3763</v>
      </c>
    </row>
    <row r="2478" spans="1:5">
      <c r="A2478" s="14">
        <v>43649</v>
      </c>
      <c r="B2478" s="12">
        <v>2505</v>
      </c>
      <c r="C2478" s="12" t="s">
        <v>9</v>
      </c>
      <c r="D2478" s="12" t="s">
        <v>13</v>
      </c>
      <c r="E2478" s="12">
        <v>-526</v>
      </c>
    </row>
    <row r="2479" spans="1:5">
      <c r="A2479" s="15">
        <v>43649</v>
      </c>
      <c r="B2479" s="13">
        <v>2505</v>
      </c>
      <c r="C2479" s="13" t="s">
        <v>9</v>
      </c>
      <c r="D2479" s="13" t="s">
        <v>14</v>
      </c>
      <c r="E2479" s="13">
        <v>-685</v>
      </c>
    </row>
    <row r="2480" spans="1:5">
      <c r="A2480" s="14">
        <v>43649</v>
      </c>
      <c r="B2480" s="12">
        <v>2508</v>
      </c>
      <c r="C2480" s="12" t="s">
        <v>15</v>
      </c>
      <c r="D2480" s="12" t="s">
        <v>13</v>
      </c>
      <c r="E2480" s="12">
        <v>-51448</v>
      </c>
    </row>
    <row r="2481" spans="1:5">
      <c r="A2481" s="15">
        <v>43649</v>
      </c>
      <c r="B2481" s="13">
        <v>2508</v>
      </c>
      <c r="C2481" s="13" t="s">
        <v>15</v>
      </c>
      <c r="D2481" s="13" t="s">
        <v>12</v>
      </c>
      <c r="E2481" s="13">
        <v>-84085</v>
      </c>
    </row>
    <row r="2482" spans="1:5">
      <c r="A2482" s="14">
        <v>43649</v>
      </c>
      <c r="B2482" s="12">
        <v>2508</v>
      </c>
      <c r="C2482" s="12" t="s">
        <v>15</v>
      </c>
      <c r="D2482" s="12" t="s">
        <v>6</v>
      </c>
      <c r="E2482" s="12">
        <v>-53217</v>
      </c>
    </row>
    <row r="2483" spans="1:5">
      <c r="A2483" s="15">
        <v>43649</v>
      </c>
      <c r="B2483" s="13">
        <v>2513</v>
      </c>
      <c r="C2483" s="13" t="s">
        <v>17</v>
      </c>
      <c r="D2483" s="13" t="s">
        <v>14</v>
      </c>
      <c r="E2483" s="13">
        <v>-723</v>
      </c>
    </row>
    <row r="2484" spans="1:5">
      <c r="A2484" s="14">
        <v>43649</v>
      </c>
      <c r="B2484" s="12">
        <v>2510</v>
      </c>
      <c r="C2484" s="12" t="s">
        <v>24</v>
      </c>
      <c r="D2484" s="12" t="s">
        <v>8</v>
      </c>
      <c r="E2484" s="12">
        <v>-888</v>
      </c>
    </row>
    <row r="2485" spans="1:5">
      <c r="A2485" s="15">
        <v>43649</v>
      </c>
      <c r="B2485" s="13">
        <v>2513</v>
      </c>
      <c r="C2485" s="13" t="s">
        <v>17</v>
      </c>
      <c r="D2485" s="13" t="s">
        <v>19</v>
      </c>
      <c r="E2485" s="13">
        <v>-335</v>
      </c>
    </row>
    <row r="2486" spans="1:5">
      <c r="A2486" s="14">
        <v>43650</v>
      </c>
      <c r="B2486" s="12">
        <v>2503</v>
      </c>
      <c r="C2486" s="12" t="s">
        <v>22</v>
      </c>
      <c r="D2486" s="12" t="s">
        <v>12</v>
      </c>
      <c r="E2486" s="12">
        <v>-540</v>
      </c>
    </row>
    <row r="2487" spans="1:5">
      <c r="A2487" s="15">
        <v>43650</v>
      </c>
      <c r="B2487" s="13">
        <v>2503</v>
      </c>
      <c r="C2487" s="13" t="s">
        <v>22</v>
      </c>
      <c r="D2487" s="13" t="s">
        <v>6</v>
      </c>
      <c r="E2487" s="13">
        <v>-428</v>
      </c>
    </row>
    <row r="2488" spans="1:5">
      <c r="A2488" s="14">
        <v>43650</v>
      </c>
      <c r="B2488" s="12">
        <v>2505</v>
      </c>
      <c r="C2488" s="12" t="s">
        <v>9</v>
      </c>
      <c r="D2488" s="12" t="s">
        <v>12</v>
      </c>
      <c r="E2488" s="12">
        <v>-1103</v>
      </c>
    </row>
    <row r="2489" spans="1:5">
      <c r="A2489" s="15">
        <v>43650</v>
      </c>
      <c r="B2489" s="13">
        <v>2505</v>
      </c>
      <c r="C2489" s="13" t="s">
        <v>9</v>
      </c>
      <c r="D2489" s="13" t="s">
        <v>13</v>
      </c>
      <c r="E2489" s="13">
        <v>-409</v>
      </c>
    </row>
    <row r="2490" spans="1:5">
      <c r="A2490" s="14">
        <v>43650</v>
      </c>
      <c r="B2490" s="12">
        <v>2508</v>
      </c>
      <c r="C2490" s="12" t="s">
        <v>15</v>
      </c>
      <c r="D2490" s="12" t="s">
        <v>13</v>
      </c>
      <c r="E2490" s="12">
        <v>-58905</v>
      </c>
    </row>
    <row r="2491" spans="1:5">
      <c r="A2491" s="15">
        <v>43650</v>
      </c>
      <c r="B2491" s="13">
        <v>2513</v>
      </c>
      <c r="C2491" s="13" t="s">
        <v>17</v>
      </c>
      <c r="D2491" s="13" t="s">
        <v>8</v>
      </c>
      <c r="E2491" s="13">
        <v>-623</v>
      </c>
    </row>
    <row r="2492" spans="1:5">
      <c r="A2492" s="14">
        <v>43650</v>
      </c>
      <c r="B2492" s="12">
        <v>2510</v>
      </c>
      <c r="C2492" s="12" t="s">
        <v>24</v>
      </c>
      <c r="D2492" s="12" t="s">
        <v>6</v>
      </c>
      <c r="E2492" s="12">
        <v>-1091</v>
      </c>
    </row>
    <row r="2493" spans="1:5">
      <c r="A2493" s="15">
        <v>43651</v>
      </c>
      <c r="B2493" s="13">
        <v>2505</v>
      </c>
      <c r="C2493" s="13" t="s">
        <v>9</v>
      </c>
      <c r="D2493" s="13" t="s">
        <v>12</v>
      </c>
      <c r="E2493" s="13">
        <v>-751</v>
      </c>
    </row>
    <row r="2494" spans="1:5">
      <c r="A2494" s="14">
        <v>43651</v>
      </c>
      <c r="B2494" s="12">
        <v>2512</v>
      </c>
      <c r="C2494" s="12" t="s">
        <v>16</v>
      </c>
      <c r="D2494" s="12" t="s">
        <v>14</v>
      </c>
      <c r="E2494" s="12">
        <v>-4844</v>
      </c>
    </row>
    <row r="2495" spans="1:5">
      <c r="A2495" s="15">
        <v>43651</v>
      </c>
      <c r="B2495" s="13">
        <v>2514</v>
      </c>
      <c r="C2495" s="13" t="s">
        <v>20</v>
      </c>
      <c r="D2495" s="13" t="s">
        <v>8</v>
      </c>
      <c r="E2495" s="13">
        <v>-1323</v>
      </c>
    </row>
    <row r="2496" spans="1:5">
      <c r="A2496" s="14">
        <v>43651</v>
      </c>
      <c r="B2496" s="12">
        <v>2514</v>
      </c>
      <c r="C2496" s="12" t="s">
        <v>20</v>
      </c>
      <c r="D2496" s="12" t="s">
        <v>6</v>
      </c>
      <c r="E2496" s="12">
        <v>-1128</v>
      </c>
    </row>
    <row r="2497" spans="1:5">
      <c r="A2497" s="15">
        <v>43651</v>
      </c>
      <c r="B2497" s="13">
        <v>2514</v>
      </c>
      <c r="C2497" s="13" t="s">
        <v>20</v>
      </c>
      <c r="D2497" s="13" t="s">
        <v>14</v>
      </c>
      <c r="E2497" s="13">
        <v>-1114</v>
      </c>
    </row>
    <row r="2498" spans="1:5">
      <c r="A2498" s="14">
        <v>43651</v>
      </c>
      <c r="B2498" s="12">
        <v>2510</v>
      </c>
      <c r="C2498" s="12" t="s">
        <v>24</v>
      </c>
      <c r="D2498" s="12" t="s">
        <v>10</v>
      </c>
      <c r="E2498" s="12">
        <v>-1889</v>
      </c>
    </row>
    <row r="2499" spans="1:5">
      <c r="A2499" s="15">
        <v>43651</v>
      </c>
      <c r="B2499" s="13">
        <v>2514</v>
      </c>
      <c r="C2499" s="13" t="s">
        <v>20</v>
      </c>
      <c r="D2499" s="13" t="s">
        <v>19</v>
      </c>
      <c r="E2499" s="13">
        <v>-1123</v>
      </c>
    </row>
    <row r="2500" spans="1:5">
      <c r="A2500" s="14">
        <v>43651</v>
      </c>
      <c r="B2500" s="12">
        <v>2514</v>
      </c>
      <c r="C2500" s="12" t="s">
        <v>20</v>
      </c>
      <c r="D2500" s="12" t="s">
        <v>19</v>
      </c>
      <c r="E2500" s="12">
        <v>-1087</v>
      </c>
    </row>
    <row r="2501" spans="1:5">
      <c r="A2501" s="15">
        <v>43651</v>
      </c>
      <c r="B2501" s="13">
        <v>2510</v>
      </c>
      <c r="C2501" s="13" t="s">
        <v>24</v>
      </c>
      <c r="D2501" s="13" t="s">
        <v>19</v>
      </c>
      <c r="E2501" s="13">
        <v>-935</v>
      </c>
    </row>
    <row r="2502" spans="1:5">
      <c r="A2502" s="14">
        <v>43651</v>
      </c>
      <c r="B2502" s="12">
        <v>2510</v>
      </c>
      <c r="C2502" s="12" t="s">
        <v>24</v>
      </c>
      <c r="D2502" s="12" t="s">
        <v>19</v>
      </c>
      <c r="E2502" s="12">
        <v>-774</v>
      </c>
    </row>
    <row r="2503" spans="1:5">
      <c r="A2503" s="15">
        <v>43651</v>
      </c>
      <c r="B2503" s="13">
        <v>2505</v>
      </c>
      <c r="C2503" s="13" t="s">
        <v>9</v>
      </c>
      <c r="D2503" s="13" t="s">
        <v>19</v>
      </c>
      <c r="E2503" s="13">
        <v>-434</v>
      </c>
    </row>
    <row r="2504" spans="1:5">
      <c r="A2504" s="14">
        <v>43651</v>
      </c>
      <c r="B2504" s="12">
        <v>2501</v>
      </c>
      <c r="C2504" s="12" t="s">
        <v>5</v>
      </c>
      <c r="D2504" s="12" t="s">
        <v>19</v>
      </c>
      <c r="E2504" s="12">
        <v>-65</v>
      </c>
    </row>
    <row r="2505" spans="1:5">
      <c r="A2505" s="15">
        <v>43652</v>
      </c>
      <c r="B2505" s="13">
        <v>2508</v>
      </c>
      <c r="C2505" s="13" t="s">
        <v>15</v>
      </c>
      <c r="D2505" s="13" t="s">
        <v>19</v>
      </c>
      <c r="E2505" s="13">
        <v>-60126</v>
      </c>
    </row>
    <row r="2506" spans="1:5">
      <c r="A2506" s="14">
        <v>43652</v>
      </c>
      <c r="B2506" s="12">
        <v>1500</v>
      </c>
      <c r="C2506" s="12" t="s">
        <v>26</v>
      </c>
      <c r="D2506" s="12" t="s">
        <v>19</v>
      </c>
      <c r="E2506" s="12">
        <v>-42176</v>
      </c>
    </row>
    <row r="2507" spans="1:5">
      <c r="A2507" s="15">
        <v>43652</v>
      </c>
      <c r="B2507" s="13">
        <v>2501</v>
      </c>
      <c r="C2507" s="13" t="s">
        <v>5</v>
      </c>
      <c r="D2507" s="13" t="s">
        <v>6</v>
      </c>
      <c r="E2507" s="13">
        <v>-145</v>
      </c>
    </row>
    <row r="2508" spans="1:5">
      <c r="A2508" s="14">
        <v>43652</v>
      </c>
      <c r="B2508" s="12">
        <v>2501</v>
      </c>
      <c r="C2508" s="12" t="s">
        <v>5</v>
      </c>
      <c r="D2508" s="12" t="s">
        <v>14</v>
      </c>
      <c r="E2508" s="12">
        <v>-130</v>
      </c>
    </row>
    <row r="2509" spans="1:5">
      <c r="A2509" s="15">
        <v>43652</v>
      </c>
      <c r="B2509" s="13">
        <v>2502</v>
      </c>
      <c r="C2509" s="13" t="s">
        <v>7</v>
      </c>
      <c r="D2509" s="13" t="s">
        <v>13</v>
      </c>
      <c r="E2509" s="13">
        <v>-2849</v>
      </c>
    </row>
    <row r="2510" spans="1:5">
      <c r="A2510" s="14">
        <v>43652</v>
      </c>
      <c r="B2510" s="12">
        <v>2505</v>
      </c>
      <c r="C2510" s="12" t="s">
        <v>9</v>
      </c>
      <c r="D2510" s="12" t="s">
        <v>8</v>
      </c>
      <c r="E2510" s="12">
        <v>-660</v>
      </c>
    </row>
    <row r="2511" spans="1:5">
      <c r="A2511" s="15">
        <v>43652</v>
      </c>
      <c r="B2511" s="13">
        <v>2512</v>
      </c>
      <c r="C2511" s="13" t="s">
        <v>16</v>
      </c>
      <c r="D2511" s="13" t="s">
        <v>13</v>
      </c>
      <c r="E2511" s="13">
        <v>-423</v>
      </c>
    </row>
    <row r="2512" spans="1:5">
      <c r="A2512" s="14">
        <v>43652</v>
      </c>
      <c r="B2512" s="12">
        <v>2513</v>
      </c>
      <c r="C2512" s="12" t="s">
        <v>17</v>
      </c>
      <c r="D2512" s="12" t="s">
        <v>14</v>
      </c>
      <c r="E2512" s="12">
        <v>-557</v>
      </c>
    </row>
    <row r="2513" spans="1:5">
      <c r="A2513" s="15">
        <v>43652</v>
      </c>
      <c r="B2513" s="13">
        <v>2510</v>
      </c>
      <c r="C2513" s="13" t="s">
        <v>24</v>
      </c>
      <c r="D2513" s="13" t="s">
        <v>6</v>
      </c>
      <c r="E2513" s="13">
        <v>-1802</v>
      </c>
    </row>
    <row r="2514" spans="1:5">
      <c r="A2514" s="14">
        <v>43652</v>
      </c>
      <c r="B2514" s="12">
        <v>2513</v>
      </c>
      <c r="C2514" s="12" t="s">
        <v>17</v>
      </c>
      <c r="D2514" s="12" t="s">
        <v>19</v>
      </c>
      <c r="E2514" s="12">
        <v>-844</v>
      </c>
    </row>
    <row r="2515" spans="1:5">
      <c r="A2515" s="15">
        <v>43652</v>
      </c>
      <c r="B2515" s="13">
        <v>2513</v>
      </c>
      <c r="C2515" s="13" t="s">
        <v>17</v>
      </c>
      <c r="D2515" s="13" t="s">
        <v>19</v>
      </c>
      <c r="E2515" s="13">
        <v>-383</v>
      </c>
    </row>
    <row r="2516" spans="1:5">
      <c r="A2516" s="14">
        <v>43652</v>
      </c>
      <c r="B2516" s="12">
        <v>2503</v>
      </c>
      <c r="C2516" s="12" t="s">
        <v>22</v>
      </c>
      <c r="D2516" s="12" t="s">
        <v>19</v>
      </c>
      <c r="E2516" s="12">
        <v>-200</v>
      </c>
    </row>
    <row r="2517" spans="1:5">
      <c r="A2517" s="15">
        <v>43652</v>
      </c>
      <c r="B2517" s="13">
        <v>1000</v>
      </c>
      <c r="C2517" s="13" t="s">
        <v>23</v>
      </c>
      <c r="D2517" s="13" t="s">
        <v>19</v>
      </c>
      <c r="E2517" s="13">
        <v>608386</v>
      </c>
    </row>
    <row r="2518" spans="1:5">
      <c r="A2518" s="14">
        <v>43652</v>
      </c>
      <c r="B2518" s="12">
        <v>1000</v>
      </c>
      <c r="C2518" s="12" t="s">
        <v>23</v>
      </c>
      <c r="D2518" s="12" t="s">
        <v>19</v>
      </c>
      <c r="E2518" s="12">
        <v>647191</v>
      </c>
    </row>
    <row r="2519" spans="1:5">
      <c r="A2519" s="15">
        <v>43652</v>
      </c>
      <c r="B2519" s="13">
        <v>1000</v>
      </c>
      <c r="C2519" s="13" t="s">
        <v>23</v>
      </c>
      <c r="D2519" s="13" t="s">
        <v>19</v>
      </c>
      <c r="E2519" s="13">
        <v>816315</v>
      </c>
    </row>
    <row r="2520" spans="1:5">
      <c r="A2520" s="14">
        <v>43653</v>
      </c>
      <c r="B2520" s="12">
        <v>2512</v>
      </c>
      <c r="C2520" s="12" t="s">
        <v>16</v>
      </c>
      <c r="D2520" s="12" t="s">
        <v>19</v>
      </c>
      <c r="E2520" s="12">
        <v>-5951</v>
      </c>
    </row>
    <row r="2521" spans="1:5">
      <c r="A2521" s="15">
        <v>43653</v>
      </c>
      <c r="B2521" s="13">
        <v>2504</v>
      </c>
      <c r="C2521" s="13" t="s">
        <v>21</v>
      </c>
      <c r="D2521" s="13" t="s">
        <v>19</v>
      </c>
      <c r="E2521" s="13">
        <v>-2319</v>
      </c>
    </row>
    <row r="2522" spans="1:5">
      <c r="A2522" s="14">
        <v>43653</v>
      </c>
      <c r="B2522" s="12">
        <v>2502</v>
      </c>
      <c r="C2522" s="12" t="s">
        <v>7</v>
      </c>
      <c r="D2522" s="12" t="s">
        <v>10</v>
      </c>
      <c r="E2522" s="12">
        <v>-3677</v>
      </c>
    </row>
    <row r="2523" spans="1:5">
      <c r="A2523" s="15">
        <v>43653</v>
      </c>
      <c r="B2523" s="13">
        <v>2503</v>
      </c>
      <c r="C2523" s="13" t="s">
        <v>22</v>
      </c>
      <c r="D2523" s="13" t="s">
        <v>13</v>
      </c>
      <c r="E2523" s="13">
        <v>-211</v>
      </c>
    </row>
    <row r="2524" spans="1:5">
      <c r="A2524" s="14">
        <v>43653</v>
      </c>
      <c r="B2524" s="12">
        <v>2506</v>
      </c>
      <c r="C2524" s="12" t="s">
        <v>27</v>
      </c>
      <c r="D2524" s="12" t="s">
        <v>8</v>
      </c>
      <c r="E2524" s="12">
        <v>-718</v>
      </c>
    </row>
    <row r="2525" spans="1:5">
      <c r="A2525" s="15">
        <v>43653</v>
      </c>
      <c r="B2525" s="13">
        <v>2508</v>
      </c>
      <c r="C2525" s="13" t="s">
        <v>15</v>
      </c>
      <c r="D2525" s="13" t="s">
        <v>12</v>
      </c>
      <c r="E2525" s="13">
        <v>-111657</v>
      </c>
    </row>
    <row r="2526" spans="1:5">
      <c r="A2526" s="14">
        <v>43653</v>
      </c>
      <c r="B2526" s="12">
        <v>2512</v>
      </c>
      <c r="C2526" s="12" t="s">
        <v>16</v>
      </c>
      <c r="D2526" s="12" t="s">
        <v>13</v>
      </c>
      <c r="E2526" s="12">
        <v>-621</v>
      </c>
    </row>
    <row r="2527" spans="1:5">
      <c r="A2527" s="15">
        <v>43653</v>
      </c>
      <c r="B2527" s="13">
        <v>2514</v>
      </c>
      <c r="C2527" s="13" t="s">
        <v>20</v>
      </c>
      <c r="D2527" s="13" t="s">
        <v>10</v>
      </c>
      <c r="E2527" s="13">
        <v>-1426</v>
      </c>
    </row>
    <row r="2528" spans="1:5">
      <c r="A2528" s="14">
        <v>43653</v>
      </c>
      <c r="B2528" s="12">
        <v>2514</v>
      </c>
      <c r="C2528" s="12" t="s">
        <v>20</v>
      </c>
      <c r="D2528" s="12" t="s">
        <v>19</v>
      </c>
      <c r="E2528" s="12">
        <v>-882</v>
      </c>
    </row>
    <row r="2529" spans="1:5">
      <c r="A2529" s="15">
        <v>43653</v>
      </c>
      <c r="B2529" s="13">
        <v>2503</v>
      </c>
      <c r="C2529" s="13" t="s">
        <v>22</v>
      </c>
      <c r="D2529" s="13" t="s">
        <v>19</v>
      </c>
      <c r="E2529" s="13">
        <v>-210</v>
      </c>
    </row>
    <row r="2530" spans="1:5">
      <c r="A2530" s="14">
        <v>43654</v>
      </c>
      <c r="B2530" s="12">
        <v>1500</v>
      </c>
      <c r="C2530" s="12" t="s">
        <v>26</v>
      </c>
      <c r="D2530" s="12" t="s">
        <v>19</v>
      </c>
      <c r="E2530" s="12">
        <v>-47667</v>
      </c>
    </row>
    <row r="2531" spans="1:5">
      <c r="A2531" s="15">
        <v>43654</v>
      </c>
      <c r="B2531" s="13">
        <v>2500</v>
      </c>
      <c r="C2531" s="13" t="s">
        <v>25</v>
      </c>
      <c r="D2531" s="13" t="s">
        <v>19</v>
      </c>
      <c r="E2531" s="13">
        <v>-24880</v>
      </c>
    </row>
    <row r="2532" spans="1:5">
      <c r="A2532" s="14">
        <v>43654</v>
      </c>
      <c r="B2532" s="12">
        <v>2502</v>
      </c>
      <c r="C2532" s="12" t="s">
        <v>7</v>
      </c>
      <c r="D2532" s="12" t="s">
        <v>8</v>
      </c>
      <c r="E2532" s="12">
        <v>-6019</v>
      </c>
    </row>
    <row r="2533" spans="1:5">
      <c r="A2533" s="15">
        <v>43654</v>
      </c>
      <c r="B2533" s="13">
        <v>2508</v>
      </c>
      <c r="C2533" s="13" t="s">
        <v>15</v>
      </c>
      <c r="D2533" s="13" t="s">
        <v>12</v>
      </c>
      <c r="E2533" s="13">
        <v>-93991</v>
      </c>
    </row>
    <row r="2534" spans="1:5">
      <c r="A2534" s="14">
        <v>43654</v>
      </c>
      <c r="B2534" s="12">
        <v>2510</v>
      </c>
      <c r="C2534" s="12" t="s">
        <v>24</v>
      </c>
      <c r="D2534" s="12" t="s">
        <v>6</v>
      </c>
      <c r="E2534" s="12">
        <v>-1938</v>
      </c>
    </row>
    <row r="2535" spans="1:5">
      <c r="A2535" s="15">
        <v>43654</v>
      </c>
      <c r="B2535" s="13">
        <v>2510</v>
      </c>
      <c r="C2535" s="13" t="s">
        <v>24</v>
      </c>
      <c r="D2535" s="13" t="s">
        <v>14</v>
      </c>
      <c r="E2535" s="13">
        <v>-863</v>
      </c>
    </row>
    <row r="2536" spans="1:5">
      <c r="A2536" s="14">
        <v>43654</v>
      </c>
      <c r="B2536" s="12">
        <v>2514</v>
      </c>
      <c r="C2536" s="12" t="s">
        <v>20</v>
      </c>
      <c r="D2536" s="12" t="s">
        <v>19</v>
      </c>
      <c r="E2536" s="12">
        <v>-1106</v>
      </c>
    </row>
    <row r="2537" spans="1:5">
      <c r="A2537" s="15">
        <v>43654</v>
      </c>
      <c r="B2537" s="13">
        <v>2505</v>
      </c>
      <c r="C2537" s="13" t="s">
        <v>9</v>
      </c>
      <c r="D2537" s="13" t="s">
        <v>19</v>
      </c>
      <c r="E2537" s="13">
        <v>-324</v>
      </c>
    </row>
    <row r="2538" spans="1:5">
      <c r="A2538" s="14">
        <v>43654</v>
      </c>
      <c r="B2538" s="12">
        <v>2505</v>
      </c>
      <c r="C2538" s="12" t="s">
        <v>9</v>
      </c>
      <c r="D2538" s="12" t="s">
        <v>19</v>
      </c>
      <c r="E2538" s="12">
        <v>-301</v>
      </c>
    </row>
    <row r="2539" spans="1:5">
      <c r="A2539" s="15">
        <v>43654</v>
      </c>
      <c r="B2539" s="13">
        <v>1000</v>
      </c>
      <c r="C2539" s="13" t="s">
        <v>23</v>
      </c>
      <c r="D2539" s="13" t="s">
        <v>19</v>
      </c>
      <c r="E2539" s="13">
        <v>1320277</v>
      </c>
    </row>
    <row r="2540" spans="1:5">
      <c r="A2540" s="14">
        <v>43655</v>
      </c>
      <c r="B2540" s="12">
        <v>2502</v>
      </c>
      <c r="C2540" s="12" t="s">
        <v>7</v>
      </c>
      <c r="D2540" s="12" t="s">
        <v>19</v>
      </c>
      <c r="E2540" s="12">
        <v>-5508</v>
      </c>
    </row>
    <row r="2541" spans="1:5">
      <c r="A2541" s="15">
        <v>43655</v>
      </c>
      <c r="B2541" s="13">
        <v>2502</v>
      </c>
      <c r="C2541" s="13" t="s">
        <v>7</v>
      </c>
      <c r="D2541" s="13" t="s">
        <v>19</v>
      </c>
      <c r="E2541" s="13">
        <v>-3791</v>
      </c>
    </row>
    <row r="2542" spans="1:5">
      <c r="A2542" s="14">
        <v>43655</v>
      </c>
      <c r="B2542" s="12">
        <v>2504</v>
      </c>
      <c r="C2542" s="12" t="s">
        <v>21</v>
      </c>
      <c r="D2542" s="12" t="s">
        <v>19</v>
      </c>
      <c r="E2542" s="12">
        <v>-1802</v>
      </c>
    </row>
    <row r="2543" spans="1:5">
      <c r="A2543" s="15">
        <v>43655</v>
      </c>
      <c r="B2543" s="13">
        <v>2502</v>
      </c>
      <c r="C2543" s="13" t="s">
        <v>7</v>
      </c>
      <c r="D2543" s="13" t="s">
        <v>13</v>
      </c>
      <c r="E2543" s="13">
        <v>-2701</v>
      </c>
    </row>
    <row r="2544" spans="1:5">
      <c r="A2544" s="14">
        <v>43655</v>
      </c>
      <c r="B2544" s="12">
        <v>2502</v>
      </c>
      <c r="C2544" s="12" t="s">
        <v>7</v>
      </c>
      <c r="D2544" s="12" t="s">
        <v>14</v>
      </c>
      <c r="E2544" s="12">
        <v>-7331</v>
      </c>
    </row>
    <row r="2545" spans="1:5">
      <c r="A2545" s="15">
        <v>43655</v>
      </c>
      <c r="B2545" s="13">
        <v>2508</v>
      </c>
      <c r="C2545" s="13" t="s">
        <v>15</v>
      </c>
      <c r="D2545" s="13" t="s">
        <v>14</v>
      </c>
      <c r="E2545" s="13">
        <v>-65031</v>
      </c>
    </row>
    <row r="2546" spans="1:5">
      <c r="A2546" s="14">
        <v>43655</v>
      </c>
      <c r="B2546" s="12">
        <v>2512</v>
      </c>
      <c r="C2546" s="12" t="s">
        <v>16</v>
      </c>
      <c r="D2546" s="12" t="s">
        <v>13</v>
      </c>
      <c r="E2546" s="12">
        <v>-612</v>
      </c>
    </row>
    <row r="2547" spans="1:5">
      <c r="A2547" s="15">
        <v>43655</v>
      </c>
      <c r="B2547" s="13">
        <v>2513</v>
      </c>
      <c r="C2547" s="13" t="s">
        <v>17</v>
      </c>
      <c r="D2547" s="13" t="s">
        <v>8</v>
      </c>
      <c r="E2547" s="13">
        <v>-733</v>
      </c>
    </row>
    <row r="2548" spans="1:5">
      <c r="A2548" s="14">
        <v>43655</v>
      </c>
      <c r="B2548" s="12">
        <v>2510</v>
      </c>
      <c r="C2548" s="12" t="s">
        <v>24</v>
      </c>
      <c r="D2548" s="12" t="s">
        <v>14</v>
      </c>
      <c r="E2548" s="12">
        <v>-1743</v>
      </c>
    </row>
    <row r="2549" spans="1:5">
      <c r="A2549" s="15">
        <v>43655</v>
      </c>
      <c r="B2549" s="13">
        <v>2513</v>
      </c>
      <c r="C2549" s="13" t="s">
        <v>17</v>
      </c>
      <c r="D2549" s="13" t="s">
        <v>19</v>
      </c>
      <c r="E2549" s="13">
        <v>-778</v>
      </c>
    </row>
    <row r="2550" spans="1:5">
      <c r="A2550" s="14">
        <v>43655</v>
      </c>
      <c r="B2550" s="12">
        <v>2514</v>
      </c>
      <c r="C2550" s="12" t="s">
        <v>20</v>
      </c>
      <c r="D2550" s="12" t="s">
        <v>19</v>
      </c>
      <c r="E2550" s="12">
        <v>-777</v>
      </c>
    </row>
    <row r="2551" spans="1:5">
      <c r="A2551" s="15">
        <v>43655</v>
      </c>
      <c r="B2551" s="13">
        <v>2513</v>
      </c>
      <c r="C2551" s="13" t="s">
        <v>17</v>
      </c>
      <c r="D2551" s="13" t="s">
        <v>19</v>
      </c>
      <c r="E2551" s="13">
        <v>-745</v>
      </c>
    </row>
    <row r="2552" spans="1:5">
      <c r="A2552" s="14">
        <v>43655</v>
      </c>
      <c r="B2552" s="12">
        <v>2501</v>
      </c>
      <c r="C2552" s="12" t="s">
        <v>5</v>
      </c>
      <c r="D2552" s="12" t="s">
        <v>19</v>
      </c>
      <c r="E2552" s="12">
        <v>-132</v>
      </c>
    </row>
    <row r="2553" spans="1:5">
      <c r="A2553" s="15">
        <v>43655</v>
      </c>
      <c r="B2553" s="13">
        <v>1000</v>
      </c>
      <c r="C2553" s="13" t="s">
        <v>23</v>
      </c>
      <c r="D2553" s="13" t="s">
        <v>19</v>
      </c>
      <c r="E2553" s="13">
        <v>1181733</v>
      </c>
    </row>
    <row r="2554" spans="1:5">
      <c r="A2554" s="14">
        <v>43656</v>
      </c>
      <c r="B2554" s="12">
        <v>2000</v>
      </c>
      <c r="C2554" s="12" t="s">
        <v>18</v>
      </c>
      <c r="D2554" s="12" t="s">
        <v>19</v>
      </c>
      <c r="E2554" s="12">
        <v>-222306</v>
      </c>
    </row>
    <row r="2555" spans="1:5">
      <c r="A2555" s="15">
        <v>43656</v>
      </c>
      <c r="B2555" s="13">
        <v>1500</v>
      </c>
      <c r="C2555" s="13" t="s">
        <v>26</v>
      </c>
      <c r="D2555" s="13" t="s">
        <v>19</v>
      </c>
      <c r="E2555" s="13">
        <v>-35539</v>
      </c>
    </row>
    <row r="2556" spans="1:5">
      <c r="A2556" s="14">
        <v>43656</v>
      </c>
      <c r="B2556" s="12">
        <v>2501</v>
      </c>
      <c r="C2556" s="12" t="s">
        <v>5</v>
      </c>
      <c r="D2556" s="12" t="s">
        <v>10</v>
      </c>
      <c r="E2556" s="12">
        <v>-169</v>
      </c>
    </row>
    <row r="2557" spans="1:5">
      <c r="A2557" s="15">
        <v>43656</v>
      </c>
      <c r="B2557" s="13">
        <v>2502</v>
      </c>
      <c r="C2557" s="13" t="s">
        <v>7</v>
      </c>
      <c r="D2557" s="13" t="s">
        <v>13</v>
      </c>
      <c r="E2557" s="13">
        <v>-3943</v>
      </c>
    </row>
    <row r="2558" spans="1:5">
      <c r="A2558" s="14">
        <v>43656</v>
      </c>
      <c r="B2558" s="12">
        <v>2505</v>
      </c>
      <c r="C2558" s="12" t="s">
        <v>9</v>
      </c>
      <c r="D2558" s="12" t="s">
        <v>8</v>
      </c>
      <c r="E2558" s="12">
        <v>-787</v>
      </c>
    </row>
    <row r="2559" spans="1:5">
      <c r="A2559" s="15">
        <v>43656</v>
      </c>
      <c r="B2559" s="13">
        <v>2512</v>
      </c>
      <c r="C2559" s="13" t="s">
        <v>16</v>
      </c>
      <c r="D2559" s="13" t="s">
        <v>13</v>
      </c>
      <c r="E2559" s="13">
        <v>-498</v>
      </c>
    </row>
    <row r="2560" spans="1:5">
      <c r="A2560" s="14">
        <v>43656</v>
      </c>
      <c r="B2560" s="12">
        <v>2513</v>
      </c>
      <c r="C2560" s="12" t="s">
        <v>17</v>
      </c>
      <c r="D2560" s="12" t="s">
        <v>12</v>
      </c>
      <c r="E2560" s="12">
        <v>-1644</v>
      </c>
    </row>
    <row r="2561" spans="1:5">
      <c r="A2561" s="15">
        <v>43656</v>
      </c>
      <c r="B2561" s="13">
        <v>2513</v>
      </c>
      <c r="C2561" s="13" t="s">
        <v>17</v>
      </c>
      <c r="D2561" s="13" t="s">
        <v>13</v>
      </c>
      <c r="E2561" s="13">
        <v>-806</v>
      </c>
    </row>
    <row r="2562" spans="1:5">
      <c r="A2562" s="14">
        <v>43656</v>
      </c>
      <c r="B2562" s="12">
        <v>2514</v>
      </c>
      <c r="C2562" s="12" t="s">
        <v>20</v>
      </c>
      <c r="D2562" s="12" t="s">
        <v>12</v>
      </c>
      <c r="E2562" s="12">
        <v>-1860</v>
      </c>
    </row>
    <row r="2563" spans="1:5">
      <c r="A2563" s="15">
        <v>43656</v>
      </c>
      <c r="B2563" s="13">
        <v>2510</v>
      </c>
      <c r="C2563" s="13" t="s">
        <v>24</v>
      </c>
      <c r="D2563" s="13" t="s">
        <v>8</v>
      </c>
      <c r="E2563" s="13">
        <v>-800</v>
      </c>
    </row>
    <row r="2564" spans="1:5">
      <c r="A2564" s="14">
        <v>43656</v>
      </c>
      <c r="B2564" s="12">
        <v>2510</v>
      </c>
      <c r="C2564" s="12" t="s">
        <v>24</v>
      </c>
      <c r="D2564" s="12" t="s">
        <v>8</v>
      </c>
      <c r="E2564" s="12">
        <v>-1922</v>
      </c>
    </row>
    <row r="2565" spans="1:5">
      <c r="A2565" s="15">
        <v>43656</v>
      </c>
      <c r="B2565" s="13">
        <v>2501</v>
      </c>
      <c r="C2565" s="13" t="s">
        <v>5</v>
      </c>
      <c r="D2565" s="13" t="s">
        <v>19</v>
      </c>
      <c r="E2565" s="13">
        <v>-60</v>
      </c>
    </row>
    <row r="2566" spans="1:5">
      <c r="A2566" s="14">
        <v>43657</v>
      </c>
      <c r="B2566" s="12">
        <v>1500</v>
      </c>
      <c r="C2566" s="12" t="s">
        <v>26</v>
      </c>
      <c r="D2566" s="12" t="s">
        <v>19</v>
      </c>
      <c r="E2566" s="12">
        <v>-57816</v>
      </c>
    </row>
    <row r="2567" spans="1:5">
      <c r="A2567" s="15">
        <v>43657</v>
      </c>
      <c r="B2567" s="13">
        <v>2500</v>
      </c>
      <c r="C2567" s="13" t="s">
        <v>25</v>
      </c>
      <c r="D2567" s="13" t="s">
        <v>19</v>
      </c>
      <c r="E2567" s="13">
        <v>-35450</v>
      </c>
    </row>
    <row r="2568" spans="1:5">
      <c r="A2568" s="14">
        <v>43657</v>
      </c>
      <c r="B2568" s="12">
        <v>2502</v>
      </c>
      <c r="C2568" s="12" t="s">
        <v>7</v>
      </c>
      <c r="D2568" s="12" t="s">
        <v>19</v>
      </c>
      <c r="E2568" s="12">
        <v>-5885</v>
      </c>
    </row>
    <row r="2569" spans="1:5">
      <c r="A2569" s="15">
        <v>43657</v>
      </c>
      <c r="B2569" s="13">
        <v>2501</v>
      </c>
      <c r="C2569" s="13" t="s">
        <v>5</v>
      </c>
      <c r="D2569" s="13" t="s">
        <v>13</v>
      </c>
      <c r="E2569" s="13">
        <v>-96</v>
      </c>
    </row>
    <row r="2570" spans="1:5">
      <c r="A2570" s="14">
        <v>43657</v>
      </c>
      <c r="B2570" s="12">
        <v>2510</v>
      </c>
      <c r="C2570" s="12" t="s">
        <v>24</v>
      </c>
      <c r="D2570" s="12" t="s">
        <v>6</v>
      </c>
      <c r="E2570" s="12">
        <v>-1096</v>
      </c>
    </row>
    <row r="2571" spans="1:5">
      <c r="A2571" s="15">
        <v>43657</v>
      </c>
      <c r="B2571" s="13">
        <v>2513</v>
      </c>
      <c r="C2571" s="13" t="s">
        <v>17</v>
      </c>
      <c r="D2571" s="13" t="s">
        <v>19</v>
      </c>
      <c r="E2571" s="13">
        <v>-923</v>
      </c>
    </row>
    <row r="2572" spans="1:5">
      <c r="A2572" s="14">
        <v>43657</v>
      </c>
      <c r="B2572" s="12">
        <v>2510</v>
      </c>
      <c r="C2572" s="12" t="s">
        <v>24</v>
      </c>
      <c r="D2572" s="12" t="s">
        <v>19</v>
      </c>
      <c r="E2572" s="12">
        <v>-839</v>
      </c>
    </row>
    <row r="2573" spans="1:5">
      <c r="A2573" s="15">
        <v>43657</v>
      </c>
      <c r="B2573" s="13">
        <v>2505</v>
      </c>
      <c r="C2573" s="13" t="s">
        <v>9</v>
      </c>
      <c r="D2573" s="13" t="s">
        <v>19</v>
      </c>
      <c r="E2573" s="13">
        <v>-608</v>
      </c>
    </row>
    <row r="2574" spans="1:5">
      <c r="A2574" s="14">
        <v>43657</v>
      </c>
      <c r="B2574" s="12">
        <v>2505</v>
      </c>
      <c r="C2574" s="12" t="s">
        <v>9</v>
      </c>
      <c r="D2574" s="12" t="s">
        <v>19</v>
      </c>
      <c r="E2574" s="12">
        <v>-501</v>
      </c>
    </row>
    <row r="2575" spans="1:5">
      <c r="A2575" s="15">
        <v>43657</v>
      </c>
      <c r="B2575" s="13">
        <v>2505</v>
      </c>
      <c r="C2575" s="13" t="s">
        <v>9</v>
      </c>
      <c r="D2575" s="13" t="s">
        <v>19</v>
      </c>
      <c r="E2575" s="13">
        <v>-462</v>
      </c>
    </row>
    <row r="2576" spans="1:5">
      <c r="A2576" s="14">
        <v>43657</v>
      </c>
      <c r="B2576" s="12">
        <v>2503</v>
      </c>
      <c r="C2576" s="12" t="s">
        <v>22</v>
      </c>
      <c r="D2576" s="12" t="s">
        <v>19</v>
      </c>
      <c r="E2576" s="12">
        <v>-321</v>
      </c>
    </row>
    <row r="2577" spans="1:5">
      <c r="A2577" s="15">
        <v>43657</v>
      </c>
      <c r="B2577" s="13">
        <v>2501</v>
      </c>
      <c r="C2577" s="13" t="s">
        <v>5</v>
      </c>
      <c r="D2577" s="13" t="s">
        <v>19</v>
      </c>
      <c r="E2577" s="13">
        <v>-81</v>
      </c>
    </row>
    <row r="2578" spans="1:5">
      <c r="A2578" s="14">
        <v>43657</v>
      </c>
      <c r="B2578" s="12">
        <v>1000</v>
      </c>
      <c r="C2578" s="12" t="s">
        <v>23</v>
      </c>
      <c r="D2578" s="12" t="s">
        <v>19</v>
      </c>
      <c r="E2578" s="12">
        <v>1356240</v>
      </c>
    </row>
    <row r="2579" spans="1:5">
      <c r="A2579" s="15">
        <v>43658</v>
      </c>
      <c r="B2579" s="13">
        <v>2508</v>
      </c>
      <c r="C2579" s="13" t="s">
        <v>15</v>
      </c>
      <c r="D2579" s="13" t="s">
        <v>19</v>
      </c>
      <c r="E2579" s="13">
        <v>-53657</v>
      </c>
    </row>
    <row r="2580" spans="1:5">
      <c r="A2580" s="14">
        <v>43658</v>
      </c>
      <c r="B2580" s="12">
        <v>2500</v>
      </c>
      <c r="C2580" s="12" t="s">
        <v>25</v>
      </c>
      <c r="D2580" s="12" t="s">
        <v>19</v>
      </c>
      <c r="E2580" s="12">
        <v>-45253</v>
      </c>
    </row>
    <row r="2581" spans="1:5">
      <c r="A2581" s="15">
        <v>43658</v>
      </c>
      <c r="B2581" s="13">
        <v>2500</v>
      </c>
      <c r="C2581" s="13" t="s">
        <v>25</v>
      </c>
      <c r="D2581" s="13" t="s">
        <v>19</v>
      </c>
      <c r="E2581" s="13">
        <v>-37917</v>
      </c>
    </row>
    <row r="2582" spans="1:5">
      <c r="A2582" s="14">
        <v>43658</v>
      </c>
      <c r="B2582" s="12">
        <v>2500</v>
      </c>
      <c r="C2582" s="12" t="s">
        <v>25</v>
      </c>
      <c r="D2582" s="12" t="s">
        <v>19</v>
      </c>
      <c r="E2582" s="12">
        <v>-29951</v>
      </c>
    </row>
    <row r="2583" spans="1:5">
      <c r="A2583" s="15">
        <v>43658</v>
      </c>
      <c r="B2583" s="13">
        <v>2504</v>
      </c>
      <c r="C2583" s="13" t="s">
        <v>21</v>
      </c>
      <c r="D2583" s="13" t="s">
        <v>19</v>
      </c>
      <c r="E2583" s="13">
        <v>-1475</v>
      </c>
    </row>
    <row r="2584" spans="1:5">
      <c r="A2584" s="14">
        <v>43658</v>
      </c>
      <c r="B2584" s="12">
        <v>2502</v>
      </c>
      <c r="C2584" s="12" t="s">
        <v>7</v>
      </c>
      <c r="D2584" s="12" t="s">
        <v>8</v>
      </c>
      <c r="E2584" s="12">
        <v>-3508</v>
      </c>
    </row>
    <row r="2585" spans="1:5">
      <c r="A2585" s="15">
        <v>43658</v>
      </c>
      <c r="B2585" s="13">
        <v>2508</v>
      </c>
      <c r="C2585" s="13" t="s">
        <v>15</v>
      </c>
      <c r="D2585" s="13" t="s">
        <v>6</v>
      </c>
      <c r="E2585" s="13">
        <v>-68811</v>
      </c>
    </row>
    <row r="2586" spans="1:5">
      <c r="A2586" s="14">
        <v>43658</v>
      </c>
      <c r="B2586" s="12">
        <v>2514</v>
      </c>
      <c r="C2586" s="12" t="s">
        <v>20</v>
      </c>
      <c r="D2586" s="12" t="s">
        <v>13</v>
      </c>
      <c r="E2586" s="12">
        <v>-1071</v>
      </c>
    </row>
    <row r="2587" spans="1:5">
      <c r="A2587" s="15">
        <v>43658</v>
      </c>
      <c r="B2587" s="13">
        <v>2504</v>
      </c>
      <c r="C2587" s="13" t="s">
        <v>21</v>
      </c>
      <c r="D2587" s="13" t="s">
        <v>19</v>
      </c>
      <c r="E2587" s="13">
        <v>-1081</v>
      </c>
    </row>
    <row r="2588" spans="1:5">
      <c r="A2588" s="14">
        <v>43658</v>
      </c>
      <c r="B2588" s="12">
        <v>2513</v>
      </c>
      <c r="C2588" s="12" t="s">
        <v>17</v>
      </c>
      <c r="D2588" s="12" t="s">
        <v>19</v>
      </c>
      <c r="E2588" s="12">
        <v>-793</v>
      </c>
    </row>
    <row r="2589" spans="1:5">
      <c r="A2589" s="15">
        <v>43658</v>
      </c>
      <c r="B2589" s="13">
        <v>2513</v>
      </c>
      <c r="C2589" s="13" t="s">
        <v>17</v>
      </c>
      <c r="D2589" s="13" t="s">
        <v>19</v>
      </c>
      <c r="E2589" s="13">
        <v>-736</v>
      </c>
    </row>
    <row r="2590" spans="1:5">
      <c r="A2590" s="14">
        <v>43658</v>
      </c>
      <c r="B2590" s="12">
        <v>2501</v>
      </c>
      <c r="C2590" s="12" t="s">
        <v>5</v>
      </c>
      <c r="D2590" s="12" t="s">
        <v>19</v>
      </c>
      <c r="E2590" s="12">
        <v>-75</v>
      </c>
    </row>
    <row r="2591" spans="1:5">
      <c r="A2591" s="15">
        <v>43658</v>
      </c>
      <c r="B2591" s="13">
        <v>1000</v>
      </c>
      <c r="C2591" s="13" t="s">
        <v>23</v>
      </c>
      <c r="D2591" s="13" t="s">
        <v>19</v>
      </c>
      <c r="E2591" s="13">
        <v>1382229</v>
      </c>
    </row>
    <row r="2592" spans="1:5">
      <c r="A2592" s="14">
        <v>43659</v>
      </c>
      <c r="B2592" s="12">
        <v>2500</v>
      </c>
      <c r="C2592" s="12" t="s">
        <v>25</v>
      </c>
      <c r="D2592" s="12" t="s">
        <v>19</v>
      </c>
      <c r="E2592" s="12">
        <v>-26824</v>
      </c>
    </row>
    <row r="2593" spans="1:5">
      <c r="A2593" s="15">
        <v>43659</v>
      </c>
      <c r="B2593" s="13">
        <v>2512</v>
      </c>
      <c r="C2593" s="13" t="s">
        <v>16</v>
      </c>
      <c r="D2593" s="13" t="s">
        <v>19</v>
      </c>
      <c r="E2593" s="13">
        <v>-9141</v>
      </c>
    </row>
    <row r="2594" spans="1:5">
      <c r="A2594" s="14">
        <v>43659</v>
      </c>
      <c r="B2594" s="12">
        <v>2510</v>
      </c>
      <c r="C2594" s="12" t="s">
        <v>24</v>
      </c>
      <c r="D2594" s="12" t="s">
        <v>19</v>
      </c>
      <c r="E2594" s="12">
        <v>-1286</v>
      </c>
    </row>
    <row r="2595" spans="1:5">
      <c r="A2595" s="15">
        <v>43659</v>
      </c>
      <c r="B2595" s="13">
        <v>2503</v>
      </c>
      <c r="C2595" s="13" t="s">
        <v>22</v>
      </c>
      <c r="D2595" s="13" t="s">
        <v>8</v>
      </c>
      <c r="E2595" s="13">
        <v>-353</v>
      </c>
    </row>
    <row r="2596" spans="1:5">
      <c r="A2596" s="14">
        <v>43659</v>
      </c>
      <c r="B2596" s="12">
        <v>2505</v>
      </c>
      <c r="C2596" s="12" t="s">
        <v>9</v>
      </c>
      <c r="D2596" s="12" t="s">
        <v>12</v>
      </c>
      <c r="E2596" s="12">
        <v>-974</v>
      </c>
    </row>
    <row r="2597" spans="1:5">
      <c r="A2597" s="15">
        <v>43659</v>
      </c>
      <c r="B2597" s="13">
        <v>2505</v>
      </c>
      <c r="C2597" s="13" t="s">
        <v>9</v>
      </c>
      <c r="D2597" s="13" t="s">
        <v>6</v>
      </c>
      <c r="E2597" s="13">
        <v>-510</v>
      </c>
    </row>
    <row r="2598" spans="1:5">
      <c r="A2598" s="14">
        <v>43659</v>
      </c>
      <c r="B2598" s="12">
        <v>2508</v>
      </c>
      <c r="C2598" s="12" t="s">
        <v>15</v>
      </c>
      <c r="D2598" s="12" t="s">
        <v>6</v>
      </c>
      <c r="E2598" s="12">
        <v>-80499</v>
      </c>
    </row>
    <row r="2599" spans="1:5">
      <c r="A2599" s="15">
        <v>43659</v>
      </c>
      <c r="B2599" s="13">
        <v>2504</v>
      </c>
      <c r="C2599" s="13" t="s">
        <v>21</v>
      </c>
      <c r="D2599" s="13" t="s">
        <v>19</v>
      </c>
      <c r="E2599" s="13">
        <v>-1114</v>
      </c>
    </row>
    <row r="2600" spans="1:5">
      <c r="A2600" s="14">
        <v>43659</v>
      </c>
      <c r="B2600" s="12">
        <v>2510</v>
      </c>
      <c r="C2600" s="12" t="s">
        <v>24</v>
      </c>
      <c r="D2600" s="12" t="s">
        <v>13</v>
      </c>
      <c r="E2600" s="12">
        <v>-1124</v>
      </c>
    </row>
    <row r="2601" spans="1:5">
      <c r="A2601" s="15">
        <v>43659</v>
      </c>
      <c r="B2601" s="13">
        <v>2514</v>
      </c>
      <c r="C2601" s="13" t="s">
        <v>20</v>
      </c>
      <c r="D2601" s="13" t="s">
        <v>19</v>
      </c>
      <c r="E2601" s="13">
        <v>-1023</v>
      </c>
    </row>
    <row r="2602" spans="1:5">
      <c r="A2602" s="14">
        <v>43659</v>
      </c>
      <c r="B2602" s="12">
        <v>2505</v>
      </c>
      <c r="C2602" s="12" t="s">
        <v>9</v>
      </c>
      <c r="D2602" s="12" t="s">
        <v>19</v>
      </c>
      <c r="E2602" s="12">
        <v>-487</v>
      </c>
    </row>
    <row r="2603" spans="1:5">
      <c r="A2603" s="15">
        <v>43659</v>
      </c>
      <c r="B2603" s="13">
        <v>2501</v>
      </c>
      <c r="C2603" s="13" t="s">
        <v>5</v>
      </c>
      <c r="D2603" s="13" t="s">
        <v>19</v>
      </c>
      <c r="E2603" s="13">
        <v>-123</v>
      </c>
    </row>
    <row r="2604" spans="1:5">
      <c r="A2604" s="14">
        <v>43660</v>
      </c>
      <c r="B2604" s="12">
        <v>1500</v>
      </c>
      <c r="C2604" s="12" t="s">
        <v>26</v>
      </c>
      <c r="D2604" s="12" t="s">
        <v>19</v>
      </c>
      <c r="E2604" s="12">
        <v>-59121</v>
      </c>
    </row>
    <row r="2605" spans="1:5">
      <c r="A2605" s="15">
        <v>43660</v>
      </c>
      <c r="B2605" s="13">
        <v>2508</v>
      </c>
      <c r="C2605" s="13" t="s">
        <v>15</v>
      </c>
      <c r="D2605" s="13" t="s">
        <v>19</v>
      </c>
      <c r="E2605" s="13">
        <v>-53471</v>
      </c>
    </row>
    <row r="2606" spans="1:5">
      <c r="A2606" s="14">
        <v>43660</v>
      </c>
      <c r="B2606" s="12">
        <v>2512</v>
      </c>
      <c r="C2606" s="12" t="s">
        <v>16</v>
      </c>
      <c r="D2606" s="12" t="s">
        <v>19</v>
      </c>
      <c r="E2606" s="12">
        <v>-6095</v>
      </c>
    </row>
    <row r="2607" spans="1:5">
      <c r="A2607" s="15">
        <v>43660</v>
      </c>
      <c r="B2607" s="13">
        <v>2504</v>
      </c>
      <c r="C2607" s="13" t="s">
        <v>21</v>
      </c>
      <c r="D2607" s="13" t="s">
        <v>19</v>
      </c>
      <c r="E2607" s="13">
        <v>-2263</v>
      </c>
    </row>
    <row r="2608" spans="1:5">
      <c r="A2608" s="14">
        <v>43660</v>
      </c>
      <c r="B2608" s="12">
        <v>2514</v>
      </c>
      <c r="C2608" s="12" t="s">
        <v>20</v>
      </c>
      <c r="D2608" s="12" t="s">
        <v>19</v>
      </c>
      <c r="E2608" s="12">
        <v>-1146</v>
      </c>
    </row>
    <row r="2609" spans="1:5">
      <c r="A2609" s="15">
        <v>43660</v>
      </c>
      <c r="B2609" s="13">
        <v>2501</v>
      </c>
      <c r="C2609" s="13" t="s">
        <v>5</v>
      </c>
      <c r="D2609" s="13" t="s">
        <v>10</v>
      </c>
      <c r="E2609" s="13">
        <v>-93</v>
      </c>
    </row>
    <row r="2610" spans="1:5">
      <c r="A2610" s="14">
        <v>43660</v>
      </c>
      <c r="B2610" s="12">
        <v>2502</v>
      </c>
      <c r="C2610" s="12" t="s">
        <v>7</v>
      </c>
      <c r="D2610" s="12" t="s">
        <v>13</v>
      </c>
      <c r="E2610" s="12">
        <v>-2660</v>
      </c>
    </row>
    <row r="2611" spans="1:5">
      <c r="A2611" s="15">
        <v>43660</v>
      </c>
      <c r="B2611" s="13">
        <v>2503</v>
      </c>
      <c r="C2611" s="13" t="s">
        <v>22</v>
      </c>
      <c r="D2611" s="13" t="s">
        <v>8</v>
      </c>
      <c r="E2611" s="13">
        <v>-326</v>
      </c>
    </row>
    <row r="2612" spans="1:5">
      <c r="A2612" s="14">
        <v>43660</v>
      </c>
      <c r="B2612" s="12">
        <v>2503</v>
      </c>
      <c r="C2612" s="12" t="s">
        <v>22</v>
      </c>
      <c r="D2612" s="12" t="s">
        <v>12</v>
      </c>
      <c r="E2612" s="12">
        <v>-581</v>
      </c>
    </row>
    <row r="2613" spans="1:5">
      <c r="A2613" s="15">
        <v>43660</v>
      </c>
      <c r="B2613" s="13">
        <v>2508</v>
      </c>
      <c r="C2613" s="13" t="s">
        <v>15</v>
      </c>
      <c r="D2613" s="13" t="s">
        <v>14</v>
      </c>
      <c r="E2613" s="13">
        <v>-55244</v>
      </c>
    </row>
    <row r="2614" spans="1:5">
      <c r="A2614" s="14">
        <v>43660</v>
      </c>
      <c r="B2614" s="12">
        <v>2512</v>
      </c>
      <c r="C2614" s="12" t="s">
        <v>16</v>
      </c>
      <c r="D2614" s="12" t="s">
        <v>6</v>
      </c>
      <c r="E2614" s="12">
        <v>-2621</v>
      </c>
    </row>
    <row r="2615" spans="1:5">
      <c r="A2615" s="15">
        <v>43660</v>
      </c>
      <c r="B2615" s="13">
        <v>2513</v>
      </c>
      <c r="C2615" s="13" t="s">
        <v>17</v>
      </c>
      <c r="D2615" s="13" t="s">
        <v>12</v>
      </c>
      <c r="E2615" s="13">
        <v>-1003</v>
      </c>
    </row>
    <row r="2616" spans="1:5">
      <c r="A2616" s="14">
        <v>43660</v>
      </c>
      <c r="B2616" s="12">
        <v>2510</v>
      </c>
      <c r="C2616" s="12" t="s">
        <v>24</v>
      </c>
      <c r="D2616" s="12" t="s">
        <v>10</v>
      </c>
      <c r="E2616" s="12">
        <v>-1886</v>
      </c>
    </row>
    <row r="2617" spans="1:5">
      <c r="A2617" s="15">
        <v>43660</v>
      </c>
      <c r="B2617" s="13">
        <v>2510</v>
      </c>
      <c r="C2617" s="13" t="s">
        <v>24</v>
      </c>
      <c r="D2617" s="13" t="s">
        <v>6</v>
      </c>
      <c r="E2617" s="13">
        <v>-1189</v>
      </c>
    </row>
    <row r="2618" spans="1:5">
      <c r="A2618" s="14">
        <v>43660</v>
      </c>
      <c r="B2618" s="12">
        <v>1000</v>
      </c>
      <c r="C2618" s="12" t="s">
        <v>23</v>
      </c>
      <c r="D2618" s="12" t="s">
        <v>19</v>
      </c>
      <c r="E2618" s="12">
        <v>565794</v>
      </c>
    </row>
    <row r="2619" spans="1:5">
      <c r="A2619" s="15">
        <v>43661</v>
      </c>
      <c r="B2619" s="13">
        <v>2500</v>
      </c>
      <c r="C2619" s="13" t="s">
        <v>25</v>
      </c>
      <c r="D2619" s="13" t="s">
        <v>19</v>
      </c>
      <c r="E2619" s="13">
        <v>-34572</v>
      </c>
    </row>
    <row r="2620" spans="1:5">
      <c r="A2620" s="14">
        <v>43661</v>
      </c>
      <c r="B2620" s="12">
        <v>1500</v>
      </c>
      <c r="C2620" s="12" t="s">
        <v>26</v>
      </c>
      <c r="D2620" s="12" t="s">
        <v>19</v>
      </c>
      <c r="E2620" s="12">
        <v>-11925</v>
      </c>
    </row>
    <row r="2621" spans="1:5">
      <c r="A2621" s="15">
        <v>43661</v>
      </c>
      <c r="B2621" s="13">
        <v>2504</v>
      </c>
      <c r="C2621" s="13" t="s">
        <v>21</v>
      </c>
      <c r="D2621" s="13" t="s">
        <v>19</v>
      </c>
      <c r="E2621" s="13">
        <v>-2222</v>
      </c>
    </row>
    <row r="2622" spans="1:5">
      <c r="A2622" s="14">
        <v>43661</v>
      </c>
      <c r="B2622" s="12">
        <v>2501</v>
      </c>
      <c r="C2622" s="12" t="s">
        <v>5</v>
      </c>
      <c r="D2622" s="12" t="s">
        <v>13</v>
      </c>
      <c r="E2622" s="12">
        <v>-123</v>
      </c>
    </row>
    <row r="2623" spans="1:5">
      <c r="A2623" s="15">
        <v>43661</v>
      </c>
      <c r="B2623" s="13">
        <v>2501</v>
      </c>
      <c r="C2623" s="13" t="s">
        <v>5</v>
      </c>
      <c r="D2623" s="13" t="s">
        <v>8</v>
      </c>
      <c r="E2623" s="13">
        <v>-186</v>
      </c>
    </row>
    <row r="2624" spans="1:5">
      <c r="A2624" s="14">
        <v>43661</v>
      </c>
      <c r="B2624" s="12">
        <v>2501</v>
      </c>
      <c r="C2624" s="12" t="s">
        <v>5</v>
      </c>
      <c r="D2624" s="12" t="s">
        <v>8</v>
      </c>
      <c r="E2624" s="12">
        <v>-91</v>
      </c>
    </row>
    <row r="2625" spans="1:5">
      <c r="A2625" s="15">
        <v>43661</v>
      </c>
      <c r="B2625" s="13">
        <v>2502</v>
      </c>
      <c r="C2625" s="13" t="s">
        <v>7</v>
      </c>
      <c r="D2625" s="13" t="s">
        <v>6</v>
      </c>
      <c r="E2625" s="13">
        <v>-7618</v>
      </c>
    </row>
    <row r="2626" spans="1:5">
      <c r="A2626" s="14">
        <v>43661</v>
      </c>
      <c r="B2626" s="12">
        <v>2503</v>
      </c>
      <c r="C2626" s="12" t="s">
        <v>22</v>
      </c>
      <c r="D2626" s="12" t="s">
        <v>13</v>
      </c>
      <c r="E2626" s="12">
        <v>-316</v>
      </c>
    </row>
    <row r="2627" spans="1:5">
      <c r="A2627" s="15">
        <v>43661</v>
      </c>
      <c r="B2627" s="13">
        <v>2505</v>
      </c>
      <c r="C2627" s="13" t="s">
        <v>9</v>
      </c>
      <c r="D2627" s="13" t="s">
        <v>6</v>
      </c>
      <c r="E2627" s="13">
        <v>-754</v>
      </c>
    </row>
    <row r="2628" spans="1:5">
      <c r="A2628" s="14">
        <v>43661</v>
      </c>
      <c r="B2628" s="12">
        <v>2512</v>
      </c>
      <c r="C2628" s="12" t="s">
        <v>16</v>
      </c>
      <c r="D2628" s="12" t="s">
        <v>10</v>
      </c>
      <c r="E2628" s="12">
        <v>-1894</v>
      </c>
    </row>
    <row r="2629" spans="1:5">
      <c r="A2629" s="15">
        <v>43661</v>
      </c>
      <c r="B2629" s="13">
        <v>2514</v>
      </c>
      <c r="C2629" s="13" t="s">
        <v>20</v>
      </c>
      <c r="D2629" s="13" t="s">
        <v>8</v>
      </c>
      <c r="E2629" s="13">
        <v>-1259</v>
      </c>
    </row>
    <row r="2630" spans="1:5">
      <c r="A2630" s="14">
        <v>43661</v>
      </c>
      <c r="B2630" s="12">
        <v>2513</v>
      </c>
      <c r="C2630" s="12" t="s">
        <v>17</v>
      </c>
      <c r="D2630" s="12" t="s">
        <v>19</v>
      </c>
      <c r="E2630" s="12">
        <v>-474</v>
      </c>
    </row>
    <row r="2631" spans="1:5">
      <c r="A2631" s="15">
        <v>43662</v>
      </c>
      <c r="B2631" s="13">
        <v>1500</v>
      </c>
      <c r="C2631" s="13" t="s">
        <v>26</v>
      </c>
      <c r="D2631" s="13" t="s">
        <v>19</v>
      </c>
      <c r="E2631" s="13">
        <v>-35939</v>
      </c>
    </row>
    <row r="2632" spans="1:5">
      <c r="A2632" s="14">
        <v>43662</v>
      </c>
      <c r="B2632" s="12">
        <v>2500</v>
      </c>
      <c r="C2632" s="12" t="s">
        <v>25</v>
      </c>
      <c r="D2632" s="12" t="s">
        <v>19</v>
      </c>
      <c r="E2632" s="12">
        <v>-27093</v>
      </c>
    </row>
    <row r="2633" spans="1:5">
      <c r="A2633" s="15">
        <v>43662</v>
      </c>
      <c r="B2633" s="13">
        <v>2500</v>
      </c>
      <c r="C2633" s="13" t="s">
        <v>25</v>
      </c>
      <c r="D2633" s="13" t="s">
        <v>19</v>
      </c>
      <c r="E2633" s="13">
        <v>-25757</v>
      </c>
    </row>
    <row r="2634" spans="1:5">
      <c r="A2634" s="14">
        <v>43662</v>
      </c>
      <c r="B2634" s="12">
        <v>1500</v>
      </c>
      <c r="C2634" s="12" t="s">
        <v>26</v>
      </c>
      <c r="D2634" s="12" t="s">
        <v>19</v>
      </c>
      <c r="E2634" s="12">
        <v>-19558</v>
      </c>
    </row>
    <row r="2635" spans="1:5">
      <c r="A2635" s="15">
        <v>43662</v>
      </c>
      <c r="B2635" s="13">
        <v>2501</v>
      </c>
      <c r="C2635" s="13" t="s">
        <v>5</v>
      </c>
      <c r="D2635" s="13" t="s">
        <v>14</v>
      </c>
      <c r="E2635" s="13">
        <v>-118</v>
      </c>
    </row>
    <row r="2636" spans="1:5">
      <c r="A2636" s="14">
        <v>43662</v>
      </c>
      <c r="B2636" s="12">
        <v>2503</v>
      </c>
      <c r="C2636" s="12" t="s">
        <v>22</v>
      </c>
      <c r="D2636" s="12" t="s">
        <v>12</v>
      </c>
      <c r="E2636" s="12">
        <v>-391</v>
      </c>
    </row>
    <row r="2637" spans="1:5">
      <c r="A2637" s="15">
        <v>43662</v>
      </c>
      <c r="B2637" s="13">
        <v>2508</v>
      </c>
      <c r="C2637" s="13" t="s">
        <v>15</v>
      </c>
      <c r="D2637" s="13" t="s">
        <v>14</v>
      </c>
      <c r="E2637" s="13">
        <v>-65012</v>
      </c>
    </row>
    <row r="2638" spans="1:5">
      <c r="A2638" s="14">
        <v>43662</v>
      </c>
      <c r="B2638" s="12">
        <v>2512</v>
      </c>
      <c r="C2638" s="12" t="s">
        <v>16</v>
      </c>
      <c r="D2638" s="12" t="s">
        <v>13</v>
      </c>
      <c r="E2638" s="12">
        <v>-602</v>
      </c>
    </row>
    <row r="2639" spans="1:5">
      <c r="A2639" s="15">
        <v>43662</v>
      </c>
      <c r="B2639" s="13">
        <v>2513</v>
      </c>
      <c r="C2639" s="13" t="s">
        <v>17</v>
      </c>
      <c r="D2639" s="13" t="s">
        <v>19</v>
      </c>
      <c r="E2639" s="13">
        <v>-937</v>
      </c>
    </row>
    <row r="2640" spans="1:5">
      <c r="A2640" s="14">
        <v>43662</v>
      </c>
      <c r="B2640" s="12">
        <v>2514</v>
      </c>
      <c r="C2640" s="12" t="s">
        <v>20</v>
      </c>
      <c r="D2640" s="12" t="s">
        <v>19</v>
      </c>
      <c r="E2640" s="12">
        <v>-912</v>
      </c>
    </row>
    <row r="2641" spans="1:5">
      <c r="A2641" s="15">
        <v>43662</v>
      </c>
      <c r="B2641" s="13">
        <v>2510</v>
      </c>
      <c r="C2641" s="13" t="s">
        <v>24</v>
      </c>
      <c r="D2641" s="13" t="s">
        <v>19</v>
      </c>
      <c r="E2641" s="13">
        <v>-674</v>
      </c>
    </row>
    <row r="2642" spans="1:5">
      <c r="A2642" s="14">
        <v>43662</v>
      </c>
      <c r="B2642" s="12">
        <v>2503</v>
      </c>
      <c r="C2642" s="12" t="s">
        <v>22</v>
      </c>
      <c r="D2642" s="12" t="s">
        <v>19</v>
      </c>
      <c r="E2642" s="12">
        <v>-306</v>
      </c>
    </row>
    <row r="2643" spans="1:5">
      <c r="A2643" s="15">
        <v>43662</v>
      </c>
      <c r="B2643" s="13">
        <v>2501</v>
      </c>
      <c r="C2643" s="13" t="s">
        <v>5</v>
      </c>
      <c r="D2643" s="13" t="s">
        <v>19</v>
      </c>
      <c r="E2643" s="13">
        <v>-114</v>
      </c>
    </row>
    <row r="2644" spans="1:5">
      <c r="A2644" s="14">
        <v>43663</v>
      </c>
      <c r="B2644" s="12">
        <v>2508</v>
      </c>
      <c r="C2644" s="12" t="s">
        <v>15</v>
      </c>
      <c r="D2644" s="12" t="s">
        <v>19</v>
      </c>
      <c r="E2644" s="12">
        <v>-42438</v>
      </c>
    </row>
    <row r="2645" spans="1:5">
      <c r="A2645" s="15">
        <v>43663</v>
      </c>
      <c r="B2645" s="13">
        <v>2502</v>
      </c>
      <c r="C2645" s="13" t="s">
        <v>7</v>
      </c>
      <c r="D2645" s="13" t="s">
        <v>12</v>
      </c>
      <c r="E2645" s="13">
        <v>-11859</v>
      </c>
    </row>
    <row r="2646" spans="1:5">
      <c r="A2646" s="14">
        <v>43663</v>
      </c>
      <c r="B2646" s="12">
        <v>2512</v>
      </c>
      <c r="C2646" s="12" t="s">
        <v>16</v>
      </c>
      <c r="D2646" s="12" t="s">
        <v>12</v>
      </c>
      <c r="E2646" s="12">
        <v>-1163</v>
      </c>
    </row>
    <row r="2647" spans="1:5">
      <c r="A2647" s="15">
        <v>43663</v>
      </c>
      <c r="B2647" s="13">
        <v>2504</v>
      </c>
      <c r="C2647" s="13" t="s">
        <v>21</v>
      </c>
      <c r="D2647" s="13" t="s">
        <v>19</v>
      </c>
      <c r="E2647" s="13">
        <v>-904</v>
      </c>
    </row>
    <row r="2648" spans="1:5">
      <c r="A2648" s="14">
        <v>43663</v>
      </c>
      <c r="B2648" s="12">
        <v>2513</v>
      </c>
      <c r="C2648" s="12" t="s">
        <v>17</v>
      </c>
      <c r="D2648" s="12" t="s">
        <v>19</v>
      </c>
      <c r="E2648" s="12">
        <v>-865</v>
      </c>
    </row>
    <row r="2649" spans="1:5">
      <c r="A2649" s="15">
        <v>43663</v>
      </c>
      <c r="B2649" s="13">
        <v>2514</v>
      </c>
      <c r="C2649" s="13" t="s">
        <v>20</v>
      </c>
      <c r="D2649" s="13" t="s">
        <v>19</v>
      </c>
      <c r="E2649" s="13">
        <v>-803</v>
      </c>
    </row>
    <row r="2650" spans="1:5">
      <c r="A2650" s="14">
        <v>43663</v>
      </c>
      <c r="B2650" s="12">
        <v>2510</v>
      </c>
      <c r="C2650" s="12" t="s">
        <v>24</v>
      </c>
      <c r="D2650" s="12" t="s">
        <v>19</v>
      </c>
      <c r="E2650" s="12">
        <v>-696</v>
      </c>
    </row>
    <row r="2651" spans="1:5">
      <c r="A2651" s="15">
        <v>43663</v>
      </c>
      <c r="B2651" s="13">
        <v>2505</v>
      </c>
      <c r="C2651" s="13" t="s">
        <v>9</v>
      </c>
      <c r="D2651" s="13" t="s">
        <v>19</v>
      </c>
      <c r="E2651" s="13">
        <v>-302</v>
      </c>
    </row>
    <row r="2652" spans="1:5">
      <c r="A2652" s="14">
        <v>43663</v>
      </c>
      <c r="B2652" s="12">
        <v>2505</v>
      </c>
      <c r="C2652" s="12" t="s">
        <v>9</v>
      </c>
      <c r="D2652" s="12" t="s">
        <v>19</v>
      </c>
      <c r="E2652" s="12">
        <v>-299</v>
      </c>
    </row>
    <row r="2653" spans="1:5">
      <c r="A2653" s="15">
        <v>43663</v>
      </c>
      <c r="B2653" s="13">
        <v>2503</v>
      </c>
      <c r="C2653" s="13" t="s">
        <v>22</v>
      </c>
      <c r="D2653" s="13" t="s">
        <v>19</v>
      </c>
      <c r="E2653" s="13">
        <v>-236</v>
      </c>
    </row>
    <row r="2654" spans="1:5">
      <c r="A2654" s="14">
        <v>43664</v>
      </c>
      <c r="B2654" s="12">
        <v>1500</v>
      </c>
      <c r="C2654" s="12" t="s">
        <v>26</v>
      </c>
      <c r="D2654" s="12" t="s">
        <v>19</v>
      </c>
      <c r="E2654" s="12">
        <v>-53249</v>
      </c>
    </row>
    <row r="2655" spans="1:5">
      <c r="A2655" s="15">
        <v>43664</v>
      </c>
      <c r="B2655" s="13">
        <v>2502</v>
      </c>
      <c r="C2655" s="13" t="s">
        <v>7</v>
      </c>
      <c r="D2655" s="13" t="s">
        <v>19</v>
      </c>
      <c r="E2655" s="13">
        <v>-3579</v>
      </c>
    </row>
    <row r="2656" spans="1:5">
      <c r="A2656" s="14">
        <v>43664</v>
      </c>
      <c r="B2656" s="12">
        <v>2504</v>
      </c>
      <c r="C2656" s="12" t="s">
        <v>21</v>
      </c>
      <c r="D2656" s="12" t="s">
        <v>19</v>
      </c>
      <c r="E2656" s="12">
        <v>-1482</v>
      </c>
    </row>
    <row r="2657" spans="1:5">
      <c r="A2657" s="15">
        <v>43664</v>
      </c>
      <c r="B2657" s="13">
        <v>2501</v>
      </c>
      <c r="C2657" s="13" t="s">
        <v>5</v>
      </c>
      <c r="D2657" s="13" t="s">
        <v>8</v>
      </c>
      <c r="E2657" s="13">
        <v>-193</v>
      </c>
    </row>
    <row r="2658" spans="1:5">
      <c r="A2658" s="14">
        <v>43664</v>
      </c>
      <c r="B2658" s="12">
        <v>2502</v>
      </c>
      <c r="C2658" s="12" t="s">
        <v>7</v>
      </c>
      <c r="D2658" s="12" t="s">
        <v>14</v>
      </c>
      <c r="E2658" s="12">
        <v>-7588</v>
      </c>
    </row>
    <row r="2659" spans="1:5">
      <c r="A2659" s="15">
        <v>43664</v>
      </c>
      <c r="B2659" s="13">
        <v>2502</v>
      </c>
      <c r="C2659" s="13" t="s">
        <v>7</v>
      </c>
      <c r="D2659" s="13" t="s">
        <v>14</v>
      </c>
      <c r="E2659" s="13">
        <v>-3730</v>
      </c>
    </row>
    <row r="2660" spans="1:5">
      <c r="A2660" s="14">
        <v>43664</v>
      </c>
      <c r="B2660" s="12">
        <v>2503</v>
      </c>
      <c r="C2660" s="12" t="s">
        <v>22</v>
      </c>
      <c r="D2660" s="12" t="s">
        <v>6</v>
      </c>
      <c r="E2660" s="12">
        <v>-268</v>
      </c>
    </row>
    <row r="2661" spans="1:5">
      <c r="A2661" s="15">
        <v>43664</v>
      </c>
      <c r="B2661" s="13">
        <v>2508</v>
      </c>
      <c r="C2661" s="13" t="s">
        <v>15</v>
      </c>
      <c r="D2661" s="13" t="s">
        <v>14</v>
      </c>
      <c r="E2661" s="13">
        <v>-65769</v>
      </c>
    </row>
    <row r="2662" spans="1:5">
      <c r="A2662" s="14">
        <v>43664</v>
      </c>
      <c r="B2662" s="12">
        <v>2512</v>
      </c>
      <c r="C2662" s="12" t="s">
        <v>16</v>
      </c>
      <c r="D2662" s="12" t="s">
        <v>10</v>
      </c>
      <c r="E2662" s="12">
        <v>-4643</v>
      </c>
    </row>
    <row r="2663" spans="1:5">
      <c r="A2663" s="15">
        <v>43664</v>
      </c>
      <c r="B2663" s="13">
        <v>2510</v>
      </c>
      <c r="C2663" s="13" t="s">
        <v>24</v>
      </c>
      <c r="D2663" s="13" t="s">
        <v>12</v>
      </c>
      <c r="E2663" s="13">
        <v>-2351</v>
      </c>
    </row>
    <row r="2664" spans="1:5">
      <c r="A2664" s="14">
        <v>43664</v>
      </c>
      <c r="B2664" s="12">
        <v>2505</v>
      </c>
      <c r="C2664" s="12" t="s">
        <v>9</v>
      </c>
      <c r="D2664" s="12" t="s">
        <v>19</v>
      </c>
      <c r="E2664" s="12">
        <v>-543</v>
      </c>
    </row>
    <row r="2665" spans="1:5">
      <c r="A2665" s="15">
        <v>43665</v>
      </c>
      <c r="B2665" s="13">
        <v>2000</v>
      </c>
      <c r="C2665" s="13" t="s">
        <v>18</v>
      </c>
      <c r="D2665" s="13" t="s">
        <v>19</v>
      </c>
      <c r="E2665" s="13">
        <v>-250312</v>
      </c>
    </row>
    <row r="2666" spans="1:5">
      <c r="A2666" s="14">
        <v>43665</v>
      </c>
      <c r="B2666" s="12">
        <v>2504</v>
      </c>
      <c r="C2666" s="12" t="s">
        <v>21</v>
      </c>
      <c r="D2666" s="12" t="s">
        <v>19</v>
      </c>
      <c r="E2666" s="12">
        <v>-1991</v>
      </c>
    </row>
    <row r="2667" spans="1:5">
      <c r="A2667" s="15">
        <v>43665</v>
      </c>
      <c r="B2667" s="13">
        <v>2514</v>
      </c>
      <c r="C2667" s="13" t="s">
        <v>20</v>
      </c>
      <c r="D2667" s="13" t="s">
        <v>19</v>
      </c>
      <c r="E2667" s="13">
        <v>-1197</v>
      </c>
    </row>
    <row r="2668" spans="1:5">
      <c r="A2668" s="14">
        <v>43665</v>
      </c>
      <c r="B2668" s="12">
        <v>2501</v>
      </c>
      <c r="C2668" s="12" t="s">
        <v>5</v>
      </c>
      <c r="D2668" s="12" t="s">
        <v>13</v>
      </c>
      <c r="E2668" s="12">
        <v>-107</v>
      </c>
    </row>
    <row r="2669" spans="1:5">
      <c r="A2669" s="15">
        <v>43665</v>
      </c>
      <c r="B2669" s="13">
        <v>2503</v>
      </c>
      <c r="C2669" s="13" t="s">
        <v>22</v>
      </c>
      <c r="D2669" s="13" t="s">
        <v>8</v>
      </c>
      <c r="E2669" s="13">
        <v>-367</v>
      </c>
    </row>
    <row r="2670" spans="1:5">
      <c r="A2670" s="14">
        <v>43665</v>
      </c>
      <c r="B2670" s="12">
        <v>2510</v>
      </c>
      <c r="C2670" s="12" t="s">
        <v>24</v>
      </c>
      <c r="D2670" s="12" t="s">
        <v>8</v>
      </c>
      <c r="E2670" s="12">
        <v>-1391</v>
      </c>
    </row>
    <row r="2671" spans="1:5">
      <c r="A2671" s="15">
        <v>43665</v>
      </c>
      <c r="B2671" s="13">
        <v>2505</v>
      </c>
      <c r="C2671" s="13" t="s">
        <v>9</v>
      </c>
      <c r="D2671" s="13" t="s">
        <v>19</v>
      </c>
      <c r="E2671" s="13">
        <v>-407</v>
      </c>
    </row>
    <row r="2672" spans="1:5">
      <c r="A2672" s="14">
        <v>43665</v>
      </c>
      <c r="B2672" s="12">
        <v>2501</v>
      </c>
      <c r="C2672" s="12" t="s">
        <v>5</v>
      </c>
      <c r="D2672" s="12" t="s">
        <v>19</v>
      </c>
      <c r="E2672" s="12">
        <v>-120</v>
      </c>
    </row>
    <row r="2673" spans="1:5">
      <c r="A2673" s="15">
        <v>43666</v>
      </c>
      <c r="B2673" s="13">
        <v>2508</v>
      </c>
      <c r="C2673" s="13" t="s">
        <v>15</v>
      </c>
      <c r="D2673" s="13" t="s">
        <v>19</v>
      </c>
      <c r="E2673" s="13">
        <v>-53708</v>
      </c>
    </row>
    <row r="2674" spans="1:5">
      <c r="A2674" s="14">
        <v>43666</v>
      </c>
      <c r="B2674" s="12">
        <v>2501</v>
      </c>
      <c r="C2674" s="12" t="s">
        <v>5</v>
      </c>
      <c r="D2674" s="12" t="s">
        <v>12</v>
      </c>
      <c r="E2674" s="12">
        <v>-221</v>
      </c>
    </row>
    <row r="2675" spans="1:5">
      <c r="A2675" s="15">
        <v>43666</v>
      </c>
      <c r="B2675" s="13">
        <v>2505</v>
      </c>
      <c r="C2675" s="13" t="s">
        <v>9</v>
      </c>
      <c r="D2675" s="13" t="s">
        <v>14</v>
      </c>
      <c r="E2675" s="13">
        <v>-568</v>
      </c>
    </row>
    <row r="2676" spans="1:5">
      <c r="A2676" s="14">
        <v>43666</v>
      </c>
      <c r="B2676" s="12">
        <v>2505</v>
      </c>
      <c r="C2676" s="12" t="s">
        <v>9</v>
      </c>
      <c r="D2676" s="12" t="s">
        <v>10</v>
      </c>
      <c r="E2676" s="12">
        <v>-439</v>
      </c>
    </row>
    <row r="2677" spans="1:5">
      <c r="A2677" s="15">
        <v>43666</v>
      </c>
      <c r="B2677" s="13">
        <v>2508</v>
      </c>
      <c r="C2677" s="13" t="s">
        <v>15</v>
      </c>
      <c r="D2677" s="13" t="s">
        <v>12</v>
      </c>
      <c r="E2677" s="13">
        <v>-93326</v>
      </c>
    </row>
    <row r="2678" spans="1:5">
      <c r="A2678" s="14">
        <v>43666</v>
      </c>
      <c r="B2678" s="12">
        <v>2513</v>
      </c>
      <c r="C2678" s="12" t="s">
        <v>17</v>
      </c>
      <c r="D2678" s="12" t="s">
        <v>14</v>
      </c>
      <c r="E2678" s="12">
        <v>-800</v>
      </c>
    </row>
    <row r="2679" spans="1:5">
      <c r="A2679" s="15">
        <v>43666</v>
      </c>
      <c r="B2679" s="13">
        <v>2514</v>
      </c>
      <c r="C2679" s="13" t="s">
        <v>20</v>
      </c>
      <c r="D2679" s="13" t="s">
        <v>19</v>
      </c>
      <c r="E2679" s="13">
        <v>-990</v>
      </c>
    </row>
    <row r="2680" spans="1:5">
      <c r="A2680" s="14">
        <v>43666</v>
      </c>
      <c r="B2680" s="12">
        <v>2514</v>
      </c>
      <c r="C2680" s="12" t="s">
        <v>20</v>
      </c>
      <c r="D2680" s="12" t="s">
        <v>19</v>
      </c>
      <c r="E2680" s="12">
        <v>-895</v>
      </c>
    </row>
    <row r="2681" spans="1:5">
      <c r="A2681" s="15">
        <v>43666</v>
      </c>
      <c r="B2681" s="13">
        <v>2505</v>
      </c>
      <c r="C2681" s="13" t="s">
        <v>9</v>
      </c>
      <c r="D2681" s="13" t="s">
        <v>19</v>
      </c>
      <c r="E2681" s="13">
        <v>-578</v>
      </c>
    </row>
    <row r="2682" spans="1:5">
      <c r="A2682" s="14">
        <v>43666</v>
      </c>
      <c r="B2682" s="12">
        <v>1500</v>
      </c>
      <c r="C2682" s="12" t="s">
        <v>26</v>
      </c>
      <c r="D2682" s="12" t="s">
        <v>19</v>
      </c>
      <c r="E2682" s="12">
        <v>-287</v>
      </c>
    </row>
    <row r="2683" spans="1:5">
      <c r="A2683" s="15">
        <v>43666</v>
      </c>
      <c r="B2683" s="13">
        <v>2501</v>
      </c>
      <c r="C2683" s="13" t="s">
        <v>5</v>
      </c>
      <c r="D2683" s="13" t="s">
        <v>19</v>
      </c>
      <c r="E2683" s="13">
        <v>-114</v>
      </c>
    </row>
    <row r="2684" spans="1:5">
      <c r="A2684" s="14">
        <v>43666</v>
      </c>
      <c r="B2684" s="12">
        <v>1000</v>
      </c>
      <c r="C2684" s="12" t="s">
        <v>23</v>
      </c>
      <c r="D2684" s="12" t="s">
        <v>19</v>
      </c>
      <c r="E2684" s="12">
        <v>710057</v>
      </c>
    </row>
    <row r="2685" spans="1:5">
      <c r="A2685" s="15">
        <v>43666</v>
      </c>
      <c r="B2685" s="13">
        <v>1000</v>
      </c>
      <c r="C2685" s="13" t="s">
        <v>23</v>
      </c>
      <c r="D2685" s="13" t="s">
        <v>19</v>
      </c>
      <c r="E2685" s="13">
        <v>1058248</v>
      </c>
    </row>
    <row r="2686" spans="1:5">
      <c r="A2686" s="14">
        <v>43667</v>
      </c>
      <c r="B2686" s="12">
        <v>1500</v>
      </c>
      <c r="C2686" s="12" t="s">
        <v>26</v>
      </c>
      <c r="D2686" s="12" t="s">
        <v>19</v>
      </c>
      <c r="E2686" s="12">
        <v>-14032</v>
      </c>
    </row>
    <row r="2687" spans="1:5">
      <c r="A2687" s="15">
        <v>43667</v>
      </c>
      <c r="B2687" s="13">
        <v>2512</v>
      </c>
      <c r="C2687" s="13" t="s">
        <v>16</v>
      </c>
      <c r="D2687" s="13" t="s">
        <v>19</v>
      </c>
      <c r="E2687" s="13">
        <v>-10075</v>
      </c>
    </row>
    <row r="2688" spans="1:5">
      <c r="A2688" s="14">
        <v>43667</v>
      </c>
      <c r="B2688" s="12">
        <v>2502</v>
      </c>
      <c r="C2688" s="12" t="s">
        <v>7</v>
      </c>
      <c r="D2688" s="12" t="s">
        <v>19</v>
      </c>
      <c r="E2688" s="12">
        <v>-5393</v>
      </c>
    </row>
    <row r="2689" spans="1:5">
      <c r="A2689" s="15">
        <v>43667</v>
      </c>
      <c r="B2689" s="13">
        <v>2502</v>
      </c>
      <c r="C2689" s="13" t="s">
        <v>7</v>
      </c>
      <c r="D2689" s="13" t="s">
        <v>19</v>
      </c>
      <c r="E2689" s="13">
        <v>-3507</v>
      </c>
    </row>
    <row r="2690" spans="1:5">
      <c r="A2690" s="14">
        <v>43667</v>
      </c>
      <c r="B2690" s="12">
        <v>2502</v>
      </c>
      <c r="C2690" s="12" t="s">
        <v>7</v>
      </c>
      <c r="D2690" s="12" t="s">
        <v>19</v>
      </c>
      <c r="E2690" s="12">
        <v>-2674</v>
      </c>
    </row>
    <row r="2691" spans="1:5">
      <c r="A2691" s="15">
        <v>43667</v>
      </c>
      <c r="B2691" s="13">
        <v>2505</v>
      </c>
      <c r="C2691" s="13" t="s">
        <v>9</v>
      </c>
      <c r="D2691" s="13" t="s">
        <v>14</v>
      </c>
      <c r="E2691" s="13">
        <v>-530</v>
      </c>
    </row>
    <row r="2692" spans="1:5">
      <c r="A2692" s="14">
        <v>43667</v>
      </c>
      <c r="B2692" s="12">
        <v>2508</v>
      </c>
      <c r="C2692" s="12" t="s">
        <v>15</v>
      </c>
      <c r="D2692" s="12" t="s">
        <v>10</v>
      </c>
      <c r="E2692" s="12">
        <v>-68105</v>
      </c>
    </row>
    <row r="2693" spans="1:5">
      <c r="A2693" s="15">
        <v>43667</v>
      </c>
      <c r="B2693" s="13">
        <v>2508</v>
      </c>
      <c r="C2693" s="13" t="s">
        <v>15</v>
      </c>
      <c r="D2693" s="13" t="s">
        <v>6</v>
      </c>
      <c r="E2693" s="13">
        <v>-72737</v>
      </c>
    </row>
    <row r="2694" spans="1:5">
      <c r="A2694" s="14">
        <v>43667</v>
      </c>
      <c r="B2694" s="12">
        <v>2512</v>
      </c>
      <c r="C2694" s="12" t="s">
        <v>16</v>
      </c>
      <c r="D2694" s="12" t="s">
        <v>14</v>
      </c>
      <c r="E2694" s="12">
        <v>-2363</v>
      </c>
    </row>
    <row r="2695" spans="1:5">
      <c r="A2695" s="15">
        <v>43667</v>
      </c>
      <c r="B2695" s="13">
        <v>2513</v>
      </c>
      <c r="C2695" s="13" t="s">
        <v>17</v>
      </c>
      <c r="D2695" s="13" t="s">
        <v>12</v>
      </c>
      <c r="E2695" s="13">
        <v>-1892</v>
      </c>
    </row>
    <row r="2696" spans="1:5">
      <c r="A2696" s="14">
        <v>43667</v>
      </c>
      <c r="B2696" s="12">
        <v>2514</v>
      </c>
      <c r="C2696" s="12" t="s">
        <v>20</v>
      </c>
      <c r="D2696" s="12" t="s">
        <v>12</v>
      </c>
      <c r="E2696" s="12">
        <v>-1807</v>
      </c>
    </row>
    <row r="2697" spans="1:5">
      <c r="A2697" s="15">
        <v>43667</v>
      </c>
      <c r="B2697" s="13">
        <v>2510</v>
      </c>
      <c r="C2697" s="13" t="s">
        <v>24</v>
      </c>
      <c r="D2697" s="13" t="s">
        <v>14</v>
      </c>
      <c r="E2697" s="13">
        <v>-1882</v>
      </c>
    </row>
    <row r="2698" spans="1:5">
      <c r="A2698" s="14">
        <v>43667</v>
      </c>
      <c r="B2698" s="12">
        <v>2505</v>
      </c>
      <c r="C2698" s="12" t="s">
        <v>9</v>
      </c>
      <c r="D2698" s="12" t="s">
        <v>19</v>
      </c>
      <c r="E2698" s="12">
        <v>-354</v>
      </c>
    </row>
    <row r="2699" spans="1:5">
      <c r="A2699" s="15">
        <v>43668</v>
      </c>
      <c r="B2699" s="13">
        <v>2502</v>
      </c>
      <c r="C2699" s="13" t="s">
        <v>7</v>
      </c>
      <c r="D2699" s="13" t="s">
        <v>8</v>
      </c>
      <c r="E2699" s="13">
        <v>-3976</v>
      </c>
    </row>
    <row r="2700" spans="1:5">
      <c r="A2700" s="14">
        <v>43668</v>
      </c>
      <c r="B2700" s="12">
        <v>2505</v>
      </c>
      <c r="C2700" s="12" t="s">
        <v>9</v>
      </c>
      <c r="D2700" s="12" t="s">
        <v>8</v>
      </c>
      <c r="E2700" s="12">
        <v>-533</v>
      </c>
    </row>
    <row r="2701" spans="1:5">
      <c r="A2701" s="15">
        <v>43668</v>
      </c>
      <c r="B2701" s="13">
        <v>2506</v>
      </c>
      <c r="C2701" s="13" t="s">
        <v>27</v>
      </c>
      <c r="D2701" s="13" t="s">
        <v>14</v>
      </c>
      <c r="E2701" s="13">
        <v>-586</v>
      </c>
    </row>
    <row r="2702" spans="1:5">
      <c r="A2702" s="14">
        <v>43668</v>
      </c>
      <c r="B2702" s="12">
        <v>2512</v>
      </c>
      <c r="C2702" s="12" t="s">
        <v>16</v>
      </c>
      <c r="D2702" s="12" t="s">
        <v>8</v>
      </c>
      <c r="E2702" s="12">
        <v>-4034</v>
      </c>
    </row>
    <row r="2703" spans="1:5">
      <c r="A2703" s="15">
        <v>43668</v>
      </c>
      <c r="B2703" s="13">
        <v>2513</v>
      </c>
      <c r="C2703" s="13" t="s">
        <v>17</v>
      </c>
      <c r="D2703" s="13" t="s">
        <v>8</v>
      </c>
      <c r="E2703" s="13">
        <v>-879</v>
      </c>
    </row>
    <row r="2704" spans="1:5">
      <c r="A2704" s="14">
        <v>43668</v>
      </c>
      <c r="B2704" s="12">
        <v>2513</v>
      </c>
      <c r="C2704" s="12" t="s">
        <v>17</v>
      </c>
      <c r="D2704" s="12" t="s">
        <v>14</v>
      </c>
      <c r="E2704" s="12">
        <v>-669</v>
      </c>
    </row>
    <row r="2705" spans="1:5">
      <c r="A2705" s="15">
        <v>43668</v>
      </c>
      <c r="B2705" s="13">
        <v>2510</v>
      </c>
      <c r="C2705" s="13" t="s">
        <v>24</v>
      </c>
      <c r="D2705" s="13" t="s">
        <v>14</v>
      </c>
      <c r="E2705" s="13">
        <v>-1384</v>
      </c>
    </row>
    <row r="2706" spans="1:5">
      <c r="A2706" s="14">
        <v>43668</v>
      </c>
      <c r="B2706" s="12">
        <v>2510</v>
      </c>
      <c r="C2706" s="12" t="s">
        <v>24</v>
      </c>
      <c r="D2706" s="12" t="s">
        <v>12</v>
      </c>
      <c r="E2706" s="12">
        <v>-2074</v>
      </c>
    </row>
    <row r="2707" spans="1:5">
      <c r="A2707" s="15">
        <v>43668</v>
      </c>
      <c r="B2707" s="13">
        <v>2510</v>
      </c>
      <c r="C2707" s="13" t="s">
        <v>24</v>
      </c>
      <c r="D2707" s="13" t="s">
        <v>10</v>
      </c>
      <c r="E2707" s="13">
        <v>-950</v>
      </c>
    </row>
    <row r="2708" spans="1:5">
      <c r="A2708" s="14">
        <v>43668</v>
      </c>
      <c r="B2708" s="12">
        <v>2505</v>
      </c>
      <c r="C2708" s="12" t="s">
        <v>9</v>
      </c>
      <c r="D2708" s="12" t="s">
        <v>19</v>
      </c>
      <c r="E2708" s="12">
        <v>-504</v>
      </c>
    </row>
    <row r="2709" spans="1:5">
      <c r="A2709" s="15">
        <v>43668</v>
      </c>
      <c r="B2709" s="13">
        <v>1000</v>
      </c>
      <c r="C2709" s="13" t="s">
        <v>23</v>
      </c>
      <c r="D2709" s="13" t="s">
        <v>19</v>
      </c>
      <c r="E2709" s="13">
        <v>1034868</v>
      </c>
    </row>
    <row r="2710" spans="1:5">
      <c r="A2710" s="14">
        <v>43669</v>
      </c>
      <c r="B2710" s="12">
        <v>2000</v>
      </c>
      <c r="C2710" s="12" t="s">
        <v>18</v>
      </c>
      <c r="D2710" s="12" t="s">
        <v>19</v>
      </c>
      <c r="E2710" s="12">
        <v>-218679</v>
      </c>
    </row>
    <row r="2711" spans="1:5">
      <c r="A2711" s="15">
        <v>43669</v>
      </c>
      <c r="B2711" s="13">
        <v>2512</v>
      </c>
      <c r="C2711" s="13" t="s">
        <v>16</v>
      </c>
      <c r="D2711" s="13" t="s">
        <v>19</v>
      </c>
      <c r="E2711" s="13">
        <v>-9008</v>
      </c>
    </row>
    <row r="2712" spans="1:5">
      <c r="A2712" s="14">
        <v>43669</v>
      </c>
      <c r="B2712" s="12">
        <v>2502</v>
      </c>
      <c r="C2712" s="12" t="s">
        <v>7</v>
      </c>
      <c r="D2712" s="12" t="s">
        <v>19</v>
      </c>
      <c r="E2712" s="12">
        <v>-5249</v>
      </c>
    </row>
    <row r="2713" spans="1:5">
      <c r="A2713" s="15">
        <v>43669</v>
      </c>
      <c r="B2713" s="13">
        <v>2510</v>
      </c>
      <c r="C2713" s="13" t="s">
        <v>24</v>
      </c>
      <c r="D2713" s="13" t="s">
        <v>19</v>
      </c>
      <c r="E2713" s="13">
        <v>-1190</v>
      </c>
    </row>
    <row r="2714" spans="1:5">
      <c r="A2714" s="14">
        <v>43669</v>
      </c>
      <c r="B2714" s="12">
        <v>1500</v>
      </c>
      <c r="C2714" s="12" t="s">
        <v>26</v>
      </c>
      <c r="D2714" s="12" t="s">
        <v>19</v>
      </c>
      <c r="E2714" s="12">
        <v>-1139</v>
      </c>
    </row>
    <row r="2715" spans="1:5">
      <c r="A2715" s="15">
        <v>43669</v>
      </c>
      <c r="B2715" s="13">
        <v>2501</v>
      </c>
      <c r="C2715" s="13" t="s">
        <v>5</v>
      </c>
      <c r="D2715" s="13" t="s">
        <v>8</v>
      </c>
      <c r="E2715" s="13">
        <v>-141</v>
      </c>
    </row>
    <row r="2716" spans="1:5">
      <c r="A2716" s="14">
        <v>43669</v>
      </c>
      <c r="B2716" s="12">
        <v>2503</v>
      </c>
      <c r="C2716" s="12" t="s">
        <v>22</v>
      </c>
      <c r="D2716" s="12" t="s">
        <v>8</v>
      </c>
      <c r="E2716" s="12">
        <v>-267</v>
      </c>
    </row>
    <row r="2717" spans="1:5">
      <c r="A2717" s="15">
        <v>43669</v>
      </c>
      <c r="B2717" s="13">
        <v>2503</v>
      </c>
      <c r="C2717" s="13" t="s">
        <v>22</v>
      </c>
      <c r="D2717" s="13" t="s">
        <v>14</v>
      </c>
      <c r="E2717" s="13">
        <v>-343</v>
      </c>
    </row>
    <row r="2718" spans="1:5">
      <c r="A2718" s="14">
        <v>43669</v>
      </c>
      <c r="B2718" s="12">
        <v>2503</v>
      </c>
      <c r="C2718" s="12" t="s">
        <v>22</v>
      </c>
      <c r="D2718" s="12" t="s">
        <v>13</v>
      </c>
      <c r="E2718" s="12">
        <v>-302</v>
      </c>
    </row>
    <row r="2719" spans="1:5">
      <c r="A2719" s="15">
        <v>43669</v>
      </c>
      <c r="B2719" s="13">
        <v>2505</v>
      </c>
      <c r="C2719" s="13" t="s">
        <v>9</v>
      </c>
      <c r="D2719" s="13" t="s">
        <v>6</v>
      </c>
      <c r="E2719" s="13">
        <v>-438</v>
      </c>
    </row>
    <row r="2720" spans="1:5">
      <c r="A2720" s="14">
        <v>43669</v>
      </c>
      <c r="B2720" s="12">
        <v>2508</v>
      </c>
      <c r="C2720" s="12" t="s">
        <v>15</v>
      </c>
      <c r="D2720" s="12" t="s">
        <v>14</v>
      </c>
      <c r="E2720" s="12">
        <v>-74488</v>
      </c>
    </row>
    <row r="2721" spans="1:5">
      <c r="A2721" s="15">
        <v>43669</v>
      </c>
      <c r="B2721" s="13">
        <v>2513</v>
      </c>
      <c r="C2721" s="13" t="s">
        <v>17</v>
      </c>
      <c r="D2721" s="13" t="s">
        <v>13</v>
      </c>
      <c r="E2721" s="13">
        <v>-508</v>
      </c>
    </row>
    <row r="2722" spans="1:5">
      <c r="A2722" s="14">
        <v>43669</v>
      </c>
      <c r="B2722" s="12">
        <v>2514</v>
      </c>
      <c r="C2722" s="12" t="s">
        <v>20</v>
      </c>
      <c r="D2722" s="12" t="s">
        <v>8</v>
      </c>
      <c r="E2722" s="12">
        <v>-1139</v>
      </c>
    </row>
    <row r="2723" spans="1:5">
      <c r="A2723" s="15">
        <v>43669</v>
      </c>
      <c r="B2723" s="13">
        <v>2513</v>
      </c>
      <c r="C2723" s="13" t="s">
        <v>17</v>
      </c>
      <c r="D2723" s="13" t="s">
        <v>19</v>
      </c>
      <c r="E2723" s="13">
        <v>-421</v>
      </c>
    </row>
    <row r="2724" spans="1:5">
      <c r="A2724" s="14">
        <v>43669</v>
      </c>
      <c r="B2724" s="12">
        <v>1000</v>
      </c>
      <c r="C2724" s="12" t="s">
        <v>23</v>
      </c>
      <c r="D2724" s="12" t="s">
        <v>19</v>
      </c>
      <c r="E2724" s="12">
        <v>687337</v>
      </c>
    </row>
    <row r="2725" spans="1:5">
      <c r="A2725" s="15">
        <v>43670</v>
      </c>
      <c r="B2725" s="13">
        <v>2000</v>
      </c>
      <c r="C2725" s="13" t="s">
        <v>18</v>
      </c>
      <c r="D2725" s="13" t="s">
        <v>19</v>
      </c>
      <c r="E2725" s="13">
        <v>-294601</v>
      </c>
    </row>
    <row r="2726" spans="1:5">
      <c r="A2726" s="14">
        <v>43670</v>
      </c>
      <c r="B2726" s="12">
        <v>2508</v>
      </c>
      <c r="C2726" s="12" t="s">
        <v>15</v>
      </c>
      <c r="D2726" s="12" t="s">
        <v>19</v>
      </c>
      <c r="E2726" s="12">
        <v>-58959</v>
      </c>
    </row>
    <row r="2727" spans="1:5">
      <c r="A2727" s="15">
        <v>43670</v>
      </c>
      <c r="B2727" s="13">
        <v>2502</v>
      </c>
      <c r="C2727" s="13" t="s">
        <v>7</v>
      </c>
      <c r="D2727" s="13" t="s">
        <v>19</v>
      </c>
      <c r="E2727" s="13">
        <v>-4062</v>
      </c>
    </row>
    <row r="2728" spans="1:5">
      <c r="A2728" s="14">
        <v>43670</v>
      </c>
      <c r="B2728" s="12">
        <v>2510</v>
      </c>
      <c r="C2728" s="12" t="s">
        <v>24</v>
      </c>
      <c r="D2728" s="12" t="s">
        <v>19</v>
      </c>
      <c r="E2728" s="12">
        <v>-1060</v>
      </c>
    </row>
    <row r="2729" spans="1:5">
      <c r="A2729" s="15">
        <v>43670</v>
      </c>
      <c r="B2729" s="13">
        <v>2501</v>
      </c>
      <c r="C2729" s="13" t="s">
        <v>5</v>
      </c>
      <c r="D2729" s="13" t="s">
        <v>8</v>
      </c>
      <c r="E2729" s="13">
        <v>-122</v>
      </c>
    </row>
    <row r="2730" spans="1:5">
      <c r="A2730" s="14">
        <v>43670</v>
      </c>
      <c r="B2730" s="12">
        <v>2501</v>
      </c>
      <c r="C2730" s="12" t="s">
        <v>5</v>
      </c>
      <c r="D2730" s="12" t="s">
        <v>8</v>
      </c>
      <c r="E2730" s="12">
        <v>-146</v>
      </c>
    </row>
    <row r="2731" spans="1:5">
      <c r="A2731" s="15">
        <v>43670</v>
      </c>
      <c r="B2731" s="13">
        <v>2502</v>
      </c>
      <c r="C2731" s="13" t="s">
        <v>7</v>
      </c>
      <c r="D2731" s="13" t="s">
        <v>10</v>
      </c>
      <c r="E2731" s="13">
        <v>-2916</v>
      </c>
    </row>
    <row r="2732" spans="1:5">
      <c r="A2732" s="14">
        <v>43670</v>
      </c>
      <c r="B2732" s="12">
        <v>2505</v>
      </c>
      <c r="C2732" s="12" t="s">
        <v>9</v>
      </c>
      <c r="D2732" s="12" t="s">
        <v>6</v>
      </c>
      <c r="E2732" s="12">
        <v>-551</v>
      </c>
    </row>
    <row r="2733" spans="1:5">
      <c r="A2733" s="15">
        <v>43670</v>
      </c>
      <c r="B2733" s="13">
        <v>2508</v>
      </c>
      <c r="C2733" s="13" t="s">
        <v>15</v>
      </c>
      <c r="D2733" s="13" t="s">
        <v>8</v>
      </c>
      <c r="E2733" s="13">
        <v>-64183</v>
      </c>
    </row>
    <row r="2734" spans="1:5">
      <c r="A2734" s="14">
        <v>43670</v>
      </c>
      <c r="B2734" s="12">
        <v>2512</v>
      </c>
      <c r="C2734" s="12" t="s">
        <v>16</v>
      </c>
      <c r="D2734" s="12" t="s">
        <v>8</v>
      </c>
      <c r="E2734" s="12">
        <v>-2609</v>
      </c>
    </row>
    <row r="2735" spans="1:5">
      <c r="A2735" s="15">
        <v>43670</v>
      </c>
      <c r="B2735" s="13">
        <v>2513</v>
      </c>
      <c r="C2735" s="13" t="s">
        <v>17</v>
      </c>
      <c r="D2735" s="13" t="s">
        <v>12</v>
      </c>
      <c r="E2735" s="13">
        <v>-941</v>
      </c>
    </row>
    <row r="2736" spans="1:5">
      <c r="A2736" s="14">
        <v>43670</v>
      </c>
      <c r="B2736" s="12">
        <v>2510</v>
      </c>
      <c r="C2736" s="12" t="s">
        <v>24</v>
      </c>
      <c r="D2736" s="12" t="s">
        <v>10</v>
      </c>
      <c r="E2736" s="12">
        <v>-1676</v>
      </c>
    </row>
    <row r="2737" spans="1:5">
      <c r="A2737" s="15">
        <v>43670</v>
      </c>
      <c r="B2737" s="13">
        <v>2510</v>
      </c>
      <c r="C2737" s="13" t="s">
        <v>24</v>
      </c>
      <c r="D2737" s="13" t="s">
        <v>6</v>
      </c>
      <c r="E2737" s="13">
        <v>-1204</v>
      </c>
    </row>
    <row r="2738" spans="1:5">
      <c r="A2738" s="14">
        <v>43670</v>
      </c>
      <c r="B2738" s="12">
        <v>2513</v>
      </c>
      <c r="C2738" s="12" t="s">
        <v>17</v>
      </c>
      <c r="D2738" s="12" t="s">
        <v>19</v>
      </c>
      <c r="E2738" s="12">
        <v>-871</v>
      </c>
    </row>
    <row r="2739" spans="1:5">
      <c r="A2739" s="15">
        <v>43670</v>
      </c>
      <c r="B2739" s="13">
        <v>2503</v>
      </c>
      <c r="C2739" s="13" t="s">
        <v>22</v>
      </c>
      <c r="D2739" s="13" t="s">
        <v>19</v>
      </c>
      <c r="E2739" s="13">
        <v>-311</v>
      </c>
    </row>
    <row r="2740" spans="1:5">
      <c r="A2740" s="14">
        <v>43670</v>
      </c>
      <c r="B2740" s="12">
        <v>2501</v>
      </c>
      <c r="C2740" s="12" t="s">
        <v>5</v>
      </c>
      <c r="D2740" s="12" t="s">
        <v>19</v>
      </c>
      <c r="E2740" s="12">
        <v>-141</v>
      </c>
    </row>
    <row r="2741" spans="1:5">
      <c r="A2741" s="15">
        <v>43670</v>
      </c>
      <c r="B2741" s="13">
        <v>2501</v>
      </c>
      <c r="C2741" s="13" t="s">
        <v>5</v>
      </c>
      <c r="D2741" s="13" t="s">
        <v>19</v>
      </c>
      <c r="E2741" s="13">
        <v>-129</v>
      </c>
    </row>
    <row r="2742" spans="1:5">
      <c r="A2742" s="14">
        <v>43671</v>
      </c>
      <c r="B2742" s="12">
        <v>1500</v>
      </c>
      <c r="C2742" s="12" t="s">
        <v>26</v>
      </c>
      <c r="D2742" s="12" t="s">
        <v>19</v>
      </c>
      <c r="E2742" s="12">
        <v>-48186</v>
      </c>
    </row>
    <row r="2743" spans="1:5">
      <c r="A2743" s="15">
        <v>43671</v>
      </c>
      <c r="B2743" s="13">
        <v>2512</v>
      </c>
      <c r="C2743" s="13" t="s">
        <v>16</v>
      </c>
      <c r="D2743" s="13" t="s">
        <v>19</v>
      </c>
      <c r="E2743" s="13">
        <v>-4535</v>
      </c>
    </row>
    <row r="2744" spans="1:5">
      <c r="A2744" s="14">
        <v>43671</v>
      </c>
      <c r="B2744" s="12">
        <v>2510</v>
      </c>
      <c r="C2744" s="12" t="s">
        <v>24</v>
      </c>
      <c r="D2744" s="12" t="s">
        <v>19</v>
      </c>
      <c r="E2744" s="12">
        <v>-1331</v>
      </c>
    </row>
    <row r="2745" spans="1:5">
      <c r="A2745" s="15">
        <v>43671</v>
      </c>
      <c r="B2745" s="13">
        <v>2504</v>
      </c>
      <c r="C2745" s="13" t="s">
        <v>21</v>
      </c>
      <c r="D2745" s="13" t="s">
        <v>19</v>
      </c>
      <c r="E2745" s="13">
        <v>-1263</v>
      </c>
    </row>
    <row r="2746" spans="1:5">
      <c r="A2746" s="14">
        <v>43671</v>
      </c>
      <c r="B2746" s="12">
        <v>2501</v>
      </c>
      <c r="C2746" s="12" t="s">
        <v>5</v>
      </c>
      <c r="D2746" s="12" t="s">
        <v>13</v>
      </c>
      <c r="E2746" s="12">
        <v>-104</v>
      </c>
    </row>
    <row r="2747" spans="1:5">
      <c r="A2747" s="15">
        <v>43671</v>
      </c>
      <c r="B2747" s="13">
        <v>2506</v>
      </c>
      <c r="C2747" s="13" t="s">
        <v>27</v>
      </c>
      <c r="D2747" s="13" t="s">
        <v>14</v>
      </c>
      <c r="E2747" s="13">
        <v>-683</v>
      </c>
    </row>
    <row r="2748" spans="1:5">
      <c r="A2748" s="14">
        <v>43671</v>
      </c>
      <c r="B2748" s="12">
        <v>2514</v>
      </c>
      <c r="C2748" s="12" t="s">
        <v>20</v>
      </c>
      <c r="D2748" s="12" t="s">
        <v>12</v>
      </c>
      <c r="E2748" s="12">
        <v>-2040</v>
      </c>
    </row>
    <row r="2749" spans="1:5">
      <c r="A2749" s="15">
        <v>43671</v>
      </c>
      <c r="B2749" s="13">
        <v>2514</v>
      </c>
      <c r="C2749" s="13" t="s">
        <v>20</v>
      </c>
      <c r="D2749" s="13" t="s">
        <v>19</v>
      </c>
      <c r="E2749" s="13">
        <v>-810</v>
      </c>
    </row>
    <row r="2750" spans="1:5">
      <c r="A2750" s="14">
        <v>43671</v>
      </c>
      <c r="B2750" s="12">
        <v>2501</v>
      </c>
      <c r="C2750" s="12" t="s">
        <v>5</v>
      </c>
      <c r="D2750" s="12" t="s">
        <v>19</v>
      </c>
      <c r="E2750" s="12">
        <v>-132</v>
      </c>
    </row>
    <row r="2751" spans="1:5">
      <c r="A2751" s="15">
        <v>43671</v>
      </c>
      <c r="B2751" s="13">
        <v>1000</v>
      </c>
      <c r="C2751" s="13" t="s">
        <v>23</v>
      </c>
      <c r="D2751" s="13" t="s">
        <v>19</v>
      </c>
      <c r="E2751" s="13">
        <v>851613</v>
      </c>
    </row>
    <row r="2752" spans="1:5">
      <c r="A2752" s="14">
        <v>43672</v>
      </c>
      <c r="B2752" s="12">
        <v>2512</v>
      </c>
      <c r="C2752" s="12" t="s">
        <v>16</v>
      </c>
      <c r="D2752" s="12" t="s">
        <v>19</v>
      </c>
      <c r="E2752" s="12">
        <v>-3811</v>
      </c>
    </row>
    <row r="2753" spans="1:5">
      <c r="A2753" s="15">
        <v>43672</v>
      </c>
      <c r="B2753" s="13">
        <v>2502</v>
      </c>
      <c r="C2753" s="13" t="s">
        <v>7</v>
      </c>
      <c r="D2753" s="13" t="s">
        <v>19</v>
      </c>
      <c r="E2753" s="13">
        <v>-2808</v>
      </c>
    </row>
    <row r="2754" spans="1:5">
      <c r="A2754" s="14">
        <v>43672</v>
      </c>
      <c r="B2754" s="12">
        <v>2504</v>
      </c>
      <c r="C2754" s="12" t="s">
        <v>21</v>
      </c>
      <c r="D2754" s="12" t="s">
        <v>19</v>
      </c>
      <c r="E2754" s="12">
        <v>-2429</v>
      </c>
    </row>
    <row r="2755" spans="1:5">
      <c r="A2755" s="15">
        <v>43672</v>
      </c>
      <c r="B2755" s="13">
        <v>2501</v>
      </c>
      <c r="C2755" s="13" t="s">
        <v>5</v>
      </c>
      <c r="D2755" s="13" t="s">
        <v>12</v>
      </c>
      <c r="E2755" s="13">
        <v>-149</v>
      </c>
    </row>
    <row r="2756" spans="1:5">
      <c r="A2756" s="14">
        <v>43672</v>
      </c>
      <c r="B2756" s="12">
        <v>2501</v>
      </c>
      <c r="C2756" s="12" t="s">
        <v>5</v>
      </c>
      <c r="D2756" s="12" t="s">
        <v>10</v>
      </c>
      <c r="E2756" s="12">
        <v>-121</v>
      </c>
    </row>
    <row r="2757" spans="1:5">
      <c r="A2757" s="15">
        <v>43672</v>
      </c>
      <c r="B2757" s="13">
        <v>2503</v>
      </c>
      <c r="C2757" s="13" t="s">
        <v>22</v>
      </c>
      <c r="D2757" s="13" t="s">
        <v>13</v>
      </c>
      <c r="E2757" s="13">
        <v>-275</v>
      </c>
    </row>
    <row r="2758" spans="1:5">
      <c r="A2758" s="14">
        <v>43672</v>
      </c>
      <c r="B2758" s="12">
        <v>2505</v>
      </c>
      <c r="C2758" s="12" t="s">
        <v>9</v>
      </c>
      <c r="D2758" s="12" t="s">
        <v>13</v>
      </c>
      <c r="E2758" s="12">
        <v>-394</v>
      </c>
    </row>
    <row r="2759" spans="1:5">
      <c r="A2759" s="15">
        <v>43672</v>
      </c>
      <c r="B2759" s="13">
        <v>2505</v>
      </c>
      <c r="C2759" s="13" t="s">
        <v>9</v>
      </c>
      <c r="D2759" s="13" t="s">
        <v>6</v>
      </c>
      <c r="E2759" s="13">
        <v>-731</v>
      </c>
    </row>
    <row r="2760" spans="1:5">
      <c r="A2760" s="14">
        <v>43672</v>
      </c>
      <c r="B2760" s="12">
        <v>2512</v>
      </c>
      <c r="C2760" s="12" t="s">
        <v>16</v>
      </c>
      <c r="D2760" s="12" t="s">
        <v>8</v>
      </c>
      <c r="E2760" s="12">
        <v>-4120</v>
      </c>
    </row>
    <row r="2761" spans="1:5">
      <c r="A2761" s="15">
        <v>43672</v>
      </c>
      <c r="B2761" s="13">
        <v>2513</v>
      </c>
      <c r="C2761" s="13" t="s">
        <v>17</v>
      </c>
      <c r="D2761" s="13" t="s">
        <v>8</v>
      </c>
      <c r="E2761" s="13">
        <v>-810</v>
      </c>
    </row>
    <row r="2762" spans="1:5">
      <c r="A2762" s="14">
        <v>43672</v>
      </c>
      <c r="B2762" s="12">
        <v>2514</v>
      </c>
      <c r="C2762" s="12" t="s">
        <v>20</v>
      </c>
      <c r="D2762" s="12" t="s">
        <v>14</v>
      </c>
      <c r="E2762" s="12">
        <v>-1214</v>
      </c>
    </row>
    <row r="2763" spans="1:5">
      <c r="A2763" s="15">
        <v>43672</v>
      </c>
      <c r="B2763" s="13">
        <v>2514</v>
      </c>
      <c r="C2763" s="13" t="s">
        <v>20</v>
      </c>
      <c r="D2763" s="13" t="s">
        <v>6</v>
      </c>
      <c r="E2763" s="13">
        <v>-1268</v>
      </c>
    </row>
    <row r="2764" spans="1:5">
      <c r="A2764" s="14">
        <v>43672</v>
      </c>
      <c r="B2764" s="12">
        <v>2514</v>
      </c>
      <c r="C2764" s="12" t="s">
        <v>20</v>
      </c>
      <c r="D2764" s="12" t="s">
        <v>14</v>
      </c>
      <c r="E2764" s="12">
        <v>-1273</v>
      </c>
    </row>
    <row r="2765" spans="1:5">
      <c r="A2765" s="15">
        <v>43672</v>
      </c>
      <c r="B2765" s="13">
        <v>2513</v>
      </c>
      <c r="C2765" s="13" t="s">
        <v>17</v>
      </c>
      <c r="D2765" s="13" t="s">
        <v>19</v>
      </c>
      <c r="E2765" s="13">
        <v>-973</v>
      </c>
    </row>
    <row r="2766" spans="1:5">
      <c r="A2766" s="14">
        <v>43672</v>
      </c>
      <c r="B2766" s="12">
        <v>2514</v>
      </c>
      <c r="C2766" s="12" t="s">
        <v>20</v>
      </c>
      <c r="D2766" s="12" t="s">
        <v>19</v>
      </c>
      <c r="E2766" s="12">
        <v>-785</v>
      </c>
    </row>
    <row r="2767" spans="1:5">
      <c r="A2767" s="15">
        <v>43672</v>
      </c>
      <c r="B2767" s="13">
        <v>2505</v>
      </c>
      <c r="C2767" s="13" t="s">
        <v>9</v>
      </c>
      <c r="D2767" s="13" t="s">
        <v>19</v>
      </c>
      <c r="E2767" s="13">
        <v>-483</v>
      </c>
    </row>
    <row r="2768" spans="1:5">
      <c r="A2768" s="14">
        <v>43672</v>
      </c>
      <c r="B2768" s="12">
        <v>1000</v>
      </c>
      <c r="C2768" s="12" t="s">
        <v>23</v>
      </c>
      <c r="D2768" s="12" t="s">
        <v>19</v>
      </c>
      <c r="E2768" s="12">
        <v>573216</v>
      </c>
    </row>
    <row r="2769" spans="1:5">
      <c r="A2769" s="15">
        <v>43673</v>
      </c>
      <c r="B2769" s="13">
        <v>1500</v>
      </c>
      <c r="C2769" s="13" t="s">
        <v>26</v>
      </c>
      <c r="D2769" s="13" t="s">
        <v>19</v>
      </c>
      <c r="E2769" s="13">
        <v>-38471</v>
      </c>
    </row>
    <row r="2770" spans="1:5">
      <c r="A2770" s="14">
        <v>43673</v>
      </c>
      <c r="B2770" s="12">
        <v>2502</v>
      </c>
      <c r="C2770" s="12" t="s">
        <v>7</v>
      </c>
      <c r="D2770" s="12" t="s">
        <v>19</v>
      </c>
      <c r="E2770" s="12">
        <v>-5639</v>
      </c>
    </row>
    <row r="2771" spans="1:5">
      <c r="A2771" s="15">
        <v>43673</v>
      </c>
      <c r="B2771" s="13">
        <v>2501</v>
      </c>
      <c r="C2771" s="13" t="s">
        <v>5</v>
      </c>
      <c r="D2771" s="13" t="s">
        <v>13</v>
      </c>
      <c r="E2771" s="13">
        <v>-103</v>
      </c>
    </row>
    <row r="2772" spans="1:5">
      <c r="A2772" s="14">
        <v>43673</v>
      </c>
      <c r="B2772" s="12">
        <v>2503</v>
      </c>
      <c r="C2772" s="12" t="s">
        <v>22</v>
      </c>
      <c r="D2772" s="12" t="s">
        <v>14</v>
      </c>
      <c r="E2772" s="12">
        <v>-297</v>
      </c>
    </row>
    <row r="2773" spans="1:5">
      <c r="A2773" s="15">
        <v>43673</v>
      </c>
      <c r="B2773" s="13">
        <v>2503</v>
      </c>
      <c r="C2773" s="13" t="s">
        <v>22</v>
      </c>
      <c r="D2773" s="13" t="s">
        <v>14</v>
      </c>
      <c r="E2773" s="13">
        <v>-357</v>
      </c>
    </row>
    <row r="2774" spans="1:5">
      <c r="A2774" s="14">
        <v>43673</v>
      </c>
      <c r="B2774" s="12">
        <v>2503</v>
      </c>
      <c r="C2774" s="12" t="s">
        <v>22</v>
      </c>
      <c r="D2774" s="12" t="s">
        <v>12</v>
      </c>
      <c r="E2774" s="12">
        <v>-443</v>
      </c>
    </row>
    <row r="2775" spans="1:5">
      <c r="A2775" s="15">
        <v>43673</v>
      </c>
      <c r="B2775" s="13">
        <v>2505</v>
      </c>
      <c r="C2775" s="13" t="s">
        <v>9</v>
      </c>
      <c r="D2775" s="13" t="s">
        <v>12</v>
      </c>
      <c r="E2775" s="13">
        <v>-792</v>
      </c>
    </row>
    <row r="2776" spans="1:5">
      <c r="A2776" s="14">
        <v>43673</v>
      </c>
      <c r="B2776" s="12">
        <v>2505</v>
      </c>
      <c r="C2776" s="12" t="s">
        <v>9</v>
      </c>
      <c r="D2776" s="12" t="s">
        <v>13</v>
      </c>
      <c r="E2776" s="12">
        <v>-518</v>
      </c>
    </row>
    <row r="2777" spans="1:5">
      <c r="A2777" s="15">
        <v>43673</v>
      </c>
      <c r="B2777" s="13">
        <v>2506</v>
      </c>
      <c r="C2777" s="13" t="s">
        <v>27</v>
      </c>
      <c r="D2777" s="13" t="s">
        <v>14</v>
      </c>
      <c r="E2777" s="13">
        <v>-721</v>
      </c>
    </row>
    <row r="2778" spans="1:5">
      <c r="A2778" s="14">
        <v>43673</v>
      </c>
      <c r="B2778" s="12">
        <v>2512</v>
      </c>
      <c r="C2778" s="12" t="s">
        <v>16</v>
      </c>
      <c r="D2778" s="12" t="s">
        <v>10</v>
      </c>
      <c r="E2778" s="12">
        <v>-3502</v>
      </c>
    </row>
    <row r="2779" spans="1:5">
      <c r="A2779" s="15">
        <v>43673</v>
      </c>
      <c r="B2779" s="13">
        <v>2512</v>
      </c>
      <c r="C2779" s="13" t="s">
        <v>16</v>
      </c>
      <c r="D2779" s="13" t="s">
        <v>8</v>
      </c>
      <c r="E2779" s="13">
        <v>-2981</v>
      </c>
    </row>
    <row r="2780" spans="1:5">
      <c r="A2780" s="14">
        <v>43673</v>
      </c>
      <c r="B2780" s="12">
        <v>2513</v>
      </c>
      <c r="C2780" s="12" t="s">
        <v>17</v>
      </c>
      <c r="D2780" s="12" t="s">
        <v>8</v>
      </c>
      <c r="E2780" s="12">
        <v>-730</v>
      </c>
    </row>
    <row r="2781" spans="1:5">
      <c r="A2781" s="15">
        <v>43673</v>
      </c>
      <c r="B2781" s="13">
        <v>2514</v>
      </c>
      <c r="C2781" s="13" t="s">
        <v>20</v>
      </c>
      <c r="D2781" s="13" t="s">
        <v>8</v>
      </c>
      <c r="E2781" s="13">
        <v>-1479</v>
      </c>
    </row>
    <row r="2782" spans="1:5">
      <c r="A2782" s="14">
        <v>43673</v>
      </c>
      <c r="B2782" s="12">
        <v>2514</v>
      </c>
      <c r="C2782" s="12" t="s">
        <v>20</v>
      </c>
      <c r="D2782" s="12" t="s">
        <v>19</v>
      </c>
      <c r="E2782" s="12">
        <v>-800</v>
      </c>
    </row>
    <row r="2783" spans="1:5">
      <c r="A2783" s="15">
        <v>43674</v>
      </c>
      <c r="B2783" s="13">
        <v>1500</v>
      </c>
      <c r="C2783" s="13" t="s">
        <v>26</v>
      </c>
      <c r="D2783" s="13" t="s">
        <v>19</v>
      </c>
      <c r="E2783" s="13">
        <v>-55352</v>
      </c>
    </row>
    <row r="2784" spans="1:5">
      <c r="A2784" s="14">
        <v>43674</v>
      </c>
      <c r="B2784" s="12">
        <v>2500</v>
      </c>
      <c r="C2784" s="12" t="s">
        <v>25</v>
      </c>
      <c r="D2784" s="12" t="s">
        <v>19</v>
      </c>
      <c r="E2784" s="12">
        <v>-30979</v>
      </c>
    </row>
    <row r="2785" spans="1:5">
      <c r="A2785" s="15">
        <v>43674</v>
      </c>
      <c r="B2785" s="13">
        <v>2512</v>
      </c>
      <c r="C2785" s="13" t="s">
        <v>16</v>
      </c>
      <c r="D2785" s="13" t="s">
        <v>19</v>
      </c>
      <c r="E2785" s="13">
        <v>-6939</v>
      </c>
    </row>
    <row r="2786" spans="1:5">
      <c r="A2786" s="14">
        <v>43674</v>
      </c>
      <c r="B2786" s="12">
        <v>2502</v>
      </c>
      <c r="C2786" s="12" t="s">
        <v>7</v>
      </c>
      <c r="D2786" s="12" t="s">
        <v>19</v>
      </c>
      <c r="E2786" s="12">
        <v>-3718</v>
      </c>
    </row>
    <row r="2787" spans="1:5">
      <c r="A2787" s="15">
        <v>43674</v>
      </c>
      <c r="B2787" s="13">
        <v>2502</v>
      </c>
      <c r="C2787" s="13" t="s">
        <v>7</v>
      </c>
      <c r="D2787" s="13" t="s">
        <v>19</v>
      </c>
      <c r="E2787" s="13">
        <v>-2613</v>
      </c>
    </row>
    <row r="2788" spans="1:5">
      <c r="A2788" s="14">
        <v>43674</v>
      </c>
      <c r="B2788" s="12">
        <v>2505</v>
      </c>
      <c r="C2788" s="12" t="s">
        <v>9</v>
      </c>
      <c r="D2788" s="12" t="s">
        <v>13</v>
      </c>
      <c r="E2788" s="12">
        <v>-380</v>
      </c>
    </row>
    <row r="2789" spans="1:5">
      <c r="A2789" s="15">
        <v>43674</v>
      </c>
      <c r="B2789" s="13">
        <v>2505</v>
      </c>
      <c r="C2789" s="13" t="s">
        <v>9</v>
      </c>
      <c r="D2789" s="13" t="s">
        <v>13</v>
      </c>
      <c r="E2789" s="13">
        <v>-486</v>
      </c>
    </row>
    <row r="2790" spans="1:5">
      <c r="A2790" s="14">
        <v>43674</v>
      </c>
      <c r="B2790" s="12">
        <v>2508</v>
      </c>
      <c r="C2790" s="12" t="s">
        <v>15</v>
      </c>
      <c r="D2790" s="12" t="s">
        <v>14</v>
      </c>
      <c r="E2790" s="12">
        <v>-74847</v>
      </c>
    </row>
    <row r="2791" spans="1:5">
      <c r="A2791" s="15">
        <v>43674</v>
      </c>
      <c r="B2791" s="13">
        <v>2508</v>
      </c>
      <c r="C2791" s="13" t="s">
        <v>15</v>
      </c>
      <c r="D2791" s="13" t="s">
        <v>8</v>
      </c>
      <c r="E2791" s="13">
        <v>-62785</v>
      </c>
    </row>
    <row r="2792" spans="1:5">
      <c r="A2792" s="14">
        <v>43674</v>
      </c>
      <c r="B2792" s="12">
        <v>2514</v>
      </c>
      <c r="C2792" s="12" t="s">
        <v>20</v>
      </c>
      <c r="D2792" s="12" t="s">
        <v>10</v>
      </c>
      <c r="E2792" s="12">
        <v>-1083</v>
      </c>
    </row>
    <row r="2793" spans="1:5">
      <c r="A2793" s="15">
        <v>43674</v>
      </c>
      <c r="B2793" s="13">
        <v>2501</v>
      </c>
      <c r="C2793" s="13" t="s">
        <v>5</v>
      </c>
      <c r="D2793" s="13" t="s">
        <v>19</v>
      </c>
      <c r="E2793" s="13">
        <v>-59</v>
      </c>
    </row>
    <row r="2794" spans="1:5">
      <c r="A2794" s="14">
        <v>43674</v>
      </c>
      <c r="B2794" s="12">
        <v>1000</v>
      </c>
      <c r="C2794" s="12" t="s">
        <v>23</v>
      </c>
      <c r="D2794" s="12" t="s">
        <v>19</v>
      </c>
      <c r="E2794" s="12">
        <v>1066985</v>
      </c>
    </row>
    <row r="2795" spans="1:5">
      <c r="A2795" s="15">
        <v>43675</v>
      </c>
      <c r="B2795" s="13">
        <v>2000</v>
      </c>
      <c r="C2795" s="13" t="s">
        <v>18</v>
      </c>
      <c r="D2795" s="13" t="s">
        <v>19</v>
      </c>
      <c r="E2795" s="13">
        <v>-326925</v>
      </c>
    </row>
    <row r="2796" spans="1:5">
      <c r="A2796" s="14">
        <v>43675</v>
      </c>
      <c r="B2796" s="12">
        <v>2508</v>
      </c>
      <c r="C2796" s="12" t="s">
        <v>15</v>
      </c>
      <c r="D2796" s="12" t="s">
        <v>19</v>
      </c>
      <c r="E2796" s="12">
        <v>-46244</v>
      </c>
    </row>
    <row r="2797" spans="1:5">
      <c r="A2797" s="15">
        <v>43675</v>
      </c>
      <c r="B2797" s="13">
        <v>2500</v>
      </c>
      <c r="C2797" s="13" t="s">
        <v>25</v>
      </c>
      <c r="D2797" s="13" t="s">
        <v>19</v>
      </c>
      <c r="E2797" s="13">
        <v>-19207</v>
      </c>
    </row>
    <row r="2798" spans="1:5">
      <c r="A2798" s="14">
        <v>43675</v>
      </c>
      <c r="B2798" s="12">
        <v>2501</v>
      </c>
      <c r="C2798" s="12" t="s">
        <v>5</v>
      </c>
      <c r="D2798" s="12" t="s">
        <v>6</v>
      </c>
      <c r="E2798" s="12">
        <v>-95</v>
      </c>
    </row>
    <row r="2799" spans="1:5">
      <c r="A2799" s="15">
        <v>43675</v>
      </c>
      <c r="B2799" s="13">
        <v>2505</v>
      </c>
      <c r="C2799" s="13" t="s">
        <v>9</v>
      </c>
      <c r="D2799" s="13" t="s">
        <v>8</v>
      </c>
      <c r="E2799" s="13">
        <v>-738</v>
      </c>
    </row>
    <row r="2800" spans="1:5">
      <c r="A2800" s="14">
        <v>43675</v>
      </c>
      <c r="B2800" s="12">
        <v>2508</v>
      </c>
      <c r="C2800" s="12" t="s">
        <v>15</v>
      </c>
      <c r="D2800" s="12" t="s">
        <v>8</v>
      </c>
      <c r="E2800" s="12">
        <v>-61837</v>
      </c>
    </row>
    <row r="2801" spans="1:5">
      <c r="A2801" s="15">
        <v>43675</v>
      </c>
      <c r="B2801" s="13">
        <v>2508</v>
      </c>
      <c r="C2801" s="13" t="s">
        <v>15</v>
      </c>
      <c r="D2801" s="13" t="s">
        <v>10</v>
      </c>
      <c r="E2801" s="13">
        <v>-65144</v>
      </c>
    </row>
    <row r="2802" spans="1:5">
      <c r="A2802" s="14">
        <v>43675</v>
      </c>
      <c r="B2802" s="12">
        <v>2512</v>
      </c>
      <c r="C2802" s="12" t="s">
        <v>16</v>
      </c>
      <c r="D2802" s="12" t="s">
        <v>10</v>
      </c>
      <c r="E2802" s="12">
        <v>-2671</v>
      </c>
    </row>
    <row r="2803" spans="1:5">
      <c r="A2803" s="15">
        <v>43675</v>
      </c>
      <c r="B2803" s="13">
        <v>2513</v>
      </c>
      <c r="C2803" s="13" t="s">
        <v>17</v>
      </c>
      <c r="D2803" s="13" t="s">
        <v>6</v>
      </c>
      <c r="E2803" s="13">
        <v>-887</v>
      </c>
    </row>
    <row r="2804" spans="1:5">
      <c r="A2804" s="14">
        <v>43675</v>
      </c>
      <c r="B2804" s="12">
        <v>2514</v>
      </c>
      <c r="C2804" s="12" t="s">
        <v>20</v>
      </c>
      <c r="D2804" s="12" t="s">
        <v>13</v>
      </c>
      <c r="E2804" s="12">
        <v>-869</v>
      </c>
    </row>
    <row r="2805" spans="1:5">
      <c r="A2805" s="15">
        <v>43675</v>
      </c>
      <c r="B2805" s="13">
        <v>2503</v>
      </c>
      <c r="C2805" s="13" t="s">
        <v>22</v>
      </c>
      <c r="D2805" s="13" t="s">
        <v>19</v>
      </c>
      <c r="E2805" s="13">
        <v>-200</v>
      </c>
    </row>
    <row r="2806" spans="1:5">
      <c r="A2806" s="14">
        <v>43675</v>
      </c>
      <c r="B2806" s="12">
        <v>1000</v>
      </c>
      <c r="C2806" s="12" t="s">
        <v>23</v>
      </c>
      <c r="D2806" s="12" t="s">
        <v>19</v>
      </c>
      <c r="E2806" s="12">
        <v>1031088</v>
      </c>
    </row>
    <row r="2807" spans="1:5">
      <c r="A2807" s="15">
        <v>43676</v>
      </c>
      <c r="B2807" s="13">
        <v>2512</v>
      </c>
      <c r="C2807" s="13" t="s">
        <v>16</v>
      </c>
      <c r="D2807" s="13" t="s">
        <v>19</v>
      </c>
      <c r="E2807" s="13">
        <v>-8010</v>
      </c>
    </row>
    <row r="2808" spans="1:5">
      <c r="A2808" s="14">
        <v>43676</v>
      </c>
      <c r="B2808" s="12">
        <v>2514</v>
      </c>
      <c r="C2808" s="12" t="s">
        <v>20</v>
      </c>
      <c r="D2808" s="12" t="s">
        <v>19</v>
      </c>
      <c r="E2808" s="12">
        <v>-1153</v>
      </c>
    </row>
    <row r="2809" spans="1:5">
      <c r="A2809" s="15">
        <v>43676</v>
      </c>
      <c r="B2809" s="13">
        <v>2501</v>
      </c>
      <c r="C2809" s="13" t="s">
        <v>5</v>
      </c>
      <c r="D2809" s="13" t="s">
        <v>14</v>
      </c>
      <c r="E2809" s="13">
        <v>-126</v>
      </c>
    </row>
    <row r="2810" spans="1:5">
      <c r="A2810" s="14">
        <v>43676</v>
      </c>
      <c r="B2810" s="12">
        <v>2510</v>
      </c>
      <c r="C2810" s="12" t="s">
        <v>24</v>
      </c>
      <c r="D2810" s="12" t="s">
        <v>19</v>
      </c>
      <c r="E2810" s="12">
        <v>-968</v>
      </c>
    </row>
    <row r="2811" spans="1:5">
      <c r="A2811" s="15">
        <v>43676</v>
      </c>
      <c r="B2811" s="13">
        <v>2508</v>
      </c>
      <c r="C2811" s="13" t="s">
        <v>15</v>
      </c>
      <c r="D2811" s="13" t="s">
        <v>13</v>
      </c>
      <c r="E2811" s="13">
        <v>-41820</v>
      </c>
    </row>
    <row r="2812" spans="1:5">
      <c r="A2812" s="14">
        <v>43676</v>
      </c>
      <c r="B2812" s="12">
        <v>2513</v>
      </c>
      <c r="C2812" s="12" t="s">
        <v>17</v>
      </c>
      <c r="D2812" s="12" t="s">
        <v>6</v>
      </c>
      <c r="E2812" s="12">
        <v>-619</v>
      </c>
    </row>
    <row r="2813" spans="1:5">
      <c r="A2813" s="15">
        <v>43676</v>
      </c>
      <c r="B2813" s="13">
        <v>2513</v>
      </c>
      <c r="C2813" s="13" t="s">
        <v>17</v>
      </c>
      <c r="D2813" s="13" t="s">
        <v>6</v>
      </c>
      <c r="E2813" s="13">
        <v>-1273</v>
      </c>
    </row>
    <row r="2814" spans="1:5">
      <c r="A2814" s="14">
        <v>43676</v>
      </c>
      <c r="B2814" s="12">
        <v>2510</v>
      </c>
      <c r="C2814" s="12" t="s">
        <v>24</v>
      </c>
      <c r="D2814" s="12" t="s">
        <v>13</v>
      </c>
      <c r="E2814" s="12">
        <v>-711</v>
      </c>
    </row>
    <row r="2815" spans="1:5">
      <c r="A2815" s="15">
        <v>43676</v>
      </c>
      <c r="B2815" s="13">
        <v>2510</v>
      </c>
      <c r="C2815" s="13" t="s">
        <v>24</v>
      </c>
      <c r="D2815" s="13" t="s">
        <v>8</v>
      </c>
      <c r="E2815" s="13">
        <v>-1345</v>
      </c>
    </row>
    <row r="2816" spans="1:5">
      <c r="A2816" s="14">
        <v>43676</v>
      </c>
      <c r="B2816" s="12">
        <v>2510</v>
      </c>
      <c r="C2816" s="12" t="s">
        <v>24</v>
      </c>
      <c r="D2816" s="12" t="s">
        <v>13</v>
      </c>
      <c r="E2816" s="12">
        <v>-1067</v>
      </c>
    </row>
    <row r="2817" spans="1:5">
      <c r="A2817" s="15">
        <v>43676</v>
      </c>
      <c r="B2817" s="13">
        <v>2510</v>
      </c>
      <c r="C2817" s="13" t="s">
        <v>24</v>
      </c>
      <c r="D2817" s="13" t="s">
        <v>12</v>
      </c>
      <c r="E2817" s="13">
        <v>-1915</v>
      </c>
    </row>
    <row r="2818" spans="1:5">
      <c r="A2818" s="14">
        <v>43676</v>
      </c>
      <c r="B2818" s="12">
        <v>2514</v>
      </c>
      <c r="C2818" s="12" t="s">
        <v>20</v>
      </c>
      <c r="D2818" s="12" t="s">
        <v>19</v>
      </c>
      <c r="E2818" s="12">
        <v>-880</v>
      </c>
    </row>
    <row r="2819" spans="1:5">
      <c r="A2819" s="15">
        <v>43676</v>
      </c>
      <c r="B2819" s="13">
        <v>2505</v>
      </c>
      <c r="C2819" s="13" t="s">
        <v>9</v>
      </c>
      <c r="D2819" s="13" t="s">
        <v>19</v>
      </c>
      <c r="E2819" s="13">
        <v>-429</v>
      </c>
    </row>
    <row r="2820" spans="1:5">
      <c r="A2820" s="14">
        <v>43676</v>
      </c>
      <c r="B2820" s="12">
        <v>2503</v>
      </c>
      <c r="C2820" s="12" t="s">
        <v>22</v>
      </c>
      <c r="D2820" s="12" t="s">
        <v>19</v>
      </c>
      <c r="E2820" s="12">
        <v>-315</v>
      </c>
    </row>
    <row r="2821" spans="1:5">
      <c r="A2821" s="15">
        <v>43677</v>
      </c>
      <c r="B2821" s="13">
        <v>2000</v>
      </c>
      <c r="C2821" s="13" t="s">
        <v>18</v>
      </c>
      <c r="D2821" s="13" t="s">
        <v>19</v>
      </c>
      <c r="E2821" s="13">
        <v>-244477</v>
      </c>
    </row>
    <row r="2822" spans="1:5">
      <c r="A2822" s="14">
        <v>43677</v>
      </c>
      <c r="B2822" s="12">
        <v>2500</v>
      </c>
      <c r="C2822" s="12" t="s">
        <v>25</v>
      </c>
      <c r="D2822" s="12" t="s">
        <v>19</v>
      </c>
      <c r="E2822" s="12">
        <v>-29855</v>
      </c>
    </row>
    <row r="2823" spans="1:5">
      <c r="A2823" s="15">
        <v>43677</v>
      </c>
      <c r="B2823" s="13">
        <v>2504</v>
      </c>
      <c r="C2823" s="13" t="s">
        <v>21</v>
      </c>
      <c r="D2823" s="13" t="s">
        <v>19</v>
      </c>
      <c r="E2823" s="13">
        <v>-1182</v>
      </c>
    </row>
    <row r="2824" spans="1:5">
      <c r="A2824" s="14">
        <v>43677</v>
      </c>
      <c r="B2824" s="12">
        <v>2514</v>
      </c>
      <c r="C2824" s="12" t="s">
        <v>20</v>
      </c>
      <c r="D2824" s="12" t="s">
        <v>19</v>
      </c>
      <c r="E2824" s="12">
        <v>-1135</v>
      </c>
    </row>
    <row r="2825" spans="1:5">
      <c r="A2825" s="15">
        <v>43677</v>
      </c>
      <c r="B2825" s="13">
        <v>2502</v>
      </c>
      <c r="C2825" s="13" t="s">
        <v>7</v>
      </c>
      <c r="D2825" s="13" t="s">
        <v>10</v>
      </c>
      <c r="E2825" s="13">
        <v>-3596</v>
      </c>
    </row>
    <row r="2826" spans="1:5">
      <c r="A2826" s="14">
        <v>43677</v>
      </c>
      <c r="B2826" s="12">
        <v>2506</v>
      </c>
      <c r="C2826" s="12" t="s">
        <v>27</v>
      </c>
      <c r="D2826" s="12" t="s">
        <v>14</v>
      </c>
      <c r="E2826" s="12">
        <v>-580</v>
      </c>
    </row>
    <row r="2827" spans="1:5">
      <c r="A2827" s="15">
        <v>43677</v>
      </c>
      <c r="B2827" s="13">
        <v>2506</v>
      </c>
      <c r="C2827" s="13" t="s">
        <v>27</v>
      </c>
      <c r="D2827" s="13" t="s">
        <v>8</v>
      </c>
      <c r="E2827" s="13">
        <v>-428</v>
      </c>
    </row>
    <row r="2828" spans="1:5">
      <c r="A2828" s="14">
        <v>43677</v>
      </c>
      <c r="B2828" s="12">
        <v>2508</v>
      </c>
      <c r="C2828" s="12" t="s">
        <v>15</v>
      </c>
      <c r="D2828" s="12" t="s">
        <v>12</v>
      </c>
      <c r="E2828" s="12">
        <v>-100007</v>
      </c>
    </row>
    <row r="2829" spans="1:5">
      <c r="A2829" s="15">
        <v>43677</v>
      </c>
      <c r="B2829" s="13">
        <v>2514</v>
      </c>
      <c r="C2829" s="13" t="s">
        <v>20</v>
      </c>
      <c r="D2829" s="13" t="s">
        <v>10</v>
      </c>
      <c r="E2829" s="13">
        <v>-1028</v>
      </c>
    </row>
    <row r="2830" spans="1:5">
      <c r="A2830" s="14">
        <v>43677</v>
      </c>
      <c r="B2830" s="12">
        <v>2510</v>
      </c>
      <c r="C2830" s="12" t="s">
        <v>24</v>
      </c>
      <c r="D2830" s="12" t="s">
        <v>14</v>
      </c>
      <c r="E2830" s="12">
        <v>-1781</v>
      </c>
    </row>
    <row r="2831" spans="1:5">
      <c r="A2831" s="15">
        <v>43677</v>
      </c>
      <c r="B2831" s="13">
        <v>2501</v>
      </c>
      <c r="C2831" s="13" t="s">
        <v>5</v>
      </c>
      <c r="D2831" s="13" t="s">
        <v>19</v>
      </c>
      <c r="E2831" s="13">
        <v>-84</v>
      </c>
    </row>
    <row r="2832" spans="1:5">
      <c r="A2832" s="14">
        <v>43677</v>
      </c>
      <c r="B2832" s="12">
        <v>1000</v>
      </c>
      <c r="C2832" s="12" t="s">
        <v>23</v>
      </c>
      <c r="D2832" s="12" t="s">
        <v>19</v>
      </c>
      <c r="E2832" s="12">
        <v>667703</v>
      </c>
    </row>
    <row r="2833" spans="1:5">
      <c r="A2833" s="15">
        <v>43677</v>
      </c>
      <c r="B2833" s="13">
        <v>1000</v>
      </c>
      <c r="C2833" s="13" t="s">
        <v>23</v>
      </c>
      <c r="D2833" s="13" t="s">
        <v>19</v>
      </c>
      <c r="E2833" s="13">
        <v>1170353</v>
      </c>
    </row>
    <row r="2834" spans="1:5">
      <c r="A2834" s="14">
        <v>43678</v>
      </c>
      <c r="B2834" s="12">
        <v>2500</v>
      </c>
      <c r="C2834" s="12" t="s">
        <v>25</v>
      </c>
      <c r="D2834" s="12" t="s">
        <v>19</v>
      </c>
      <c r="E2834" s="12">
        <v>-45071</v>
      </c>
    </row>
    <row r="2835" spans="1:5">
      <c r="A2835" s="15">
        <v>43678</v>
      </c>
      <c r="B2835" s="13">
        <v>2500</v>
      </c>
      <c r="C2835" s="13" t="s">
        <v>25</v>
      </c>
      <c r="D2835" s="13" t="s">
        <v>19</v>
      </c>
      <c r="E2835" s="13">
        <v>-17944</v>
      </c>
    </row>
    <row r="2836" spans="1:5">
      <c r="A2836" s="14">
        <v>43678</v>
      </c>
      <c r="B2836" s="12">
        <v>1500</v>
      </c>
      <c r="C2836" s="12" t="s">
        <v>26</v>
      </c>
      <c r="D2836" s="12" t="s">
        <v>19</v>
      </c>
      <c r="E2836" s="12">
        <v>-5918</v>
      </c>
    </row>
    <row r="2837" spans="1:5">
      <c r="A2837" s="15">
        <v>43678</v>
      </c>
      <c r="B2837" s="13">
        <v>2512</v>
      </c>
      <c r="C2837" s="13" t="s">
        <v>16</v>
      </c>
      <c r="D2837" s="13" t="s">
        <v>19</v>
      </c>
      <c r="E2837" s="13">
        <v>-5319</v>
      </c>
    </row>
    <row r="2838" spans="1:5">
      <c r="A2838" s="14">
        <v>43678</v>
      </c>
      <c r="B2838" s="12">
        <v>2507</v>
      </c>
      <c r="C2838" s="12" t="s">
        <v>11</v>
      </c>
      <c r="D2838" s="12" t="s">
        <v>19</v>
      </c>
      <c r="E2838" s="12">
        <v>-2120</v>
      </c>
    </row>
    <row r="2839" spans="1:5">
      <c r="A2839" s="15">
        <v>43678</v>
      </c>
      <c r="B2839" s="13">
        <v>2501</v>
      </c>
      <c r="C2839" s="13" t="s">
        <v>5</v>
      </c>
      <c r="D2839" s="13" t="s">
        <v>6</v>
      </c>
      <c r="E2839" s="13">
        <v>-85</v>
      </c>
    </row>
    <row r="2840" spans="1:5">
      <c r="A2840" s="14">
        <v>43678</v>
      </c>
      <c r="B2840" s="12">
        <v>2503</v>
      </c>
      <c r="C2840" s="12" t="s">
        <v>22</v>
      </c>
      <c r="D2840" s="12" t="s">
        <v>8</v>
      </c>
      <c r="E2840" s="12">
        <v>-385</v>
      </c>
    </row>
    <row r="2841" spans="1:5">
      <c r="A2841" s="15">
        <v>43678</v>
      </c>
      <c r="B2841" s="13">
        <v>2503</v>
      </c>
      <c r="C2841" s="13" t="s">
        <v>22</v>
      </c>
      <c r="D2841" s="13" t="s">
        <v>13</v>
      </c>
      <c r="E2841" s="13">
        <v>-322</v>
      </c>
    </row>
    <row r="2842" spans="1:5">
      <c r="A2842" s="14">
        <v>43678</v>
      </c>
      <c r="B2842" s="12">
        <v>2505</v>
      </c>
      <c r="C2842" s="12" t="s">
        <v>9</v>
      </c>
      <c r="D2842" s="12" t="s">
        <v>13</v>
      </c>
      <c r="E2842" s="12">
        <v>-508</v>
      </c>
    </row>
    <row r="2843" spans="1:5">
      <c r="A2843" s="15">
        <v>43678</v>
      </c>
      <c r="B2843" s="13">
        <v>2507</v>
      </c>
      <c r="C2843" s="13" t="s">
        <v>11</v>
      </c>
      <c r="D2843" s="13" t="s">
        <v>12</v>
      </c>
      <c r="E2843" s="13">
        <v>-2350</v>
      </c>
    </row>
    <row r="2844" spans="1:5">
      <c r="A2844" s="14">
        <v>43678</v>
      </c>
      <c r="B2844" s="12">
        <v>2507</v>
      </c>
      <c r="C2844" s="12" t="s">
        <v>11</v>
      </c>
      <c r="D2844" s="12" t="s">
        <v>13</v>
      </c>
      <c r="E2844" s="12">
        <v>-2020</v>
      </c>
    </row>
    <row r="2845" spans="1:5">
      <c r="A2845" s="15">
        <v>43678</v>
      </c>
      <c r="B2845" s="13">
        <v>2507</v>
      </c>
      <c r="C2845" s="13" t="s">
        <v>11</v>
      </c>
      <c r="D2845" s="13" t="s">
        <v>8</v>
      </c>
      <c r="E2845" s="13">
        <v>-1920</v>
      </c>
    </row>
    <row r="2846" spans="1:5">
      <c r="A2846" s="14">
        <v>43678</v>
      </c>
      <c r="B2846" s="12">
        <v>2507</v>
      </c>
      <c r="C2846" s="12" t="s">
        <v>11</v>
      </c>
      <c r="D2846" s="12" t="s">
        <v>10</v>
      </c>
      <c r="E2846" s="12">
        <v>-1520</v>
      </c>
    </row>
    <row r="2847" spans="1:5">
      <c r="A2847" s="15">
        <v>43678</v>
      </c>
      <c r="B2847" s="13">
        <v>2507</v>
      </c>
      <c r="C2847" s="13" t="s">
        <v>11</v>
      </c>
      <c r="D2847" s="13" t="s">
        <v>6</v>
      </c>
      <c r="E2847" s="13">
        <v>-1720</v>
      </c>
    </row>
    <row r="2848" spans="1:5">
      <c r="A2848" s="14">
        <v>43678</v>
      </c>
      <c r="B2848" s="12">
        <v>2507</v>
      </c>
      <c r="C2848" s="12" t="s">
        <v>11</v>
      </c>
      <c r="D2848" s="12" t="s">
        <v>14</v>
      </c>
      <c r="E2848" s="12">
        <v>-1140</v>
      </c>
    </row>
    <row r="2849" spans="1:5">
      <c r="A2849" s="15">
        <v>43678</v>
      </c>
      <c r="B2849" s="13">
        <v>2513</v>
      </c>
      <c r="C2849" s="13" t="s">
        <v>17</v>
      </c>
      <c r="D2849" s="13" t="s">
        <v>12</v>
      </c>
      <c r="E2849" s="13">
        <v>-997</v>
      </c>
    </row>
    <row r="2850" spans="1:5">
      <c r="A2850" s="14">
        <v>43678</v>
      </c>
      <c r="B2850" s="12">
        <v>2513</v>
      </c>
      <c r="C2850" s="12" t="s">
        <v>17</v>
      </c>
      <c r="D2850" s="12" t="s">
        <v>14</v>
      </c>
      <c r="E2850" s="12">
        <v>-1101</v>
      </c>
    </row>
    <row r="2851" spans="1:5">
      <c r="A2851" s="15">
        <v>43678</v>
      </c>
      <c r="B2851" s="13">
        <v>2510</v>
      </c>
      <c r="C2851" s="13" t="s">
        <v>24</v>
      </c>
      <c r="D2851" s="13" t="s">
        <v>14</v>
      </c>
      <c r="E2851" s="13">
        <v>-1319</v>
      </c>
    </row>
    <row r="2852" spans="1:5">
      <c r="A2852" s="14">
        <v>43678</v>
      </c>
      <c r="B2852" s="12">
        <v>2514</v>
      </c>
      <c r="C2852" s="12" t="s">
        <v>20</v>
      </c>
      <c r="D2852" s="12" t="s">
        <v>19</v>
      </c>
      <c r="E2852" s="12">
        <v>-816</v>
      </c>
    </row>
    <row r="2853" spans="1:5">
      <c r="A2853" s="15">
        <v>43678</v>
      </c>
      <c r="B2853" s="13">
        <v>2513</v>
      </c>
      <c r="C2853" s="13" t="s">
        <v>17</v>
      </c>
      <c r="D2853" s="13" t="s">
        <v>19</v>
      </c>
      <c r="E2853" s="13">
        <v>-683</v>
      </c>
    </row>
    <row r="2854" spans="1:5">
      <c r="A2854" s="14">
        <v>43678</v>
      </c>
      <c r="B2854" s="12">
        <v>2505</v>
      </c>
      <c r="C2854" s="12" t="s">
        <v>9</v>
      </c>
      <c r="D2854" s="12" t="s">
        <v>19</v>
      </c>
      <c r="E2854" s="12">
        <v>-395</v>
      </c>
    </row>
    <row r="2855" spans="1:5">
      <c r="A2855" s="15">
        <v>43678</v>
      </c>
      <c r="B2855" s="13">
        <v>2505</v>
      </c>
      <c r="C2855" s="13" t="s">
        <v>9</v>
      </c>
      <c r="D2855" s="13" t="s">
        <v>19</v>
      </c>
      <c r="E2855" s="13">
        <v>-313</v>
      </c>
    </row>
    <row r="2856" spans="1:5">
      <c r="A2856" s="14">
        <v>43679</v>
      </c>
      <c r="B2856" s="12">
        <v>1500</v>
      </c>
      <c r="C2856" s="12" t="s">
        <v>26</v>
      </c>
      <c r="D2856" s="12" t="s">
        <v>19</v>
      </c>
      <c r="E2856" s="12">
        <v>-27171</v>
      </c>
    </row>
    <row r="2857" spans="1:5">
      <c r="A2857" s="15">
        <v>43679</v>
      </c>
      <c r="B2857" s="13">
        <v>2500</v>
      </c>
      <c r="C2857" s="13" t="s">
        <v>25</v>
      </c>
      <c r="D2857" s="13" t="s">
        <v>19</v>
      </c>
      <c r="E2857" s="13">
        <v>-25044</v>
      </c>
    </row>
    <row r="2858" spans="1:5">
      <c r="A2858" s="14">
        <v>43679</v>
      </c>
      <c r="B2858" s="12">
        <v>2512</v>
      </c>
      <c r="C2858" s="12" t="s">
        <v>16</v>
      </c>
      <c r="D2858" s="12" t="s">
        <v>19</v>
      </c>
      <c r="E2858" s="12">
        <v>-5915</v>
      </c>
    </row>
    <row r="2859" spans="1:5">
      <c r="A2859" s="15">
        <v>43679</v>
      </c>
      <c r="B2859" s="13">
        <v>2502</v>
      </c>
      <c r="C2859" s="13" t="s">
        <v>7</v>
      </c>
      <c r="D2859" s="13" t="s">
        <v>19</v>
      </c>
      <c r="E2859" s="13">
        <v>-2393</v>
      </c>
    </row>
    <row r="2860" spans="1:5">
      <c r="A2860" s="14">
        <v>43679</v>
      </c>
      <c r="B2860" s="12">
        <v>2510</v>
      </c>
      <c r="C2860" s="12" t="s">
        <v>24</v>
      </c>
      <c r="D2860" s="12" t="s">
        <v>19</v>
      </c>
      <c r="E2860" s="12">
        <v>-1366</v>
      </c>
    </row>
    <row r="2861" spans="1:5">
      <c r="A2861" s="15">
        <v>43679</v>
      </c>
      <c r="B2861" s="13">
        <v>2503</v>
      </c>
      <c r="C2861" s="13" t="s">
        <v>22</v>
      </c>
      <c r="D2861" s="13" t="s">
        <v>13</v>
      </c>
      <c r="E2861" s="13">
        <v>-195</v>
      </c>
    </row>
    <row r="2862" spans="1:5">
      <c r="A2862" s="14">
        <v>43679</v>
      </c>
      <c r="B2862" s="12">
        <v>2508</v>
      </c>
      <c r="C2862" s="12" t="s">
        <v>15</v>
      </c>
      <c r="D2862" s="12" t="s">
        <v>13</v>
      </c>
      <c r="E2862" s="12">
        <v>-37971</v>
      </c>
    </row>
    <row r="2863" spans="1:5">
      <c r="A2863" s="15">
        <v>43679</v>
      </c>
      <c r="B2863" s="13">
        <v>2512</v>
      </c>
      <c r="C2863" s="13" t="s">
        <v>16</v>
      </c>
      <c r="D2863" s="13" t="s">
        <v>12</v>
      </c>
      <c r="E2863" s="13">
        <v>-890</v>
      </c>
    </row>
    <row r="2864" spans="1:5">
      <c r="A2864" s="14">
        <v>43679</v>
      </c>
      <c r="B2864" s="12">
        <v>2512</v>
      </c>
      <c r="C2864" s="12" t="s">
        <v>16</v>
      </c>
      <c r="D2864" s="12" t="s">
        <v>12</v>
      </c>
      <c r="E2864" s="12">
        <v>-1127</v>
      </c>
    </row>
    <row r="2865" spans="1:5">
      <c r="A2865" s="15">
        <v>43679</v>
      </c>
      <c r="B2865" s="13">
        <v>2512</v>
      </c>
      <c r="C2865" s="13" t="s">
        <v>16</v>
      </c>
      <c r="D2865" s="13" t="s">
        <v>13</v>
      </c>
      <c r="E2865" s="13">
        <v>-585</v>
      </c>
    </row>
    <row r="2866" spans="1:5">
      <c r="A2866" s="14">
        <v>43679</v>
      </c>
      <c r="B2866" s="12">
        <v>2514</v>
      </c>
      <c r="C2866" s="12" t="s">
        <v>20</v>
      </c>
      <c r="D2866" s="12" t="s">
        <v>13</v>
      </c>
      <c r="E2866" s="12">
        <v>-757</v>
      </c>
    </row>
    <row r="2867" spans="1:5">
      <c r="A2867" s="15">
        <v>43679</v>
      </c>
      <c r="B2867" s="13">
        <v>2503</v>
      </c>
      <c r="C2867" s="13" t="s">
        <v>22</v>
      </c>
      <c r="D2867" s="13" t="s">
        <v>19</v>
      </c>
      <c r="E2867" s="13">
        <v>-333</v>
      </c>
    </row>
    <row r="2868" spans="1:5">
      <c r="A2868" s="14">
        <v>43679</v>
      </c>
      <c r="B2868" s="12">
        <v>2503</v>
      </c>
      <c r="C2868" s="12" t="s">
        <v>22</v>
      </c>
      <c r="D2868" s="12" t="s">
        <v>19</v>
      </c>
      <c r="E2868" s="12">
        <v>-314</v>
      </c>
    </row>
    <row r="2869" spans="1:5">
      <c r="A2869" s="15">
        <v>43679</v>
      </c>
      <c r="B2869" s="13">
        <v>2501</v>
      </c>
      <c r="C2869" s="13" t="s">
        <v>5</v>
      </c>
      <c r="D2869" s="13" t="s">
        <v>19</v>
      </c>
      <c r="E2869" s="13">
        <v>-78</v>
      </c>
    </row>
    <row r="2870" spans="1:5">
      <c r="A2870" s="14">
        <v>43680</v>
      </c>
      <c r="B2870" s="12">
        <v>2514</v>
      </c>
      <c r="C2870" s="12" t="s">
        <v>20</v>
      </c>
      <c r="D2870" s="12" t="s">
        <v>19</v>
      </c>
      <c r="E2870" s="12">
        <v>-1023</v>
      </c>
    </row>
    <row r="2871" spans="1:5">
      <c r="A2871" s="15">
        <v>43680</v>
      </c>
      <c r="B2871" s="13">
        <v>2502</v>
      </c>
      <c r="C2871" s="13" t="s">
        <v>7</v>
      </c>
      <c r="D2871" s="13" t="s">
        <v>6</v>
      </c>
      <c r="E2871" s="13">
        <v>-3661</v>
      </c>
    </row>
    <row r="2872" spans="1:5">
      <c r="A2872" s="14">
        <v>43680</v>
      </c>
      <c r="B2872" s="12">
        <v>2503</v>
      </c>
      <c r="C2872" s="12" t="s">
        <v>22</v>
      </c>
      <c r="D2872" s="12" t="s">
        <v>12</v>
      </c>
      <c r="E2872" s="12">
        <v>-415</v>
      </c>
    </row>
    <row r="2873" spans="1:5">
      <c r="A2873" s="15">
        <v>43680</v>
      </c>
      <c r="B2873" s="13">
        <v>2512</v>
      </c>
      <c r="C2873" s="13" t="s">
        <v>16</v>
      </c>
      <c r="D2873" s="13" t="s">
        <v>10</v>
      </c>
      <c r="E2873" s="13">
        <v>-3742</v>
      </c>
    </row>
    <row r="2874" spans="1:5">
      <c r="A2874" s="14">
        <v>43680</v>
      </c>
      <c r="B2874" s="12">
        <v>2513</v>
      </c>
      <c r="C2874" s="12" t="s">
        <v>17</v>
      </c>
      <c r="D2874" s="12" t="s">
        <v>8</v>
      </c>
      <c r="E2874" s="12">
        <v>-683</v>
      </c>
    </row>
    <row r="2875" spans="1:5">
      <c r="A2875" s="15">
        <v>43680</v>
      </c>
      <c r="B2875" s="13">
        <v>2514</v>
      </c>
      <c r="C2875" s="13" t="s">
        <v>20</v>
      </c>
      <c r="D2875" s="13" t="s">
        <v>6</v>
      </c>
      <c r="E2875" s="13">
        <v>-1243</v>
      </c>
    </row>
    <row r="2876" spans="1:5">
      <c r="A2876" s="14">
        <v>43680</v>
      </c>
      <c r="B2876" s="12">
        <v>2514</v>
      </c>
      <c r="C2876" s="12" t="s">
        <v>20</v>
      </c>
      <c r="D2876" s="12" t="s">
        <v>13</v>
      </c>
      <c r="E2876" s="12">
        <v>-815</v>
      </c>
    </row>
    <row r="2877" spans="1:5">
      <c r="A2877" s="15">
        <v>43680</v>
      </c>
      <c r="B2877" s="13">
        <v>2513</v>
      </c>
      <c r="C2877" s="13" t="s">
        <v>17</v>
      </c>
      <c r="D2877" s="13" t="s">
        <v>19</v>
      </c>
      <c r="E2877" s="13">
        <v>-814</v>
      </c>
    </row>
    <row r="2878" spans="1:5">
      <c r="A2878" s="14">
        <v>43680</v>
      </c>
      <c r="B2878" s="12">
        <v>2514</v>
      </c>
      <c r="C2878" s="12" t="s">
        <v>20</v>
      </c>
      <c r="D2878" s="12" t="s">
        <v>19</v>
      </c>
      <c r="E2878" s="12">
        <v>-805</v>
      </c>
    </row>
    <row r="2879" spans="1:5">
      <c r="A2879" s="15">
        <v>43680</v>
      </c>
      <c r="B2879" s="13">
        <v>2510</v>
      </c>
      <c r="C2879" s="13" t="s">
        <v>24</v>
      </c>
      <c r="D2879" s="13" t="s">
        <v>19</v>
      </c>
      <c r="E2879" s="13">
        <v>-615</v>
      </c>
    </row>
    <row r="2880" spans="1:5">
      <c r="A2880" s="14">
        <v>43680</v>
      </c>
      <c r="B2880" s="12">
        <v>2503</v>
      </c>
      <c r="C2880" s="12" t="s">
        <v>22</v>
      </c>
      <c r="D2880" s="12" t="s">
        <v>19</v>
      </c>
      <c r="E2880" s="12">
        <v>-267</v>
      </c>
    </row>
    <row r="2881" spans="1:5">
      <c r="A2881" s="15">
        <v>43680</v>
      </c>
      <c r="B2881" s="13">
        <v>2503</v>
      </c>
      <c r="C2881" s="13" t="s">
        <v>22</v>
      </c>
      <c r="D2881" s="13" t="s">
        <v>19</v>
      </c>
      <c r="E2881" s="13">
        <v>-267</v>
      </c>
    </row>
    <row r="2882" spans="1:5">
      <c r="A2882" s="14">
        <v>43680</v>
      </c>
      <c r="B2882" s="12">
        <v>2501</v>
      </c>
      <c r="C2882" s="12" t="s">
        <v>5</v>
      </c>
      <c r="D2882" s="12" t="s">
        <v>19</v>
      </c>
      <c r="E2882" s="12">
        <v>-147</v>
      </c>
    </row>
    <row r="2883" spans="1:5">
      <c r="A2883" s="15">
        <v>43680</v>
      </c>
      <c r="B2883" s="13">
        <v>2501</v>
      </c>
      <c r="C2883" s="13" t="s">
        <v>5</v>
      </c>
      <c r="D2883" s="13" t="s">
        <v>19</v>
      </c>
      <c r="E2883" s="13">
        <v>-134</v>
      </c>
    </row>
    <row r="2884" spans="1:5">
      <c r="A2884" s="14">
        <v>43681</v>
      </c>
      <c r="B2884" s="12">
        <v>2000</v>
      </c>
      <c r="C2884" s="12" t="s">
        <v>18</v>
      </c>
      <c r="D2884" s="12" t="s">
        <v>19</v>
      </c>
      <c r="E2884" s="12">
        <v>-189663</v>
      </c>
    </row>
    <row r="2885" spans="1:5">
      <c r="A2885" s="15">
        <v>43681</v>
      </c>
      <c r="B2885" s="13">
        <v>2000</v>
      </c>
      <c r="C2885" s="13" t="s">
        <v>18</v>
      </c>
      <c r="D2885" s="13" t="s">
        <v>19</v>
      </c>
      <c r="E2885" s="13">
        <v>-180433</v>
      </c>
    </row>
    <row r="2886" spans="1:5">
      <c r="A2886" s="14">
        <v>43681</v>
      </c>
      <c r="B2886" s="12">
        <v>2508</v>
      </c>
      <c r="C2886" s="12" t="s">
        <v>15</v>
      </c>
      <c r="D2886" s="12" t="s">
        <v>19</v>
      </c>
      <c r="E2886" s="12">
        <v>-61606</v>
      </c>
    </row>
    <row r="2887" spans="1:5">
      <c r="A2887" s="15">
        <v>43681</v>
      </c>
      <c r="B2887" s="13">
        <v>2500</v>
      </c>
      <c r="C2887" s="13" t="s">
        <v>25</v>
      </c>
      <c r="D2887" s="13" t="s">
        <v>19</v>
      </c>
      <c r="E2887" s="13">
        <v>-47979</v>
      </c>
    </row>
    <row r="2888" spans="1:5">
      <c r="A2888" s="14">
        <v>43681</v>
      </c>
      <c r="B2888" s="12">
        <v>2500</v>
      </c>
      <c r="C2888" s="12" t="s">
        <v>25</v>
      </c>
      <c r="D2888" s="12" t="s">
        <v>19</v>
      </c>
      <c r="E2888" s="12">
        <v>-25314</v>
      </c>
    </row>
    <row r="2889" spans="1:5">
      <c r="A2889" s="15">
        <v>43681</v>
      </c>
      <c r="B2889" s="13">
        <v>2512</v>
      </c>
      <c r="C2889" s="13" t="s">
        <v>16</v>
      </c>
      <c r="D2889" s="13" t="s">
        <v>19</v>
      </c>
      <c r="E2889" s="13">
        <v>-9236</v>
      </c>
    </row>
    <row r="2890" spans="1:5">
      <c r="A2890" s="14">
        <v>43681</v>
      </c>
      <c r="B2890" s="12">
        <v>2502</v>
      </c>
      <c r="C2890" s="12" t="s">
        <v>7</v>
      </c>
      <c r="D2890" s="12" t="s">
        <v>19</v>
      </c>
      <c r="E2890" s="12">
        <v>-5135</v>
      </c>
    </row>
    <row r="2891" spans="1:5">
      <c r="A2891" s="15">
        <v>43681</v>
      </c>
      <c r="B2891" s="13">
        <v>2504</v>
      </c>
      <c r="C2891" s="13" t="s">
        <v>21</v>
      </c>
      <c r="D2891" s="13" t="s">
        <v>19</v>
      </c>
      <c r="E2891" s="13">
        <v>-2461</v>
      </c>
    </row>
    <row r="2892" spans="1:5">
      <c r="A2892" s="14">
        <v>43681</v>
      </c>
      <c r="B2892" s="12">
        <v>2503</v>
      </c>
      <c r="C2892" s="12" t="s">
        <v>22</v>
      </c>
      <c r="D2892" s="12" t="s">
        <v>13</v>
      </c>
      <c r="E2892" s="12">
        <v>-197</v>
      </c>
    </row>
    <row r="2893" spans="1:5">
      <c r="A2893" s="15">
        <v>43681</v>
      </c>
      <c r="B2893" s="13">
        <v>2508</v>
      </c>
      <c r="C2893" s="13" t="s">
        <v>15</v>
      </c>
      <c r="D2893" s="13" t="s">
        <v>6</v>
      </c>
      <c r="E2893" s="13">
        <v>-77772</v>
      </c>
    </row>
    <row r="2894" spans="1:5">
      <c r="A2894" s="14">
        <v>43681</v>
      </c>
      <c r="B2894" s="12">
        <v>2508</v>
      </c>
      <c r="C2894" s="12" t="s">
        <v>15</v>
      </c>
      <c r="D2894" s="12" t="s">
        <v>12</v>
      </c>
      <c r="E2894" s="12">
        <v>-92501</v>
      </c>
    </row>
    <row r="2895" spans="1:5">
      <c r="A2895" s="15">
        <v>43681</v>
      </c>
      <c r="B2895" s="13">
        <v>2512</v>
      </c>
      <c r="C2895" s="13" t="s">
        <v>16</v>
      </c>
      <c r="D2895" s="13" t="s">
        <v>8</v>
      </c>
      <c r="E2895" s="13">
        <v>-3177</v>
      </c>
    </row>
    <row r="2896" spans="1:5">
      <c r="A2896" s="14">
        <v>43681</v>
      </c>
      <c r="B2896" s="12">
        <v>2513</v>
      </c>
      <c r="C2896" s="12" t="s">
        <v>17</v>
      </c>
      <c r="D2896" s="12" t="s">
        <v>6</v>
      </c>
      <c r="E2896" s="12">
        <v>-626</v>
      </c>
    </row>
    <row r="2897" spans="1:5">
      <c r="A2897" s="15">
        <v>43681</v>
      </c>
      <c r="B2897" s="13">
        <v>2510</v>
      </c>
      <c r="C2897" s="13" t="s">
        <v>24</v>
      </c>
      <c r="D2897" s="13" t="s">
        <v>6</v>
      </c>
      <c r="E2897" s="13">
        <v>-1320</v>
      </c>
    </row>
    <row r="2898" spans="1:5">
      <c r="A2898" s="14">
        <v>43681</v>
      </c>
      <c r="B2898" s="12">
        <v>2514</v>
      </c>
      <c r="C2898" s="12" t="s">
        <v>20</v>
      </c>
      <c r="D2898" s="12" t="s">
        <v>19</v>
      </c>
      <c r="E2898" s="12">
        <v>-803</v>
      </c>
    </row>
    <row r="2899" spans="1:5">
      <c r="A2899" s="15">
        <v>43681</v>
      </c>
      <c r="B2899" s="13">
        <v>2503</v>
      </c>
      <c r="C2899" s="13" t="s">
        <v>22</v>
      </c>
      <c r="D2899" s="13" t="s">
        <v>19</v>
      </c>
      <c r="E2899" s="13">
        <v>-239</v>
      </c>
    </row>
    <row r="2900" spans="1:5">
      <c r="A2900" s="14">
        <v>43681</v>
      </c>
      <c r="B2900" s="12">
        <v>2501</v>
      </c>
      <c r="C2900" s="12" t="s">
        <v>5</v>
      </c>
      <c r="D2900" s="12" t="s">
        <v>19</v>
      </c>
      <c r="E2900" s="12">
        <v>-138</v>
      </c>
    </row>
    <row r="2901" spans="1:5">
      <c r="A2901" s="15">
        <v>43682</v>
      </c>
      <c r="B2901" s="13">
        <v>2502</v>
      </c>
      <c r="C2901" s="13" t="s">
        <v>7</v>
      </c>
      <c r="D2901" s="13" t="s">
        <v>19</v>
      </c>
      <c r="E2901" s="13">
        <v>-3030</v>
      </c>
    </row>
    <row r="2902" spans="1:5">
      <c r="A2902" s="14">
        <v>43682</v>
      </c>
      <c r="B2902" s="12">
        <v>2514</v>
      </c>
      <c r="C2902" s="12" t="s">
        <v>20</v>
      </c>
      <c r="D2902" s="12" t="s">
        <v>19</v>
      </c>
      <c r="E2902" s="12">
        <v>-1118</v>
      </c>
    </row>
    <row r="2903" spans="1:5">
      <c r="A2903" s="15">
        <v>43682</v>
      </c>
      <c r="B2903" s="13">
        <v>2514</v>
      </c>
      <c r="C2903" s="13" t="s">
        <v>20</v>
      </c>
      <c r="D2903" s="13" t="s">
        <v>19</v>
      </c>
      <c r="E2903" s="13">
        <v>-1062</v>
      </c>
    </row>
    <row r="2904" spans="1:5">
      <c r="A2904" s="14">
        <v>43682</v>
      </c>
      <c r="B2904" s="12">
        <v>2513</v>
      </c>
      <c r="C2904" s="12" t="s">
        <v>17</v>
      </c>
      <c r="D2904" s="12" t="s">
        <v>19</v>
      </c>
      <c r="E2904" s="12">
        <v>-1008</v>
      </c>
    </row>
    <row r="2905" spans="1:5">
      <c r="A2905" s="15">
        <v>43682</v>
      </c>
      <c r="B2905" s="13">
        <v>2501</v>
      </c>
      <c r="C2905" s="13" t="s">
        <v>5</v>
      </c>
      <c r="D2905" s="13" t="s">
        <v>8</v>
      </c>
      <c r="E2905" s="13">
        <v>-190</v>
      </c>
    </row>
    <row r="2906" spans="1:5">
      <c r="A2906" s="14">
        <v>43682</v>
      </c>
      <c r="B2906" s="12">
        <v>2502</v>
      </c>
      <c r="C2906" s="12" t="s">
        <v>7</v>
      </c>
      <c r="D2906" s="12" t="s">
        <v>14</v>
      </c>
      <c r="E2906" s="12">
        <v>-5250</v>
      </c>
    </row>
    <row r="2907" spans="1:5">
      <c r="A2907" s="15">
        <v>43682</v>
      </c>
      <c r="B2907" s="13">
        <v>2503</v>
      </c>
      <c r="C2907" s="13" t="s">
        <v>22</v>
      </c>
      <c r="D2907" s="13" t="s">
        <v>8</v>
      </c>
      <c r="E2907" s="13">
        <v>-383</v>
      </c>
    </row>
    <row r="2908" spans="1:5">
      <c r="A2908" s="14">
        <v>43682</v>
      </c>
      <c r="B2908" s="12">
        <v>2506</v>
      </c>
      <c r="C2908" s="12" t="s">
        <v>27</v>
      </c>
      <c r="D2908" s="12" t="s">
        <v>14</v>
      </c>
      <c r="E2908" s="12">
        <v>-681</v>
      </c>
    </row>
    <row r="2909" spans="1:5">
      <c r="A2909" s="15">
        <v>43682</v>
      </c>
      <c r="B2909" s="13">
        <v>2508</v>
      </c>
      <c r="C2909" s="13" t="s">
        <v>15</v>
      </c>
      <c r="D2909" s="13" t="s">
        <v>12</v>
      </c>
      <c r="E2909" s="13">
        <v>-112103</v>
      </c>
    </row>
    <row r="2910" spans="1:5">
      <c r="A2910" s="14">
        <v>43682</v>
      </c>
      <c r="B2910" s="12">
        <v>2512</v>
      </c>
      <c r="C2910" s="12" t="s">
        <v>16</v>
      </c>
      <c r="D2910" s="12" t="s">
        <v>8</v>
      </c>
      <c r="E2910" s="12">
        <v>-3916</v>
      </c>
    </row>
    <row r="2911" spans="1:5">
      <c r="A2911" s="15">
        <v>43682</v>
      </c>
      <c r="B2911" s="13">
        <v>2512</v>
      </c>
      <c r="C2911" s="13" t="s">
        <v>16</v>
      </c>
      <c r="D2911" s="13" t="s">
        <v>8</v>
      </c>
      <c r="E2911" s="13">
        <v>-3560</v>
      </c>
    </row>
    <row r="2912" spans="1:5">
      <c r="A2912" s="14">
        <v>43682</v>
      </c>
      <c r="B2912" s="12">
        <v>2512</v>
      </c>
      <c r="C2912" s="12" t="s">
        <v>16</v>
      </c>
      <c r="D2912" s="12" t="s">
        <v>8</v>
      </c>
      <c r="E2912" s="12">
        <v>-3535</v>
      </c>
    </row>
    <row r="2913" spans="1:5">
      <c r="A2913" s="15">
        <v>43682</v>
      </c>
      <c r="B2913" s="13">
        <v>2513</v>
      </c>
      <c r="C2913" s="13" t="s">
        <v>17</v>
      </c>
      <c r="D2913" s="13" t="s">
        <v>6</v>
      </c>
      <c r="E2913" s="13">
        <v>-743</v>
      </c>
    </row>
    <row r="2914" spans="1:5">
      <c r="A2914" s="14">
        <v>43683</v>
      </c>
      <c r="B2914" s="12">
        <v>1500</v>
      </c>
      <c r="C2914" s="12" t="s">
        <v>26</v>
      </c>
      <c r="D2914" s="12" t="s">
        <v>19</v>
      </c>
      <c r="E2914" s="12">
        <v>-27992</v>
      </c>
    </row>
    <row r="2915" spans="1:5">
      <c r="A2915" s="15">
        <v>43683</v>
      </c>
      <c r="B2915" s="13">
        <v>1500</v>
      </c>
      <c r="C2915" s="13" t="s">
        <v>26</v>
      </c>
      <c r="D2915" s="13" t="s">
        <v>19</v>
      </c>
      <c r="E2915" s="13">
        <v>-18202</v>
      </c>
    </row>
    <row r="2916" spans="1:5">
      <c r="A2916" s="14">
        <v>43683</v>
      </c>
      <c r="B2916" s="12">
        <v>2512</v>
      </c>
      <c r="C2916" s="12" t="s">
        <v>16</v>
      </c>
      <c r="D2916" s="12" t="s">
        <v>19</v>
      </c>
      <c r="E2916" s="12">
        <v>-11803</v>
      </c>
    </row>
    <row r="2917" spans="1:5">
      <c r="A2917" s="15">
        <v>43683</v>
      </c>
      <c r="B2917" s="13">
        <v>2510</v>
      </c>
      <c r="C2917" s="13" t="s">
        <v>24</v>
      </c>
      <c r="D2917" s="13" t="s">
        <v>19</v>
      </c>
      <c r="E2917" s="13">
        <v>-949</v>
      </c>
    </row>
    <row r="2918" spans="1:5">
      <c r="A2918" s="14">
        <v>43683</v>
      </c>
      <c r="B2918" s="12">
        <v>2502</v>
      </c>
      <c r="C2918" s="12" t="s">
        <v>7</v>
      </c>
      <c r="D2918" s="12" t="s">
        <v>8</v>
      </c>
      <c r="E2918" s="12">
        <v>-4781</v>
      </c>
    </row>
    <row r="2919" spans="1:5">
      <c r="A2919" s="15">
        <v>43683</v>
      </c>
      <c r="B2919" s="13">
        <v>2502</v>
      </c>
      <c r="C2919" s="13" t="s">
        <v>7</v>
      </c>
      <c r="D2919" s="13" t="s">
        <v>13</v>
      </c>
      <c r="E2919" s="13">
        <v>-4847</v>
      </c>
    </row>
    <row r="2920" spans="1:5">
      <c r="A2920" s="14">
        <v>43683</v>
      </c>
      <c r="B2920" s="12">
        <v>2503</v>
      </c>
      <c r="C2920" s="12" t="s">
        <v>22</v>
      </c>
      <c r="D2920" s="12" t="s">
        <v>14</v>
      </c>
      <c r="E2920" s="12">
        <v>-424</v>
      </c>
    </row>
    <row r="2921" spans="1:5">
      <c r="A2921" s="15">
        <v>43683</v>
      </c>
      <c r="B2921" s="13">
        <v>2505</v>
      </c>
      <c r="C2921" s="13" t="s">
        <v>9</v>
      </c>
      <c r="D2921" s="13" t="s">
        <v>6</v>
      </c>
      <c r="E2921" s="13">
        <v>-487</v>
      </c>
    </row>
    <row r="2922" spans="1:5">
      <c r="A2922" s="14">
        <v>43683</v>
      </c>
      <c r="B2922" s="12">
        <v>2508</v>
      </c>
      <c r="C2922" s="12" t="s">
        <v>15</v>
      </c>
      <c r="D2922" s="12" t="s">
        <v>12</v>
      </c>
      <c r="E2922" s="12">
        <v>-115187</v>
      </c>
    </row>
    <row r="2923" spans="1:5">
      <c r="A2923" s="15">
        <v>43683</v>
      </c>
      <c r="B2923" s="13">
        <v>2501</v>
      </c>
      <c r="C2923" s="13" t="s">
        <v>5</v>
      </c>
      <c r="D2923" s="13" t="s">
        <v>19</v>
      </c>
      <c r="E2923" s="13">
        <v>-101</v>
      </c>
    </row>
    <row r="2924" spans="1:5">
      <c r="A2924" s="14">
        <v>43684</v>
      </c>
      <c r="B2924" s="12">
        <v>2000</v>
      </c>
      <c r="C2924" s="12" t="s">
        <v>18</v>
      </c>
      <c r="D2924" s="12" t="s">
        <v>19</v>
      </c>
      <c r="E2924" s="12">
        <v>-282028</v>
      </c>
    </row>
    <row r="2925" spans="1:5">
      <c r="A2925" s="15">
        <v>43684</v>
      </c>
      <c r="B2925" s="13">
        <v>1500</v>
      </c>
      <c r="C2925" s="13" t="s">
        <v>26</v>
      </c>
      <c r="D2925" s="13" t="s">
        <v>19</v>
      </c>
      <c r="E2925" s="13">
        <v>-55956</v>
      </c>
    </row>
    <row r="2926" spans="1:5">
      <c r="A2926" s="14">
        <v>43684</v>
      </c>
      <c r="B2926" s="12">
        <v>2504</v>
      </c>
      <c r="C2926" s="12" t="s">
        <v>21</v>
      </c>
      <c r="D2926" s="12" t="s">
        <v>19</v>
      </c>
      <c r="E2926" s="12">
        <v>-2418</v>
      </c>
    </row>
    <row r="2927" spans="1:5">
      <c r="A2927" s="15">
        <v>43684</v>
      </c>
      <c r="B2927" s="13">
        <v>2504</v>
      </c>
      <c r="C2927" s="13" t="s">
        <v>21</v>
      </c>
      <c r="D2927" s="13" t="s">
        <v>19</v>
      </c>
      <c r="E2927" s="13">
        <v>-2304</v>
      </c>
    </row>
    <row r="2928" spans="1:5">
      <c r="A2928" s="14">
        <v>43684</v>
      </c>
      <c r="B2928" s="12">
        <v>2510</v>
      </c>
      <c r="C2928" s="12" t="s">
        <v>24</v>
      </c>
      <c r="D2928" s="12" t="s">
        <v>19</v>
      </c>
      <c r="E2928" s="12">
        <v>-1133</v>
      </c>
    </row>
    <row r="2929" spans="1:5">
      <c r="A2929" s="15">
        <v>43684</v>
      </c>
      <c r="B2929" s="13">
        <v>2514</v>
      </c>
      <c r="C2929" s="13" t="s">
        <v>20</v>
      </c>
      <c r="D2929" s="13" t="s">
        <v>19</v>
      </c>
      <c r="E2929" s="13">
        <v>-1117</v>
      </c>
    </row>
    <row r="2930" spans="1:5">
      <c r="A2930" s="14">
        <v>43684</v>
      </c>
      <c r="B2930" s="12">
        <v>2504</v>
      </c>
      <c r="C2930" s="12" t="s">
        <v>21</v>
      </c>
      <c r="D2930" s="12" t="s">
        <v>19</v>
      </c>
      <c r="E2930" s="12">
        <v>-1058</v>
      </c>
    </row>
    <row r="2931" spans="1:5">
      <c r="A2931" s="15">
        <v>43684</v>
      </c>
      <c r="B2931" s="13">
        <v>2514</v>
      </c>
      <c r="C2931" s="13" t="s">
        <v>20</v>
      </c>
      <c r="D2931" s="13" t="s">
        <v>19</v>
      </c>
      <c r="E2931" s="13">
        <v>-1009</v>
      </c>
    </row>
    <row r="2932" spans="1:5">
      <c r="A2932" s="14">
        <v>43684</v>
      </c>
      <c r="B2932" s="12">
        <v>2501</v>
      </c>
      <c r="C2932" s="12" t="s">
        <v>5</v>
      </c>
      <c r="D2932" s="12" t="s">
        <v>6</v>
      </c>
      <c r="E2932" s="12">
        <v>-106</v>
      </c>
    </row>
    <row r="2933" spans="1:5">
      <c r="A2933" s="15">
        <v>43684</v>
      </c>
      <c r="B2933" s="13">
        <v>2501</v>
      </c>
      <c r="C2933" s="13" t="s">
        <v>5</v>
      </c>
      <c r="D2933" s="13" t="s">
        <v>14</v>
      </c>
      <c r="E2933" s="13">
        <v>-172</v>
      </c>
    </row>
    <row r="2934" spans="1:5">
      <c r="A2934" s="14">
        <v>43684</v>
      </c>
      <c r="B2934" s="12">
        <v>2501</v>
      </c>
      <c r="C2934" s="12" t="s">
        <v>5</v>
      </c>
      <c r="D2934" s="12" t="s">
        <v>12</v>
      </c>
      <c r="E2934" s="12">
        <v>-283</v>
      </c>
    </row>
    <row r="2935" spans="1:5">
      <c r="A2935" s="15">
        <v>43684</v>
      </c>
      <c r="B2935" s="13">
        <v>2503</v>
      </c>
      <c r="C2935" s="13" t="s">
        <v>22</v>
      </c>
      <c r="D2935" s="13" t="s">
        <v>12</v>
      </c>
      <c r="E2935" s="13">
        <v>-618</v>
      </c>
    </row>
    <row r="2936" spans="1:5">
      <c r="A2936" s="14">
        <v>43684</v>
      </c>
      <c r="B2936" s="12">
        <v>2512</v>
      </c>
      <c r="C2936" s="12" t="s">
        <v>16</v>
      </c>
      <c r="D2936" s="12" t="s">
        <v>12</v>
      </c>
      <c r="E2936" s="12">
        <v>-937</v>
      </c>
    </row>
    <row r="2937" spans="1:5">
      <c r="A2937" s="15">
        <v>43684</v>
      </c>
      <c r="B2937" s="13">
        <v>2513</v>
      </c>
      <c r="C2937" s="13" t="s">
        <v>17</v>
      </c>
      <c r="D2937" s="13" t="s">
        <v>8</v>
      </c>
      <c r="E2937" s="13">
        <v>-1128</v>
      </c>
    </row>
    <row r="2938" spans="1:5">
      <c r="A2938" s="14">
        <v>43684</v>
      </c>
      <c r="B2938" s="12">
        <v>2514</v>
      </c>
      <c r="C2938" s="12" t="s">
        <v>20</v>
      </c>
      <c r="D2938" s="12" t="s">
        <v>14</v>
      </c>
      <c r="E2938" s="12">
        <v>-1093</v>
      </c>
    </row>
    <row r="2939" spans="1:5">
      <c r="A2939" s="15">
        <v>43684</v>
      </c>
      <c r="B2939" s="13">
        <v>2514</v>
      </c>
      <c r="C2939" s="13" t="s">
        <v>20</v>
      </c>
      <c r="D2939" s="13" t="s">
        <v>8</v>
      </c>
      <c r="E2939" s="13">
        <v>-1555</v>
      </c>
    </row>
    <row r="2940" spans="1:5">
      <c r="A2940" s="14">
        <v>43684</v>
      </c>
      <c r="B2940" s="12">
        <v>2510</v>
      </c>
      <c r="C2940" s="12" t="s">
        <v>24</v>
      </c>
      <c r="D2940" s="12" t="s">
        <v>6</v>
      </c>
      <c r="E2940" s="12">
        <v>-1045</v>
      </c>
    </row>
    <row r="2941" spans="1:5">
      <c r="A2941" s="15">
        <v>43684</v>
      </c>
      <c r="B2941" s="13">
        <v>2510</v>
      </c>
      <c r="C2941" s="13" t="s">
        <v>24</v>
      </c>
      <c r="D2941" s="13" t="s">
        <v>19</v>
      </c>
      <c r="E2941" s="13">
        <v>-860</v>
      </c>
    </row>
    <row r="2942" spans="1:5">
      <c r="A2942" s="14">
        <v>43684</v>
      </c>
      <c r="B2942" s="12">
        <v>2505</v>
      </c>
      <c r="C2942" s="12" t="s">
        <v>9</v>
      </c>
      <c r="D2942" s="12" t="s">
        <v>19</v>
      </c>
      <c r="E2942" s="12">
        <v>-530</v>
      </c>
    </row>
    <row r="2943" spans="1:5">
      <c r="A2943" s="15">
        <v>43684</v>
      </c>
      <c r="B2943" s="13">
        <v>2503</v>
      </c>
      <c r="C2943" s="13" t="s">
        <v>22</v>
      </c>
      <c r="D2943" s="13" t="s">
        <v>19</v>
      </c>
      <c r="E2943" s="13">
        <v>-268</v>
      </c>
    </row>
    <row r="2944" spans="1:5">
      <c r="A2944" s="14">
        <v>43684</v>
      </c>
      <c r="B2944" s="12">
        <v>1000</v>
      </c>
      <c r="C2944" s="12" t="s">
        <v>23</v>
      </c>
      <c r="D2944" s="12" t="s">
        <v>19</v>
      </c>
      <c r="E2944" s="12">
        <v>846062</v>
      </c>
    </row>
    <row r="2945" spans="1:5">
      <c r="A2945" s="15">
        <v>43685</v>
      </c>
      <c r="B2945" s="13">
        <v>1500</v>
      </c>
      <c r="C2945" s="13" t="s">
        <v>26</v>
      </c>
      <c r="D2945" s="13" t="s">
        <v>19</v>
      </c>
      <c r="E2945" s="13">
        <v>-36802</v>
      </c>
    </row>
    <row r="2946" spans="1:5">
      <c r="A2946" s="14">
        <v>43685</v>
      </c>
      <c r="B2946" s="12">
        <v>2512</v>
      </c>
      <c r="C2946" s="12" t="s">
        <v>16</v>
      </c>
      <c r="D2946" s="12" t="s">
        <v>19</v>
      </c>
      <c r="E2946" s="12">
        <v>-8088</v>
      </c>
    </row>
    <row r="2947" spans="1:5">
      <c r="A2947" s="15">
        <v>43685</v>
      </c>
      <c r="B2947" s="13">
        <v>2512</v>
      </c>
      <c r="C2947" s="13" t="s">
        <v>16</v>
      </c>
      <c r="D2947" s="13" t="s">
        <v>19</v>
      </c>
      <c r="E2947" s="13">
        <v>-7984</v>
      </c>
    </row>
    <row r="2948" spans="1:5">
      <c r="A2948" s="14">
        <v>43685</v>
      </c>
      <c r="B2948" s="12">
        <v>2501</v>
      </c>
      <c r="C2948" s="12" t="s">
        <v>5</v>
      </c>
      <c r="D2948" s="12" t="s">
        <v>8</v>
      </c>
      <c r="E2948" s="12">
        <v>-128</v>
      </c>
    </row>
    <row r="2949" spans="1:5">
      <c r="A2949" s="15">
        <v>43685</v>
      </c>
      <c r="B2949" s="13">
        <v>2502</v>
      </c>
      <c r="C2949" s="13" t="s">
        <v>7</v>
      </c>
      <c r="D2949" s="13" t="s">
        <v>12</v>
      </c>
      <c r="E2949" s="13">
        <v>-9118</v>
      </c>
    </row>
    <row r="2950" spans="1:5">
      <c r="A2950" s="14">
        <v>43685</v>
      </c>
      <c r="B2950" s="12">
        <v>2503</v>
      </c>
      <c r="C2950" s="12" t="s">
        <v>22</v>
      </c>
      <c r="D2950" s="12" t="s">
        <v>8</v>
      </c>
      <c r="E2950" s="12">
        <v>-292</v>
      </c>
    </row>
    <row r="2951" spans="1:5">
      <c r="A2951" s="15">
        <v>43685</v>
      </c>
      <c r="B2951" s="13">
        <v>2513</v>
      </c>
      <c r="C2951" s="13" t="s">
        <v>17</v>
      </c>
      <c r="D2951" s="13" t="s">
        <v>14</v>
      </c>
      <c r="E2951" s="13">
        <v>-1198</v>
      </c>
    </row>
    <row r="2952" spans="1:5">
      <c r="A2952" s="14">
        <v>43685</v>
      </c>
      <c r="B2952" s="12">
        <v>2514</v>
      </c>
      <c r="C2952" s="12" t="s">
        <v>20</v>
      </c>
      <c r="D2952" s="12" t="s">
        <v>6</v>
      </c>
      <c r="E2952" s="12">
        <v>-1370</v>
      </c>
    </row>
    <row r="2953" spans="1:5">
      <c r="A2953" s="15">
        <v>43685</v>
      </c>
      <c r="B2953" s="13">
        <v>2505</v>
      </c>
      <c r="C2953" s="13" t="s">
        <v>9</v>
      </c>
      <c r="D2953" s="13" t="s">
        <v>19</v>
      </c>
      <c r="E2953" s="13">
        <v>-295</v>
      </c>
    </row>
    <row r="2954" spans="1:5">
      <c r="A2954" s="14">
        <v>43685</v>
      </c>
      <c r="B2954" s="12">
        <v>2501</v>
      </c>
      <c r="C2954" s="12" t="s">
        <v>5</v>
      </c>
      <c r="D2954" s="12" t="s">
        <v>19</v>
      </c>
      <c r="E2954" s="12">
        <v>-78</v>
      </c>
    </row>
    <row r="2955" spans="1:5">
      <c r="A2955" s="15">
        <v>43686</v>
      </c>
      <c r="B2955" s="13">
        <v>2000</v>
      </c>
      <c r="C2955" s="13" t="s">
        <v>18</v>
      </c>
      <c r="D2955" s="13" t="s">
        <v>19</v>
      </c>
      <c r="E2955" s="13">
        <v>-268410</v>
      </c>
    </row>
    <row r="2956" spans="1:5">
      <c r="A2956" s="14">
        <v>43686</v>
      </c>
      <c r="B2956" s="12">
        <v>1500</v>
      </c>
      <c r="C2956" s="12" t="s">
        <v>26</v>
      </c>
      <c r="D2956" s="12" t="s">
        <v>19</v>
      </c>
      <c r="E2956" s="12">
        <v>-53403</v>
      </c>
    </row>
    <row r="2957" spans="1:5">
      <c r="A2957" s="15">
        <v>43686</v>
      </c>
      <c r="B2957" s="13">
        <v>2500</v>
      </c>
      <c r="C2957" s="13" t="s">
        <v>25</v>
      </c>
      <c r="D2957" s="13" t="s">
        <v>19</v>
      </c>
      <c r="E2957" s="13">
        <v>-47739</v>
      </c>
    </row>
    <row r="2958" spans="1:5">
      <c r="A2958" s="14">
        <v>43686</v>
      </c>
      <c r="B2958" s="12">
        <v>2500</v>
      </c>
      <c r="C2958" s="12" t="s">
        <v>25</v>
      </c>
      <c r="D2958" s="12" t="s">
        <v>19</v>
      </c>
      <c r="E2958" s="12">
        <v>-27137</v>
      </c>
    </row>
    <row r="2959" spans="1:5">
      <c r="A2959" s="15">
        <v>43686</v>
      </c>
      <c r="B2959" s="13">
        <v>2502</v>
      </c>
      <c r="C2959" s="13" t="s">
        <v>7</v>
      </c>
      <c r="D2959" s="13" t="s">
        <v>19</v>
      </c>
      <c r="E2959" s="13">
        <v>-5090</v>
      </c>
    </row>
    <row r="2960" spans="1:5">
      <c r="A2960" s="14">
        <v>43686</v>
      </c>
      <c r="B2960" s="12">
        <v>2504</v>
      </c>
      <c r="C2960" s="12" t="s">
        <v>21</v>
      </c>
      <c r="D2960" s="12" t="s">
        <v>19</v>
      </c>
      <c r="E2960" s="12">
        <v>-2118</v>
      </c>
    </row>
    <row r="2961" spans="1:5">
      <c r="A2961" s="15">
        <v>43686</v>
      </c>
      <c r="B2961" s="13">
        <v>2514</v>
      </c>
      <c r="C2961" s="13" t="s">
        <v>20</v>
      </c>
      <c r="D2961" s="13" t="s">
        <v>19</v>
      </c>
      <c r="E2961" s="13">
        <v>-1205</v>
      </c>
    </row>
    <row r="2962" spans="1:5">
      <c r="A2962" s="14">
        <v>43686</v>
      </c>
      <c r="B2962" s="12">
        <v>2505</v>
      </c>
      <c r="C2962" s="12" t="s">
        <v>9</v>
      </c>
      <c r="D2962" s="12" t="s">
        <v>12</v>
      </c>
      <c r="E2962" s="12">
        <v>-1209</v>
      </c>
    </row>
    <row r="2963" spans="1:5">
      <c r="A2963" s="15">
        <v>43686</v>
      </c>
      <c r="B2963" s="13">
        <v>2506</v>
      </c>
      <c r="C2963" s="13" t="s">
        <v>27</v>
      </c>
      <c r="D2963" s="13" t="s">
        <v>14</v>
      </c>
      <c r="E2963" s="13">
        <v>-690</v>
      </c>
    </row>
    <row r="2964" spans="1:5">
      <c r="A2964" s="14">
        <v>43686</v>
      </c>
      <c r="B2964" s="12">
        <v>2513</v>
      </c>
      <c r="C2964" s="12" t="s">
        <v>17</v>
      </c>
      <c r="D2964" s="12" t="s">
        <v>14</v>
      </c>
      <c r="E2964" s="12">
        <v>-867</v>
      </c>
    </row>
    <row r="2965" spans="1:5">
      <c r="A2965" s="15">
        <v>43686</v>
      </c>
      <c r="B2965" s="13">
        <v>2513</v>
      </c>
      <c r="C2965" s="13" t="s">
        <v>17</v>
      </c>
      <c r="D2965" s="13" t="s">
        <v>13</v>
      </c>
      <c r="E2965" s="13">
        <v>-508</v>
      </c>
    </row>
    <row r="2966" spans="1:5">
      <c r="A2966" s="14">
        <v>43686</v>
      </c>
      <c r="B2966" s="12">
        <v>2503</v>
      </c>
      <c r="C2966" s="12" t="s">
        <v>22</v>
      </c>
      <c r="D2966" s="12" t="s">
        <v>19</v>
      </c>
      <c r="E2966" s="12">
        <v>-216</v>
      </c>
    </row>
    <row r="2967" spans="1:5">
      <c r="A2967" s="15">
        <v>43686</v>
      </c>
      <c r="B2967" s="13">
        <v>2501</v>
      </c>
      <c r="C2967" s="13" t="s">
        <v>5</v>
      </c>
      <c r="D2967" s="13" t="s">
        <v>19</v>
      </c>
      <c r="E2967" s="13">
        <v>-76</v>
      </c>
    </row>
    <row r="2968" spans="1:5">
      <c r="A2968" s="14">
        <v>43687</v>
      </c>
      <c r="B2968" s="12">
        <v>2502</v>
      </c>
      <c r="C2968" s="12" t="s">
        <v>7</v>
      </c>
      <c r="D2968" s="12" t="s">
        <v>19</v>
      </c>
      <c r="E2968" s="12">
        <v>-4213</v>
      </c>
    </row>
    <row r="2969" spans="1:5">
      <c r="A2969" s="15">
        <v>43687</v>
      </c>
      <c r="B2969" s="13">
        <v>2504</v>
      </c>
      <c r="C2969" s="13" t="s">
        <v>21</v>
      </c>
      <c r="D2969" s="13" t="s">
        <v>19</v>
      </c>
      <c r="E2969" s="13">
        <v>-1817</v>
      </c>
    </row>
    <row r="2970" spans="1:5">
      <c r="A2970" s="14">
        <v>43687</v>
      </c>
      <c r="B2970" s="12">
        <v>2512</v>
      </c>
      <c r="C2970" s="12" t="s">
        <v>16</v>
      </c>
      <c r="D2970" s="12" t="s">
        <v>6</v>
      </c>
      <c r="E2970" s="12">
        <v>-3813</v>
      </c>
    </row>
    <row r="2971" spans="1:5">
      <c r="A2971" s="15">
        <v>43687</v>
      </c>
      <c r="B2971" s="13">
        <v>2514</v>
      </c>
      <c r="C2971" s="13" t="s">
        <v>20</v>
      </c>
      <c r="D2971" s="13" t="s">
        <v>10</v>
      </c>
      <c r="E2971" s="13">
        <v>-1194</v>
      </c>
    </row>
    <row r="2972" spans="1:5">
      <c r="A2972" s="14">
        <v>43687</v>
      </c>
      <c r="B2972" s="12">
        <v>2514</v>
      </c>
      <c r="C2972" s="12" t="s">
        <v>20</v>
      </c>
      <c r="D2972" s="12" t="s">
        <v>14</v>
      </c>
      <c r="E2972" s="12">
        <v>-1116</v>
      </c>
    </row>
    <row r="2973" spans="1:5">
      <c r="A2973" s="15">
        <v>43687</v>
      </c>
      <c r="B2973" s="13">
        <v>2510</v>
      </c>
      <c r="C2973" s="13" t="s">
        <v>24</v>
      </c>
      <c r="D2973" s="13" t="s">
        <v>19</v>
      </c>
      <c r="E2973" s="13">
        <v>-657</v>
      </c>
    </row>
    <row r="2974" spans="1:5">
      <c r="A2974" s="14">
        <v>43687</v>
      </c>
      <c r="B2974" s="12">
        <v>2505</v>
      </c>
      <c r="C2974" s="12" t="s">
        <v>9</v>
      </c>
      <c r="D2974" s="12" t="s">
        <v>19</v>
      </c>
      <c r="E2974" s="12">
        <v>-490</v>
      </c>
    </row>
    <row r="2975" spans="1:5">
      <c r="A2975" s="15">
        <v>43687</v>
      </c>
      <c r="B2975" s="13">
        <v>2505</v>
      </c>
      <c r="C2975" s="13" t="s">
        <v>9</v>
      </c>
      <c r="D2975" s="13" t="s">
        <v>19</v>
      </c>
      <c r="E2975" s="13">
        <v>-365</v>
      </c>
    </row>
    <row r="2976" spans="1:5">
      <c r="A2976" s="14">
        <v>43688</v>
      </c>
      <c r="B2976" s="12">
        <v>1500</v>
      </c>
      <c r="C2976" s="12" t="s">
        <v>26</v>
      </c>
      <c r="D2976" s="12" t="s">
        <v>19</v>
      </c>
      <c r="E2976" s="12">
        <v>-46328</v>
      </c>
    </row>
    <row r="2977" spans="1:5">
      <c r="A2977" s="15">
        <v>43688</v>
      </c>
      <c r="B2977" s="13">
        <v>2500</v>
      </c>
      <c r="C2977" s="13" t="s">
        <v>25</v>
      </c>
      <c r="D2977" s="13" t="s">
        <v>19</v>
      </c>
      <c r="E2977" s="13">
        <v>-37949</v>
      </c>
    </row>
    <row r="2978" spans="1:5">
      <c r="A2978" s="14">
        <v>43688</v>
      </c>
      <c r="B2978" s="12">
        <v>2500</v>
      </c>
      <c r="C2978" s="12" t="s">
        <v>25</v>
      </c>
      <c r="D2978" s="12" t="s">
        <v>19</v>
      </c>
      <c r="E2978" s="12">
        <v>-32498</v>
      </c>
    </row>
    <row r="2979" spans="1:5">
      <c r="A2979" s="15">
        <v>43688</v>
      </c>
      <c r="B2979" s="13">
        <v>2500</v>
      </c>
      <c r="C2979" s="13" t="s">
        <v>25</v>
      </c>
      <c r="D2979" s="13" t="s">
        <v>19</v>
      </c>
      <c r="E2979" s="13">
        <v>-27162</v>
      </c>
    </row>
    <row r="2980" spans="1:5">
      <c r="A2980" s="14">
        <v>43688</v>
      </c>
      <c r="B2980" s="12">
        <v>2512</v>
      </c>
      <c r="C2980" s="12" t="s">
        <v>16</v>
      </c>
      <c r="D2980" s="12" t="s">
        <v>19</v>
      </c>
      <c r="E2980" s="12">
        <v>-4693</v>
      </c>
    </row>
    <row r="2981" spans="1:5">
      <c r="A2981" s="15">
        <v>43688</v>
      </c>
      <c r="B2981" s="13">
        <v>2504</v>
      </c>
      <c r="C2981" s="13" t="s">
        <v>21</v>
      </c>
      <c r="D2981" s="13" t="s">
        <v>19</v>
      </c>
      <c r="E2981" s="13">
        <v>-2072</v>
      </c>
    </row>
    <row r="2982" spans="1:5">
      <c r="A2982" s="14">
        <v>43688</v>
      </c>
      <c r="B2982" s="12">
        <v>2501</v>
      </c>
      <c r="C2982" s="12" t="s">
        <v>5</v>
      </c>
      <c r="D2982" s="12" t="s">
        <v>12</v>
      </c>
      <c r="E2982" s="12">
        <v>-172</v>
      </c>
    </row>
    <row r="2983" spans="1:5">
      <c r="A2983" s="15">
        <v>43688</v>
      </c>
      <c r="B2983" s="13">
        <v>2505</v>
      </c>
      <c r="C2983" s="13" t="s">
        <v>9</v>
      </c>
      <c r="D2983" s="13" t="s">
        <v>14</v>
      </c>
      <c r="E2983" s="13">
        <v>-547</v>
      </c>
    </row>
    <row r="2984" spans="1:5">
      <c r="A2984" s="14">
        <v>43688</v>
      </c>
      <c r="B2984" s="12">
        <v>2505</v>
      </c>
      <c r="C2984" s="12" t="s">
        <v>9</v>
      </c>
      <c r="D2984" s="12" t="s">
        <v>12</v>
      </c>
      <c r="E2984" s="12">
        <v>-815</v>
      </c>
    </row>
    <row r="2985" spans="1:5">
      <c r="A2985" s="15">
        <v>43688</v>
      </c>
      <c r="B2985" s="13">
        <v>2514</v>
      </c>
      <c r="C2985" s="13" t="s">
        <v>20</v>
      </c>
      <c r="D2985" s="13" t="s">
        <v>8</v>
      </c>
      <c r="E2985" s="13">
        <v>-1361</v>
      </c>
    </row>
    <row r="2986" spans="1:5">
      <c r="A2986" s="14">
        <v>43688</v>
      </c>
      <c r="B2986" s="12">
        <v>2510</v>
      </c>
      <c r="C2986" s="12" t="s">
        <v>24</v>
      </c>
      <c r="D2986" s="12" t="s">
        <v>14</v>
      </c>
      <c r="E2986" s="12">
        <v>-779</v>
      </c>
    </row>
    <row r="2987" spans="1:5">
      <c r="A2987" s="15">
        <v>43688</v>
      </c>
      <c r="B2987" s="13">
        <v>2514</v>
      </c>
      <c r="C2987" s="13" t="s">
        <v>20</v>
      </c>
      <c r="D2987" s="13" t="s">
        <v>19</v>
      </c>
      <c r="E2987" s="13">
        <v>-862</v>
      </c>
    </row>
    <row r="2988" spans="1:5">
      <c r="A2988" s="14">
        <v>43688</v>
      </c>
      <c r="B2988" s="12">
        <v>2505</v>
      </c>
      <c r="C2988" s="12" t="s">
        <v>9</v>
      </c>
      <c r="D2988" s="12" t="s">
        <v>19</v>
      </c>
      <c r="E2988" s="12">
        <v>-383</v>
      </c>
    </row>
    <row r="2989" spans="1:5">
      <c r="A2989" s="15">
        <v>43688</v>
      </c>
      <c r="B2989" s="13">
        <v>1000</v>
      </c>
      <c r="C2989" s="13" t="s">
        <v>23</v>
      </c>
      <c r="D2989" s="13" t="s">
        <v>19</v>
      </c>
      <c r="E2989" s="13">
        <v>615316</v>
      </c>
    </row>
    <row r="2990" spans="1:5">
      <c r="A2990" s="14">
        <v>43688</v>
      </c>
      <c r="B2990" s="12">
        <v>1000</v>
      </c>
      <c r="C2990" s="12" t="s">
        <v>23</v>
      </c>
      <c r="D2990" s="12" t="s">
        <v>19</v>
      </c>
      <c r="E2990" s="12">
        <v>1050089</v>
      </c>
    </row>
    <row r="2991" spans="1:5">
      <c r="A2991" s="15">
        <v>43689</v>
      </c>
      <c r="B2991" s="13">
        <v>2512</v>
      </c>
      <c r="C2991" s="13" t="s">
        <v>16</v>
      </c>
      <c r="D2991" s="13" t="s">
        <v>19</v>
      </c>
      <c r="E2991" s="13">
        <v>-6087</v>
      </c>
    </row>
    <row r="2992" spans="1:5">
      <c r="A2992" s="14">
        <v>43689</v>
      </c>
      <c r="B2992" s="12">
        <v>2504</v>
      </c>
      <c r="C2992" s="12" t="s">
        <v>21</v>
      </c>
      <c r="D2992" s="12" t="s">
        <v>19</v>
      </c>
      <c r="E2992" s="12">
        <v>-1756</v>
      </c>
    </row>
    <row r="2993" spans="1:5">
      <c r="A2993" s="15">
        <v>43689</v>
      </c>
      <c r="B2993" s="13">
        <v>2501</v>
      </c>
      <c r="C2993" s="13" t="s">
        <v>5</v>
      </c>
      <c r="D2993" s="13" t="s">
        <v>13</v>
      </c>
      <c r="E2993" s="13">
        <v>-98</v>
      </c>
    </row>
    <row r="2994" spans="1:5">
      <c r="A2994" s="14">
        <v>43689</v>
      </c>
      <c r="B2994" s="12">
        <v>2502</v>
      </c>
      <c r="C2994" s="12" t="s">
        <v>7</v>
      </c>
      <c r="D2994" s="12" t="s">
        <v>10</v>
      </c>
      <c r="E2994" s="12">
        <v>-4362</v>
      </c>
    </row>
    <row r="2995" spans="1:5">
      <c r="A2995" s="15">
        <v>43689</v>
      </c>
      <c r="B2995" s="13">
        <v>2503</v>
      </c>
      <c r="C2995" s="13" t="s">
        <v>22</v>
      </c>
      <c r="D2995" s="13" t="s">
        <v>14</v>
      </c>
      <c r="E2995" s="13">
        <v>-307</v>
      </c>
    </row>
    <row r="2996" spans="1:5">
      <c r="A2996" s="14">
        <v>43689</v>
      </c>
      <c r="B2996" s="12">
        <v>2505</v>
      </c>
      <c r="C2996" s="12" t="s">
        <v>9</v>
      </c>
      <c r="D2996" s="12" t="s">
        <v>6</v>
      </c>
      <c r="E2996" s="12">
        <v>-727</v>
      </c>
    </row>
    <row r="2997" spans="1:5">
      <c r="A2997" s="15">
        <v>43689</v>
      </c>
      <c r="B2997" s="13">
        <v>2506</v>
      </c>
      <c r="C2997" s="13" t="s">
        <v>27</v>
      </c>
      <c r="D2997" s="13" t="s">
        <v>14</v>
      </c>
      <c r="E2997" s="13">
        <v>-591</v>
      </c>
    </row>
    <row r="2998" spans="1:5">
      <c r="A2998" s="14">
        <v>43689</v>
      </c>
      <c r="B2998" s="12">
        <v>2513</v>
      </c>
      <c r="C2998" s="12" t="s">
        <v>17</v>
      </c>
      <c r="D2998" s="12" t="s">
        <v>14</v>
      </c>
      <c r="E2998" s="12">
        <v>-1037</v>
      </c>
    </row>
    <row r="2999" spans="1:5">
      <c r="A2999" s="15">
        <v>43689</v>
      </c>
      <c r="B2999" s="13">
        <v>2514</v>
      </c>
      <c r="C2999" s="13" t="s">
        <v>20</v>
      </c>
      <c r="D2999" s="13" t="s">
        <v>13</v>
      </c>
      <c r="E2999" s="13">
        <v>-1134</v>
      </c>
    </row>
    <row r="3000" spans="1:5">
      <c r="A3000" s="14">
        <v>43689</v>
      </c>
      <c r="B3000" s="12">
        <v>2514</v>
      </c>
      <c r="C3000" s="12" t="s">
        <v>20</v>
      </c>
      <c r="D3000" s="12" t="s">
        <v>6</v>
      </c>
      <c r="E3000" s="12">
        <v>-1033</v>
      </c>
    </row>
    <row r="3001" spans="1:5">
      <c r="A3001" s="15">
        <v>43689</v>
      </c>
      <c r="B3001" s="13">
        <v>2514</v>
      </c>
      <c r="C3001" s="13" t="s">
        <v>20</v>
      </c>
      <c r="D3001" s="13" t="s">
        <v>10</v>
      </c>
      <c r="E3001" s="13">
        <v>-1344</v>
      </c>
    </row>
    <row r="3002" spans="1:5">
      <c r="A3002" s="14">
        <v>43689</v>
      </c>
      <c r="B3002" s="12">
        <v>2514</v>
      </c>
      <c r="C3002" s="12" t="s">
        <v>20</v>
      </c>
      <c r="D3002" s="12" t="s">
        <v>8</v>
      </c>
      <c r="E3002" s="12">
        <v>-1388</v>
      </c>
    </row>
    <row r="3003" spans="1:5">
      <c r="A3003" s="15">
        <v>43689</v>
      </c>
      <c r="B3003" s="13">
        <v>2510</v>
      </c>
      <c r="C3003" s="13" t="s">
        <v>24</v>
      </c>
      <c r="D3003" s="13" t="s">
        <v>12</v>
      </c>
      <c r="E3003" s="13">
        <v>-1368</v>
      </c>
    </row>
    <row r="3004" spans="1:5">
      <c r="A3004" s="14">
        <v>43689</v>
      </c>
      <c r="B3004" s="12">
        <v>2513</v>
      </c>
      <c r="C3004" s="12" t="s">
        <v>17</v>
      </c>
      <c r="D3004" s="12" t="s">
        <v>19</v>
      </c>
      <c r="E3004" s="12">
        <v>-829</v>
      </c>
    </row>
    <row r="3005" spans="1:5">
      <c r="A3005" s="15">
        <v>43689</v>
      </c>
      <c r="B3005" s="13">
        <v>2505</v>
      </c>
      <c r="C3005" s="13" t="s">
        <v>9</v>
      </c>
      <c r="D3005" s="13" t="s">
        <v>19</v>
      </c>
      <c r="E3005" s="13">
        <v>-416</v>
      </c>
    </row>
    <row r="3006" spans="1:5">
      <c r="A3006" s="14">
        <v>43689</v>
      </c>
      <c r="B3006" s="12">
        <v>2501</v>
      </c>
      <c r="C3006" s="12" t="s">
        <v>5</v>
      </c>
      <c r="D3006" s="12" t="s">
        <v>19</v>
      </c>
      <c r="E3006" s="12">
        <v>-71</v>
      </c>
    </row>
    <row r="3007" spans="1:5">
      <c r="A3007" s="15">
        <v>43690</v>
      </c>
      <c r="B3007" s="13">
        <v>2000</v>
      </c>
      <c r="C3007" s="13" t="s">
        <v>18</v>
      </c>
      <c r="D3007" s="13" t="s">
        <v>19</v>
      </c>
      <c r="E3007" s="13">
        <v>-305874</v>
      </c>
    </row>
    <row r="3008" spans="1:5">
      <c r="A3008" s="14">
        <v>43690</v>
      </c>
      <c r="B3008" s="12">
        <v>2000</v>
      </c>
      <c r="C3008" s="12" t="s">
        <v>18</v>
      </c>
      <c r="D3008" s="12" t="s">
        <v>19</v>
      </c>
      <c r="E3008" s="12">
        <v>-257404</v>
      </c>
    </row>
    <row r="3009" spans="1:5">
      <c r="A3009" s="15">
        <v>43690</v>
      </c>
      <c r="B3009" s="13">
        <v>2000</v>
      </c>
      <c r="C3009" s="13" t="s">
        <v>18</v>
      </c>
      <c r="D3009" s="13" t="s">
        <v>19</v>
      </c>
      <c r="E3009" s="13">
        <v>-237720</v>
      </c>
    </row>
    <row r="3010" spans="1:5">
      <c r="A3010" s="14">
        <v>43690</v>
      </c>
      <c r="B3010" s="12">
        <v>2500</v>
      </c>
      <c r="C3010" s="12" t="s">
        <v>25</v>
      </c>
      <c r="D3010" s="12" t="s">
        <v>19</v>
      </c>
      <c r="E3010" s="12">
        <v>-25367</v>
      </c>
    </row>
    <row r="3011" spans="1:5">
      <c r="A3011" s="15">
        <v>43690</v>
      </c>
      <c r="B3011" s="13">
        <v>1500</v>
      </c>
      <c r="C3011" s="13" t="s">
        <v>26</v>
      </c>
      <c r="D3011" s="13" t="s">
        <v>19</v>
      </c>
      <c r="E3011" s="13">
        <v>-7266</v>
      </c>
    </row>
    <row r="3012" spans="1:5">
      <c r="A3012" s="14">
        <v>43690</v>
      </c>
      <c r="B3012" s="12">
        <v>2512</v>
      </c>
      <c r="C3012" s="12" t="s">
        <v>16</v>
      </c>
      <c r="D3012" s="12" t="s">
        <v>19</v>
      </c>
      <c r="E3012" s="12">
        <v>-6516</v>
      </c>
    </row>
    <row r="3013" spans="1:5">
      <c r="A3013" s="15">
        <v>43690</v>
      </c>
      <c r="B3013" s="13">
        <v>2501</v>
      </c>
      <c r="C3013" s="13" t="s">
        <v>5</v>
      </c>
      <c r="D3013" s="13" t="s">
        <v>8</v>
      </c>
      <c r="E3013" s="13">
        <v>-103</v>
      </c>
    </row>
    <row r="3014" spans="1:5">
      <c r="A3014" s="14">
        <v>43690</v>
      </c>
      <c r="B3014" s="12">
        <v>2501</v>
      </c>
      <c r="C3014" s="12" t="s">
        <v>5</v>
      </c>
      <c r="D3014" s="12" t="s">
        <v>12</v>
      </c>
      <c r="E3014" s="12">
        <v>-210</v>
      </c>
    </row>
    <row r="3015" spans="1:5">
      <c r="A3015" s="15">
        <v>43690</v>
      </c>
      <c r="B3015" s="13">
        <v>2502</v>
      </c>
      <c r="C3015" s="13" t="s">
        <v>7</v>
      </c>
      <c r="D3015" s="13" t="s">
        <v>8</v>
      </c>
      <c r="E3015" s="13">
        <v>-6859</v>
      </c>
    </row>
    <row r="3016" spans="1:5">
      <c r="A3016" s="14">
        <v>43690</v>
      </c>
      <c r="B3016" s="12">
        <v>2505</v>
      </c>
      <c r="C3016" s="12" t="s">
        <v>9</v>
      </c>
      <c r="D3016" s="12" t="s">
        <v>13</v>
      </c>
      <c r="E3016" s="12">
        <v>-486</v>
      </c>
    </row>
    <row r="3017" spans="1:5">
      <c r="A3017" s="15">
        <v>43690</v>
      </c>
      <c r="B3017" s="13">
        <v>2508</v>
      </c>
      <c r="C3017" s="13" t="s">
        <v>15</v>
      </c>
      <c r="D3017" s="13" t="s">
        <v>14</v>
      </c>
      <c r="E3017" s="13">
        <v>-66678</v>
      </c>
    </row>
    <row r="3018" spans="1:5">
      <c r="A3018" s="14">
        <v>43690</v>
      </c>
      <c r="B3018" s="12">
        <v>2513</v>
      </c>
      <c r="C3018" s="12" t="s">
        <v>17</v>
      </c>
      <c r="D3018" s="12" t="s">
        <v>13</v>
      </c>
      <c r="E3018" s="12">
        <v>-743</v>
      </c>
    </row>
    <row r="3019" spans="1:5">
      <c r="A3019" s="15">
        <v>43690</v>
      </c>
      <c r="B3019" s="13">
        <v>2510</v>
      </c>
      <c r="C3019" s="13" t="s">
        <v>24</v>
      </c>
      <c r="D3019" s="13" t="s">
        <v>8</v>
      </c>
      <c r="E3019" s="13">
        <v>-868</v>
      </c>
    </row>
    <row r="3020" spans="1:5">
      <c r="A3020" s="14">
        <v>43690</v>
      </c>
      <c r="B3020" s="12">
        <v>2501</v>
      </c>
      <c r="C3020" s="12" t="s">
        <v>5</v>
      </c>
      <c r="D3020" s="12" t="s">
        <v>19</v>
      </c>
      <c r="E3020" s="12">
        <v>-69</v>
      </c>
    </row>
    <row r="3021" spans="1:5">
      <c r="A3021" s="15">
        <v>43691</v>
      </c>
      <c r="B3021" s="13">
        <v>2505</v>
      </c>
      <c r="C3021" s="13" t="s">
        <v>9</v>
      </c>
      <c r="D3021" s="13" t="s">
        <v>10</v>
      </c>
      <c r="E3021" s="13">
        <v>-578</v>
      </c>
    </row>
    <row r="3022" spans="1:5">
      <c r="A3022" s="14">
        <v>43691</v>
      </c>
      <c r="B3022" s="12">
        <v>2505</v>
      </c>
      <c r="C3022" s="12" t="s">
        <v>9</v>
      </c>
      <c r="D3022" s="12" t="s">
        <v>6</v>
      </c>
      <c r="E3022" s="12">
        <v>-600</v>
      </c>
    </row>
    <row r="3023" spans="1:5">
      <c r="A3023" s="15">
        <v>43691</v>
      </c>
      <c r="B3023" s="13">
        <v>2508</v>
      </c>
      <c r="C3023" s="13" t="s">
        <v>15</v>
      </c>
      <c r="D3023" s="13" t="s">
        <v>12</v>
      </c>
      <c r="E3023" s="13">
        <v>-112348</v>
      </c>
    </row>
    <row r="3024" spans="1:5">
      <c r="A3024" s="14">
        <v>43691</v>
      </c>
      <c r="B3024" s="12">
        <v>2513</v>
      </c>
      <c r="C3024" s="12" t="s">
        <v>17</v>
      </c>
      <c r="D3024" s="12" t="s">
        <v>10</v>
      </c>
      <c r="E3024" s="12">
        <v>-1258</v>
      </c>
    </row>
    <row r="3025" spans="1:5">
      <c r="A3025" s="15">
        <v>43691</v>
      </c>
      <c r="B3025" s="13">
        <v>2513</v>
      </c>
      <c r="C3025" s="13" t="s">
        <v>17</v>
      </c>
      <c r="D3025" s="13" t="s">
        <v>6</v>
      </c>
      <c r="E3025" s="13">
        <v>-581</v>
      </c>
    </row>
    <row r="3026" spans="1:5">
      <c r="A3026" s="14">
        <v>43691</v>
      </c>
      <c r="B3026" s="12">
        <v>2510</v>
      </c>
      <c r="C3026" s="12" t="s">
        <v>24</v>
      </c>
      <c r="D3026" s="12" t="s">
        <v>14</v>
      </c>
      <c r="E3026" s="12">
        <v>-1174</v>
      </c>
    </row>
    <row r="3027" spans="1:5">
      <c r="A3027" s="15">
        <v>43691</v>
      </c>
      <c r="B3027" s="13">
        <v>2503</v>
      </c>
      <c r="C3027" s="13" t="s">
        <v>22</v>
      </c>
      <c r="D3027" s="13" t="s">
        <v>19</v>
      </c>
      <c r="E3027" s="13">
        <v>-285</v>
      </c>
    </row>
    <row r="3028" spans="1:5">
      <c r="A3028" s="14">
        <v>43691</v>
      </c>
      <c r="B3028" s="12">
        <v>2501</v>
      </c>
      <c r="C3028" s="12" t="s">
        <v>5</v>
      </c>
      <c r="D3028" s="12" t="s">
        <v>19</v>
      </c>
      <c r="E3028" s="12">
        <v>-59</v>
      </c>
    </row>
    <row r="3029" spans="1:5">
      <c r="A3029" s="15">
        <v>43692</v>
      </c>
      <c r="B3029" s="13">
        <v>2000</v>
      </c>
      <c r="C3029" s="13" t="s">
        <v>18</v>
      </c>
      <c r="D3029" s="13" t="s">
        <v>19</v>
      </c>
      <c r="E3029" s="13">
        <v>-251303</v>
      </c>
    </row>
    <row r="3030" spans="1:5">
      <c r="A3030" s="14">
        <v>43692</v>
      </c>
      <c r="B3030" s="12">
        <v>2000</v>
      </c>
      <c r="C3030" s="12" t="s">
        <v>18</v>
      </c>
      <c r="D3030" s="12" t="s">
        <v>19</v>
      </c>
      <c r="E3030" s="12">
        <v>-134512</v>
      </c>
    </row>
    <row r="3031" spans="1:5">
      <c r="A3031" s="15">
        <v>43692</v>
      </c>
      <c r="B3031" s="13">
        <v>2505</v>
      </c>
      <c r="C3031" s="13" t="s">
        <v>9</v>
      </c>
      <c r="D3031" s="13" t="s">
        <v>10</v>
      </c>
      <c r="E3031" s="13">
        <v>-727</v>
      </c>
    </row>
    <row r="3032" spans="1:5">
      <c r="A3032" s="14">
        <v>43692</v>
      </c>
      <c r="B3032" s="12">
        <v>2505</v>
      </c>
      <c r="C3032" s="12" t="s">
        <v>9</v>
      </c>
      <c r="D3032" s="12" t="s">
        <v>8</v>
      </c>
      <c r="E3032" s="12">
        <v>-759</v>
      </c>
    </row>
    <row r="3033" spans="1:5">
      <c r="A3033" s="15">
        <v>43692</v>
      </c>
      <c r="B3033" s="13">
        <v>2505</v>
      </c>
      <c r="C3033" s="13" t="s">
        <v>9</v>
      </c>
      <c r="D3033" s="13" t="s">
        <v>10</v>
      </c>
      <c r="E3033" s="13">
        <v>-721</v>
      </c>
    </row>
    <row r="3034" spans="1:5">
      <c r="A3034" s="14">
        <v>43692</v>
      </c>
      <c r="B3034" s="12">
        <v>2505</v>
      </c>
      <c r="C3034" s="12" t="s">
        <v>9</v>
      </c>
      <c r="D3034" s="12" t="s">
        <v>6</v>
      </c>
      <c r="E3034" s="12">
        <v>-793</v>
      </c>
    </row>
    <row r="3035" spans="1:5">
      <c r="A3035" s="15">
        <v>43692</v>
      </c>
      <c r="B3035" s="13">
        <v>2506</v>
      </c>
      <c r="C3035" s="13" t="s">
        <v>27</v>
      </c>
      <c r="D3035" s="13" t="s">
        <v>14</v>
      </c>
      <c r="E3035" s="13">
        <v>-531</v>
      </c>
    </row>
    <row r="3036" spans="1:5">
      <c r="A3036" s="14">
        <v>43692</v>
      </c>
      <c r="B3036" s="12">
        <v>2514</v>
      </c>
      <c r="C3036" s="12" t="s">
        <v>20</v>
      </c>
      <c r="D3036" s="12" t="s">
        <v>19</v>
      </c>
      <c r="E3036" s="12">
        <v>-824</v>
      </c>
    </row>
    <row r="3037" spans="1:5">
      <c r="A3037" s="15">
        <v>43692</v>
      </c>
      <c r="B3037" s="13">
        <v>2505</v>
      </c>
      <c r="C3037" s="13" t="s">
        <v>9</v>
      </c>
      <c r="D3037" s="13" t="s">
        <v>19</v>
      </c>
      <c r="E3037" s="13">
        <v>-576</v>
      </c>
    </row>
    <row r="3038" spans="1:5">
      <c r="A3038" s="14">
        <v>43692</v>
      </c>
      <c r="B3038" s="12">
        <v>1000</v>
      </c>
      <c r="C3038" s="12" t="s">
        <v>23</v>
      </c>
      <c r="D3038" s="12" t="s">
        <v>19</v>
      </c>
      <c r="E3038" s="12">
        <v>603189</v>
      </c>
    </row>
    <row r="3039" spans="1:5">
      <c r="A3039" s="15">
        <v>43693</v>
      </c>
      <c r="B3039" s="13">
        <v>2000</v>
      </c>
      <c r="C3039" s="13" t="s">
        <v>18</v>
      </c>
      <c r="D3039" s="13" t="s">
        <v>19</v>
      </c>
      <c r="E3039" s="13">
        <v>-297190</v>
      </c>
    </row>
    <row r="3040" spans="1:5">
      <c r="A3040" s="14">
        <v>43693</v>
      </c>
      <c r="B3040" s="12">
        <v>2500</v>
      </c>
      <c r="C3040" s="12" t="s">
        <v>25</v>
      </c>
      <c r="D3040" s="12" t="s">
        <v>19</v>
      </c>
      <c r="E3040" s="12">
        <v>-49824</v>
      </c>
    </row>
    <row r="3041" spans="1:5">
      <c r="A3041" s="15">
        <v>43693</v>
      </c>
      <c r="B3041" s="13">
        <v>2508</v>
      </c>
      <c r="C3041" s="13" t="s">
        <v>15</v>
      </c>
      <c r="D3041" s="13" t="s">
        <v>19</v>
      </c>
      <c r="E3041" s="13">
        <v>-49807</v>
      </c>
    </row>
    <row r="3042" spans="1:5">
      <c r="A3042" s="14">
        <v>43693</v>
      </c>
      <c r="B3042" s="12">
        <v>2500</v>
      </c>
      <c r="C3042" s="12" t="s">
        <v>25</v>
      </c>
      <c r="D3042" s="12" t="s">
        <v>19</v>
      </c>
      <c r="E3042" s="12">
        <v>-22816</v>
      </c>
    </row>
    <row r="3043" spans="1:5">
      <c r="A3043" s="15">
        <v>43693</v>
      </c>
      <c r="B3043" s="13">
        <v>2512</v>
      </c>
      <c r="C3043" s="13" t="s">
        <v>16</v>
      </c>
      <c r="D3043" s="13" t="s">
        <v>19</v>
      </c>
      <c r="E3043" s="13">
        <v>-11281</v>
      </c>
    </row>
    <row r="3044" spans="1:5">
      <c r="A3044" s="14">
        <v>43693</v>
      </c>
      <c r="B3044" s="12">
        <v>2512</v>
      </c>
      <c r="C3044" s="12" t="s">
        <v>16</v>
      </c>
      <c r="D3044" s="12" t="s">
        <v>19</v>
      </c>
      <c r="E3044" s="12">
        <v>-8343</v>
      </c>
    </row>
    <row r="3045" spans="1:5">
      <c r="A3045" s="15">
        <v>43693</v>
      </c>
      <c r="B3045" s="13">
        <v>2504</v>
      </c>
      <c r="C3045" s="13" t="s">
        <v>21</v>
      </c>
      <c r="D3045" s="13" t="s">
        <v>19</v>
      </c>
      <c r="E3045" s="13">
        <v>-2106</v>
      </c>
    </row>
    <row r="3046" spans="1:5">
      <c r="A3046" s="14">
        <v>43693</v>
      </c>
      <c r="B3046" s="12">
        <v>2501</v>
      </c>
      <c r="C3046" s="12" t="s">
        <v>5</v>
      </c>
      <c r="D3046" s="12" t="s">
        <v>8</v>
      </c>
      <c r="E3046" s="12">
        <v>-126</v>
      </c>
    </row>
    <row r="3047" spans="1:5">
      <c r="A3047" s="15">
        <v>43693</v>
      </c>
      <c r="B3047" s="13">
        <v>2502</v>
      </c>
      <c r="C3047" s="13" t="s">
        <v>7</v>
      </c>
      <c r="D3047" s="13" t="s">
        <v>12</v>
      </c>
      <c r="E3047" s="13">
        <v>-5038</v>
      </c>
    </row>
    <row r="3048" spans="1:5">
      <c r="A3048" s="14">
        <v>43693</v>
      </c>
      <c r="B3048" s="12">
        <v>2505</v>
      </c>
      <c r="C3048" s="12" t="s">
        <v>9</v>
      </c>
      <c r="D3048" s="12" t="s">
        <v>14</v>
      </c>
      <c r="E3048" s="12">
        <v>-570</v>
      </c>
    </row>
    <row r="3049" spans="1:5">
      <c r="A3049" s="15">
        <v>43693</v>
      </c>
      <c r="B3049" s="13">
        <v>2505</v>
      </c>
      <c r="C3049" s="13" t="s">
        <v>9</v>
      </c>
      <c r="D3049" s="13" t="s">
        <v>6</v>
      </c>
      <c r="E3049" s="13">
        <v>-434</v>
      </c>
    </row>
    <row r="3050" spans="1:5">
      <c r="A3050" s="14">
        <v>43693</v>
      </c>
      <c r="B3050" s="12">
        <v>2512</v>
      </c>
      <c r="C3050" s="12" t="s">
        <v>16</v>
      </c>
      <c r="D3050" s="12" t="s">
        <v>10</v>
      </c>
      <c r="E3050" s="12">
        <v>-2789</v>
      </c>
    </row>
    <row r="3051" spans="1:5">
      <c r="A3051" s="15">
        <v>43693</v>
      </c>
      <c r="B3051" s="13">
        <v>2513</v>
      </c>
      <c r="C3051" s="13" t="s">
        <v>17</v>
      </c>
      <c r="D3051" s="13" t="s">
        <v>12</v>
      </c>
      <c r="E3051" s="13">
        <v>-1387</v>
      </c>
    </row>
    <row r="3052" spans="1:5">
      <c r="A3052" s="14">
        <v>43693</v>
      </c>
      <c r="B3052" s="12">
        <v>2513</v>
      </c>
      <c r="C3052" s="12" t="s">
        <v>17</v>
      </c>
      <c r="D3052" s="12" t="s">
        <v>12</v>
      </c>
      <c r="E3052" s="12">
        <v>-1993</v>
      </c>
    </row>
    <row r="3053" spans="1:5">
      <c r="A3053" s="15">
        <v>43693</v>
      </c>
      <c r="B3053" s="13">
        <v>2510</v>
      </c>
      <c r="C3053" s="13" t="s">
        <v>24</v>
      </c>
      <c r="D3053" s="13" t="s">
        <v>10</v>
      </c>
      <c r="E3053" s="13">
        <v>-1898</v>
      </c>
    </row>
    <row r="3054" spans="1:5">
      <c r="A3054" s="14">
        <v>43693</v>
      </c>
      <c r="B3054" s="12">
        <v>2513</v>
      </c>
      <c r="C3054" s="12" t="s">
        <v>17</v>
      </c>
      <c r="D3054" s="12" t="s">
        <v>19</v>
      </c>
      <c r="E3054" s="12">
        <v>-812</v>
      </c>
    </row>
    <row r="3055" spans="1:5">
      <c r="A3055" s="15">
        <v>43693</v>
      </c>
      <c r="B3055" s="13">
        <v>2505</v>
      </c>
      <c r="C3055" s="13" t="s">
        <v>9</v>
      </c>
      <c r="D3055" s="13" t="s">
        <v>19</v>
      </c>
      <c r="E3055" s="13">
        <v>-351</v>
      </c>
    </row>
    <row r="3056" spans="1:5">
      <c r="A3056" s="14">
        <v>43694</v>
      </c>
      <c r="B3056" s="12">
        <v>2000</v>
      </c>
      <c r="C3056" s="12" t="s">
        <v>18</v>
      </c>
      <c r="D3056" s="12" t="s">
        <v>19</v>
      </c>
      <c r="E3056" s="12">
        <v>-166284</v>
      </c>
    </row>
    <row r="3057" spans="1:5">
      <c r="A3057" s="15">
        <v>43694</v>
      </c>
      <c r="B3057" s="13">
        <v>2508</v>
      </c>
      <c r="C3057" s="13" t="s">
        <v>15</v>
      </c>
      <c r="D3057" s="13" t="s">
        <v>19</v>
      </c>
      <c r="E3057" s="13">
        <v>-43761</v>
      </c>
    </row>
    <row r="3058" spans="1:5">
      <c r="A3058" s="14">
        <v>43694</v>
      </c>
      <c r="B3058" s="12">
        <v>1500</v>
      </c>
      <c r="C3058" s="12" t="s">
        <v>26</v>
      </c>
      <c r="D3058" s="12" t="s">
        <v>19</v>
      </c>
      <c r="E3058" s="12">
        <v>-4104</v>
      </c>
    </row>
    <row r="3059" spans="1:5">
      <c r="A3059" s="15">
        <v>43694</v>
      </c>
      <c r="B3059" s="13">
        <v>2504</v>
      </c>
      <c r="C3059" s="13" t="s">
        <v>21</v>
      </c>
      <c r="D3059" s="13" t="s">
        <v>19</v>
      </c>
      <c r="E3059" s="13">
        <v>-939</v>
      </c>
    </row>
    <row r="3060" spans="1:5">
      <c r="A3060" s="14">
        <v>43694</v>
      </c>
      <c r="B3060" s="12">
        <v>2513</v>
      </c>
      <c r="C3060" s="12" t="s">
        <v>17</v>
      </c>
      <c r="D3060" s="12" t="s">
        <v>19</v>
      </c>
      <c r="E3060" s="12">
        <v>-932</v>
      </c>
    </row>
    <row r="3061" spans="1:5">
      <c r="A3061" s="15">
        <v>43694</v>
      </c>
      <c r="B3061" s="13">
        <v>2501</v>
      </c>
      <c r="C3061" s="13" t="s">
        <v>5</v>
      </c>
      <c r="D3061" s="13" t="s">
        <v>6</v>
      </c>
      <c r="E3061" s="13">
        <v>-179</v>
      </c>
    </row>
    <row r="3062" spans="1:5">
      <c r="A3062" s="14">
        <v>43694</v>
      </c>
      <c r="B3062" s="12">
        <v>2501</v>
      </c>
      <c r="C3062" s="12" t="s">
        <v>5</v>
      </c>
      <c r="D3062" s="12" t="s">
        <v>8</v>
      </c>
      <c r="E3062" s="12">
        <v>-164</v>
      </c>
    </row>
    <row r="3063" spans="1:5">
      <c r="A3063" s="15">
        <v>43694</v>
      </c>
      <c r="B3063" s="13">
        <v>2501</v>
      </c>
      <c r="C3063" s="13" t="s">
        <v>5</v>
      </c>
      <c r="D3063" s="13" t="s">
        <v>13</v>
      </c>
      <c r="E3063" s="13">
        <v>-133</v>
      </c>
    </row>
    <row r="3064" spans="1:5">
      <c r="A3064" s="14">
        <v>43694</v>
      </c>
      <c r="B3064" s="12">
        <v>2503</v>
      </c>
      <c r="C3064" s="12" t="s">
        <v>22</v>
      </c>
      <c r="D3064" s="12" t="s">
        <v>14</v>
      </c>
      <c r="E3064" s="12">
        <v>-269</v>
      </c>
    </row>
    <row r="3065" spans="1:5">
      <c r="A3065" s="15">
        <v>43694</v>
      </c>
      <c r="B3065" s="13">
        <v>2503</v>
      </c>
      <c r="C3065" s="13" t="s">
        <v>22</v>
      </c>
      <c r="D3065" s="13" t="s">
        <v>6</v>
      </c>
      <c r="E3065" s="13">
        <v>-307</v>
      </c>
    </row>
    <row r="3066" spans="1:5">
      <c r="A3066" s="14">
        <v>43694</v>
      </c>
      <c r="B3066" s="12">
        <v>2505</v>
      </c>
      <c r="C3066" s="12" t="s">
        <v>9</v>
      </c>
      <c r="D3066" s="12" t="s">
        <v>14</v>
      </c>
      <c r="E3066" s="12">
        <v>-648</v>
      </c>
    </row>
    <row r="3067" spans="1:5">
      <c r="A3067" s="15">
        <v>43694</v>
      </c>
      <c r="B3067" s="13">
        <v>2508</v>
      </c>
      <c r="C3067" s="13" t="s">
        <v>15</v>
      </c>
      <c r="D3067" s="13" t="s">
        <v>6</v>
      </c>
      <c r="E3067" s="13">
        <v>-78552</v>
      </c>
    </row>
    <row r="3068" spans="1:5">
      <c r="A3068" s="14">
        <v>43694</v>
      </c>
      <c r="B3068" s="12">
        <v>2508</v>
      </c>
      <c r="C3068" s="12" t="s">
        <v>15</v>
      </c>
      <c r="D3068" s="12" t="s">
        <v>12</v>
      </c>
      <c r="E3068" s="12">
        <v>-88610</v>
      </c>
    </row>
    <row r="3069" spans="1:5">
      <c r="A3069" s="15">
        <v>43694</v>
      </c>
      <c r="B3069" s="13">
        <v>2508</v>
      </c>
      <c r="C3069" s="13" t="s">
        <v>15</v>
      </c>
      <c r="D3069" s="13" t="s">
        <v>8</v>
      </c>
      <c r="E3069" s="13">
        <v>-67604</v>
      </c>
    </row>
    <row r="3070" spans="1:5">
      <c r="A3070" s="14">
        <v>43694</v>
      </c>
      <c r="B3070" s="12">
        <v>2508</v>
      </c>
      <c r="C3070" s="12" t="s">
        <v>15</v>
      </c>
      <c r="D3070" s="12" t="s">
        <v>8</v>
      </c>
      <c r="E3070" s="12">
        <v>-76083</v>
      </c>
    </row>
    <row r="3071" spans="1:5">
      <c r="A3071" s="15">
        <v>43694</v>
      </c>
      <c r="B3071" s="13">
        <v>2512</v>
      </c>
      <c r="C3071" s="13" t="s">
        <v>16</v>
      </c>
      <c r="D3071" s="13" t="s">
        <v>8</v>
      </c>
      <c r="E3071" s="13">
        <v>-1950</v>
      </c>
    </row>
    <row r="3072" spans="1:5">
      <c r="A3072" s="14">
        <v>43694</v>
      </c>
      <c r="B3072" s="12">
        <v>2512</v>
      </c>
      <c r="C3072" s="12" t="s">
        <v>16</v>
      </c>
      <c r="D3072" s="12" t="s">
        <v>13</v>
      </c>
      <c r="E3072" s="12">
        <v>-484</v>
      </c>
    </row>
    <row r="3073" spans="1:5">
      <c r="A3073" s="15">
        <v>43694</v>
      </c>
      <c r="B3073" s="13">
        <v>2513</v>
      </c>
      <c r="C3073" s="13" t="s">
        <v>17</v>
      </c>
      <c r="D3073" s="13" t="s">
        <v>10</v>
      </c>
      <c r="E3073" s="13">
        <v>-727</v>
      </c>
    </row>
    <row r="3074" spans="1:5">
      <c r="A3074" s="14">
        <v>43694</v>
      </c>
      <c r="B3074" s="12">
        <v>2514</v>
      </c>
      <c r="C3074" s="12" t="s">
        <v>20</v>
      </c>
      <c r="D3074" s="12" t="s">
        <v>13</v>
      </c>
      <c r="E3074" s="12">
        <v>-1072</v>
      </c>
    </row>
    <row r="3075" spans="1:5">
      <c r="A3075" s="15">
        <v>43694</v>
      </c>
      <c r="B3075" s="13">
        <v>2503</v>
      </c>
      <c r="C3075" s="13" t="s">
        <v>22</v>
      </c>
      <c r="D3075" s="13" t="s">
        <v>19</v>
      </c>
      <c r="E3075" s="13">
        <v>-210</v>
      </c>
    </row>
    <row r="3076" spans="1:5">
      <c r="A3076" s="14">
        <v>43695</v>
      </c>
      <c r="B3076" s="12">
        <v>2512</v>
      </c>
      <c r="C3076" s="12" t="s">
        <v>16</v>
      </c>
      <c r="D3076" s="12" t="s">
        <v>19</v>
      </c>
      <c r="E3076" s="12">
        <v>-8461</v>
      </c>
    </row>
    <row r="3077" spans="1:5">
      <c r="A3077" s="15">
        <v>43695</v>
      </c>
      <c r="B3077" s="13">
        <v>2510</v>
      </c>
      <c r="C3077" s="13" t="s">
        <v>24</v>
      </c>
      <c r="D3077" s="13" t="s">
        <v>19</v>
      </c>
      <c r="E3077" s="13">
        <v>-881</v>
      </c>
    </row>
    <row r="3078" spans="1:5">
      <c r="A3078" s="14">
        <v>43695</v>
      </c>
      <c r="B3078" s="12">
        <v>2501</v>
      </c>
      <c r="C3078" s="12" t="s">
        <v>5</v>
      </c>
      <c r="D3078" s="12" t="s">
        <v>6</v>
      </c>
      <c r="E3078" s="12">
        <v>-177</v>
      </c>
    </row>
    <row r="3079" spans="1:5">
      <c r="A3079" s="15">
        <v>43695</v>
      </c>
      <c r="B3079" s="13">
        <v>2502</v>
      </c>
      <c r="C3079" s="13" t="s">
        <v>7</v>
      </c>
      <c r="D3079" s="13" t="s">
        <v>8</v>
      </c>
      <c r="E3079" s="13">
        <v>-5830</v>
      </c>
    </row>
    <row r="3080" spans="1:5">
      <c r="A3080" s="14">
        <v>43695</v>
      </c>
      <c r="B3080" s="12">
        <v>2503</v>
      </c>
      <c r="C3080" s="12" t="s">
        <v>22</v>
      </c>
      <c r="D3080" s="12" t="s">
        <v>8</v>
      </c>
      <c r="E3080" s="12">
        <v>-279</v>
      </c>
    </row>
    <row r="3081" spans="1:5">
      <c r="A3081" s="15">
        <v>43695</v>
      </c>
      <c r="B3081" s="13">
        <v>2503</v>
      </c>
      <c r="C3081" s="13" t="s">
        <v>22</v>
      </c>
      <c r="D3081" s="13" t="s">
        <v>13</v>
      </c>
      <c r="E3081" s="13">
        <v>-254</v>
      </c>
    </row>
    <row r="3082" spans="1:5">
      <c r="A3082" s="14">
        <v>43695</v>
      </c>
      <c r="B3082" s="12">
        <v>2508</v>
      </c>
      <c r="C3082" s="12" t="s">
        <v>15</v>
      </c>
      <c r="D3082" s="12" t="s">
        <v>12</v>
      </c>
      <c r="E3082" s="12">
        <v>-116901</v>
      </c>
    </row>
    <row r="3083" spans="1:5">
      <c r="A3083" s="15">
        <v>43695</v>
      </c>
      <c r="B3083" s="13">
        <v>2508</v>
      </c>
      <c r="C3083" s="13" t="s">
        <v>15</v>
      </c>
      <c r="D3083" s="13" t="s">
        <v>14</v>
      </c>
      <c r="E3083" s="13">
        <v>-60704</v>
      </c>
    </row>
    <row r="3084" spans="1:5">
      <c r="A3084" s="14">
        <v>43695</v>
      </c>
      <c r="B3084" s="12">
        <v>2514</v>
      </c>
      <c r="C3084" s="12" t="s">
        <v>20</v>
      </c>
      <c r="D3084" s="12" t="s">
        <v>6</v>
      </c>
      <c r="E3084" s="12">
        <v>-1586</v>
      </c>
    </row>
    <row r="3085" spans="1:5">
      <c r="A3085" s="15">
        <v>43695</v>
      </c>
      <c r="B3085" s="13">
        <v>2510</v>
      </c>
      <c r="C3085" s="13" t="s">
        <v>24</v>
      </c>
      <c r="D3085" s="13" t="s">
        <v>12</v>
      </c>
      <c r="E3085" s="13">
        <v>-2085</v>
      </c>
    </row>
    <row r="3086" spans="1:5">
      <c r="A3086" s="14">
        <v>43695</v>
      </c>
      <c r="B3086" s="12">
        <v>2503</v>
      </c>
      <c r="C3086" s="12" t="s">
        <v>22</v>
      </c>
      <c r="D3086" s="12" t="s">
        <v>19</v>
      </c>
      <c r="E3086" s="12">
        <v>-312</v>
      </c>
    </row>
    <row r="3087" spans="1:5">
      <c r="A3087" s="15">
        <v>43695</v>
      </c>
      <c r="B3087" s="13">
        <v>2503</v>
      </c>
      <c r="C3087" s="13" t="s">
        <v>22</v>
      </c>
      <c r="D3087" s="13" t="s">
        <v>19</v>
      </c>
      <c r="E3087" s="13">
        <v>-200</v>
      </c>
    </row>
    <row r="3088" spans="1:5">
      <c r="A3088" s="14">
        <v>43695</v>
      </c>
      <c r="B3088" s="12">
        <v>1000</v>
      </c>
      <c r="C3088" s="12" t="s">
        <v>23</v>
      </c>
      <c r="D3088" s="12" t="s">
        <v>19</v>
      </c>
      <c r="E3088" s="12">
        <v>517037</v>
      </c>
    </row>
    <row r="3089" spans="1:5">
      <c r="A3089" s="15">
        <v>43696</v>
      </c>
      <c r="B3089" s="13">
        <v>2500</v>
      </c>
      <c r="C3089" s="13" t="s">
        <v>25</v>
      </c>
      <c r="D3089" s="13" t="s">
        <v>19</v>
      </c>
      <c r="E3089" s="13">
        <v>-38453</v>
      </c>
    </row>
    <row r="3090" spans="1:5">
      <c r="A3090" s="14">
        <v>43696</v>
      </c>
      <c r="B3090" s="12">
        <v>1500</v>
      </c>
      <c r="C3090" s="12" t="s">
        <v>26</v>
      </c>
      <c r="D3090" s="12" t="s">
        <v>19</v>
      </c>
      <c r="E3090" s="12">
        <v>-34983</v>
      </c>
    </row>
    <row r="3091" spans="1:5">
      <c r="A3091" s="15">
        <v>43696</v>
      </c>
      <c r="B3091" s="13">
        <v>1500</v>
      </c>
      <c r="C3091" s="13" t="s">
        <v>26</v>
      </c>
      <c r="D3091" s="13" t="s">
        <v>19</v>
      </c>
      <c r="E3091" s="13">
        <v>-7700</v>
      </c>
    </row>
    <row r="3092" spans="1:5">
      <c r="A3092" s="14">
        <v>43696</v>
      </c>
      <c r="B3092" s="12">
        <v>2502</v>
      </c>
      <c r="C3092" s="12" t="s">
        <v>7</v>
      </c>
      <c r="D3092" s="12" t="s">
        <v>19</v>
      </c>
      <c r="E3092" s="12">
        <v>-3861</v>
      </c>
    </row>
    <row r="3093" spans="1:5">
      <c r="A3093" s="15">
        <v>43696</v>
      </c>
      <c r="B3093" s="13">
        <v>2504</v>
      </c>
      <c r="C3093" s="13" t="s">
        <v>21</v>
      </c>
      <c r="D3093" s="13" t="s">
        <v>19</v>
      </c>
      <c r="E3093" s="13">
        <v>-2525</v>
      </c>
    </row>
    <row r="3094" spans="1:5">
      <c r="A3094" s="14">
        <v>43696</v>
      </c>
      <c r="B3094" s="12">
        <v>2510</v>
      </c>
      <c r="C3094" s="12" t="s">
        <v>24</v>
      </c>
      <c r="D3094" s="12" t="s">
        <v>19</v>
      </c>
      <c r="E3094" s="12">
        <v>-1084</v>
      </c>
    </row>
    <row r="3095" spans="1:5">
      <c r="A3095" s="15">
        <v>43696</v>
      </c>
      <c r="B3095" s="13">
        <v>2514</v>
      </c>
      <c r="C3095" s="13" t="s">
        <v>20</v>
      </c>
      <c r="D3095" s="13" t="s">
        <v>19</v>
      </c>
      <c r="E3095" s="13">
        <v>-1063</v>
      </c>
    </row>
    <row r="3096" spans="1:5">
      <c r="A3096" s="14">
        <v>43696</v>
      </c>
      <c r="B3096" s="12">
        <v>2503</v>
      </c>
      <c r="C3096" s="12" t="s">
        <v>22</v>
      </c>
      <c r="D3096" s="12" t="s">
        <v>10</v>
      </c>
      <c r="E3096" s="12">
        <v>-408</v>
      </c>
    </row>
    <row r="3097" spans="1:5">
      <c r="A3097" s="15">
        <v>43696</v>
      </c>
      <c r="B3097" s="13">
        <v>2503</v>
      </c>
      <c r="C3097" s="13" t="s">
        <v>22</v>
      </c>
      <c r="D3097" s="13" t="s">
        <v>13</v>
      </c>
      <c r="E3097" s="13">
        <v>-278</v>
      </c>
    </row>
    <row r="3098" spans="1:5">
      <c r="A3098" s="14">
        <v>43696</v>
      </c>
      <c r="B3098" s="12">
        <v>2503</v>
      </c>
      <c r="C3098" s="12" t="s">
        <v>22</v>
      </c>
      <c r="D3098" s="12" t="s">
        <v>10</v>
      </c>
      <c r="E3098" s="12">
        <v>-300</v>
      </c>
    </row>
    <row r="3099" spans="1:5">
      <c r="A3099" s="15">
        <v>43696</v>
      </c>
      <c r="B3099" s="13">
        <v>2505</v>
      </c>
      <c r="C3099" s="13" t="s">
        <v>9</v>
      </c>
      <c r="D3099" s="13" t="s">
        <v>12</v>
      </c>
      <c r="E3099" s="13">
        <v>-1191</v>
      </c>
    </row>
    <row r="3100" spans="1:5">
      <c r="A3100" s="14">
        <v>43696</v>
      </c>
      <c r="B3100" s="12">
        <v>2505</v>
      </c>
      <c r="C3100" s="12" t="s">
        <v>9</v>
      </c>
      <c r="D3100" s="12" t="s">
        <v>8</v>
      </c>
      <c r="E3100" s="12">
        <v>-504</v>
      </c>
    </row>
    <row r="3101" spans="1:5">
      <c r="A3101" s="15">
        <v>43696</v>
      </c>
      <c r="B3101" s="13">
        <v>2505</v>
      </c>
      <c r="C3101" s="13" t="s">
        <v>9</v>
      </c>
      <c r="D3101" s="13" t="s">
        <v>8</v>
      </c>
      <c r="E3101" s="13">
        <v>-598</v>
      </c>
    </row>
    <row r="3102" spans="1:5">
      <c r="A3102" s="14">
        <v>43696</v>
      </c>
      <c r="B3102" s="12">
        <v>2513</v>
      </c>
      <c r="C3102" s="12" t="s">
        <v>17</v>
      </c>
      <c r="D3102" s="12" t="s">
        <v>10</v>
      </c>
      <c r="E3102" s="12">
        <v>-965</v>
      </c>
    </row>
    <row r="3103" spans="1:5">
      <c r="A3103" s="15">
        <v>43696</v>
      </c>
      <c r="B3103" s="13">
        <v>2513</v>
      </c>
      <c r="C3103" s="13" t="s">
        <v>17</v>
      </c>
      <c r="D3103" s="13" t="s">
        <v>12</v>
      </c>
      <c r="E3103" s="13">
        <v>-1539</v>
      </c>
    </row>
    <row r="3104" spans="1:5">
      <c r="A3104" s="14">
        <v>43696</v>
      </c>
      <c r="B3104" s="12">
        <v>2510</v>
      </c>
      <c r="C3104" s="12" t="s">
        <v>24</v>
      </c>
      <c r="D3104" s="12" t="s">
        <v>13</v>
      </c>
      <c r="E3104" s="12">
        <v>-1110</v>
      </c>
    </row>
    <row r="3105" spans="1:5">
      <c r="A3105" s="15">
        <v>43696</v>
      </c>
      <c r="B3105" s="13">
        <v>2510</v>
      </c>
      <c r="C3105" s="13" t="s">
        <v>24</v>
      </c>
      <c r="D3105" s="13" t="s">
        <v>12</v>
      </c>
      <c r="E3105" s="13">
        <v>-2731</v>
      </c>
    </row>
    <row r="3106" spans="1:5">
      <c r="A3106" s="14">
        <v>43696</v>
      </c>
      <c r="B3106" s="12">
        <v>2510</v>
      </c>
      <c r="C3106" s="12" t="s">
        <v>24</v>
      </c>
      <c r="D3106" s="12" t="s">
        <v>10</v>
      </c>
      <c r="E3106" s="12">
        <v>-1638</v>
      </c>
    </row>
    <row r="3107" spans="1:5">
      <c r="A3107" s="15">
        <v>43696</v>
      </c>
      <c r="B3107" s="13">
        <v>2513</v>
      </c>
      <c r="C3107" s="13" t="s">
        <v>17</v>
      </c>
      <c r="D3107" s="13" t="s">
        <v>19</v>
      </c>
      <c r="E3107" s="13">
        <v>-451</v>
      </c>
    </row>
    <row r="3108" spans="1:5">
      <c r="A3108" s="14">
        <v>43696</v>
      </c>
      <c r="B3108" s="12">
        <v>2501</v>
      </c>
      <c r="C3108" s="12" t="s">
        <v>5</v>
      </c>
      <c r="D3108" s="12" t="s">
        <v>19</v>
      </c>
      <c r="E3108" s="12">
        <v>-72</v>
      </c>
    </row>
    <row r="3109" spans="1:5">
      <c r="A3109" s="15">
        <v>43696</v>
      </c>
      <c r="B3109" s="13">
        <v>1000</v>
      </c>
      <c r="C3109" s="13" t="s">
        <v>23</v>
      </c>
      <c r="D3109" s="13" t="s">
        <v>19</v>
      </c>
      <c r="E3109" s="13">
        <v>792928</v>
      </c>
    </row>
    <row r="3110" spans="1:5">
      <c r="A3110" s="14">
        <v>43697</v>
      </c>
      <c r="B3110" s="12">
        <v>2500</v>
      </c>
      <c r="C3110" s="12" t="s">
        <v>25</v>
      </c>
      <c r="D3110" s="12" t="s">
        <v>19</v>
      </c>
      <c r="E3110" s="12">
        <v>-21933</v>
      </c>
    </row>
    <row r="3111" spans="1:5">
      <c r="A3111" s="15">
        <v>43697</v>
      </c>
      <c r="B3111" s="13">
        <v>2512</v>
      </c>
      <c r="C3111" s="13" t="s">
        <v>16</v>
      </c>
      <c r="D3111" s="13" t="s">
        <v>19</v>
      </c>
      <c r="E3111" s="13">
        <v>-12412</v>
      </c>
    </row>
    <row r="3112" spans="1:5">
      <c r="A3112" s="14">
        <v>43697</v>
      </c>
      <c r="B3112" s="12">
        <v>2502</v>
      </c>
      <c r="C3112" s="12" t="s">
        <v>7</v>
      </c>
      <c r="D3112" s="12" t="s">
        <v>10</v>
      </c>
      <c r="E3112" s="12">
        <v>-5372</v>
      </c>
    </row>
    <row r="3113" spans="1:5">
      <c r="A3113" s="15">
        <v>43697</v>
      </c>
      <c r="B3113" s="13">
        <v>2503</v>
      </c>
      <c r="C3113" s="13" t="s">
        <v>22</v>
      </c>
      <c r="D3113" s="13" t="s">
        <v>6</v>
      </c>
      <c r="E3113" s="13">
        <v>-358</v>
      </c>
    </row>
    <row r="3114" spans="1:5">
      <c r="A3114" s="14">
        <v>43697</v>
      </c>
      <c r="B3114" s="12">
        <v>2505</v>
      </c>
      <c r="C3114" s="12" t="s">
        <v>9</v>
      </c>
      <c r="D3114" s="12" t="s">
        <v>13</v>
      </c>
      <c r="E3114" s="12">
        <v>-418</v>
      </c>
    </row>
    <row r="3115" spans="1:5">
      <c r="A3115" s="15">
        <v>43697</v>
      </c>
      <c r="B3115" s="13">
        <v>2508</v>
      </c>
      <c r="C3115" s="13" t="s">
        <v>15</v>
      </c>
      <c r="D3115" s="13" t="s">
        <v>10</v>
      </c>
      <c r="E3115" s="13">
        <v>-76794</v>
      </c>
    </row>
    <row r="3116" spans="1:5">
      <c r="A3116" s="14">
        <v>43697</v>
      </c>
      <c r="B3116" s="12">
        <v>2512</v>
      </c>
      <c r="C3116" s="12" t="s">
        <v>16</v>
      </c>
      <c r="D3116" s="12" t="s">
        <v>8</v>
      </c>
      <c r="E3116" s="12">
        <v>-4535</v>
      </c>
    </row>
    <row r="3117" spans="1:5">
      <c r="A3117" s="15">
        <v>43697</v>
      </c>
      <c r="B3117" s="13">
        <v>2512</v>
      </c>
      <c r="C3117" s="13" t="s">
        <v>16</v>
      </c>
      <c r="D3117" s="13" t="s">
        <v>14</v>
      </c>
      <c r="E3117" s="13">
        <v>-2522</v>
      </c>
    </row>
    <row r="3118" spans="1:5">
      <c r="A3118" s="14">
        <v>43697</v>
      </c>
      <c r="B3118" s="12">
        <v>2512</v>
      </c>
      <c r="C3118" s="12" t="s">
        <v>16</v>
      </c>
      <c r="D3118" s="12" t="s">
        <v>10</v>
      </c>
      <c r="E3118" s="12">
        <v>-2497</v>
      </c>
    </row>
    <row r="3119" spans="1:5">
      <c r="A3119" s="15">
        <v>43697</v>
      </c>
      <c r="B3119" s="13">
        <v>2514</v>
      </c>
      <c r="C3119" s="13" t="s">
        <v>20</v>
      </c>
      <c r="D3119" s="13" t="s">
        <v>14</v>
      </c>
      <c r="E3119" s="13">
        <v>-1305</v>
      </c>
    </row>
    <row r="3120" spans="1:5">
      <c r="A3120" s="14">
        <v>43697</v>
      </c>
      <c r="B3120" s="12">
        <v>2514</v>
      </c>
      <c r="C3120" s="12" t="s">
        <v>20</v>
      </c>
      <c r="D3120" s="12" t="s">
        <v>10</v>
      </c>
      <c r="E3120" s="12">
        <v>-1518</v>
      </c>
    </row>
    <row r="3121" spans="1:5">
      <c r="A3121" s="15">
        <v>43697</v>
      </c>
      <c r="B3121" s="13">
        <v>2514</v>
      </c>
      <c r="C3121" s="13" t="s">
        <v>20</v>
      </c>
      <c r="D3121" s="13" t="s">
        <v>14</v>
      </c>
      <c r="E3121" s="13">
        <v>-1274</v>
      </c>
    </row>
    <row r="3122" spans="1:5">
      <c r="A3122" s="14">
        <v>43697</v>
      </c>
      <c r="B3122" s="12">
        <v>2510</v>
      </c>
      <c r="C3122" s="12" t="s">
        <v>24</v>
      </c>
      <c r="D3122" s="12" t="s">
        <v>10</v>
      </c>
      <c r="E3122" s="12">
        <v>-848</v>
      </c>
    </row>
    <row r="3123" spans="1:5">
      <c r="A3123" s="15">
        <v>43697</v>
      </c>
      <c r="B3123" s="13">
        <v>2510</v>
      </c>
      <c r="C3123" s="13" t="s">
        <v>24</v>
      </c>
      <c r="D3123" s="13" t="s">
        <v>6</v>
      </c>
      <c r="E3123" s="13">
        <v>-1178</v>
      </c>
    </row>
    <row r="3124" spans="1:5">
      <c r="A3124" s="14">
        <v>43697</v>
      </c>
      <c r="B3124" s="12">
        <v>2503</v>
      </c>
      <c r="C3124" s="12" t="s">
        <v>22</v>
      </c>
      <c r="D3124" s="12" t="s">
        <v>19</v>
      </c>
      <c r="E3124" s="12">
        <v>-274</v>
      </c>
    </row>
    <row r="3125" spans="1:5">
      <c r="A3125" s="15">
        <v>43697</v>
      </c>
      <c r="B3125" s="13">
        <v>2501</v>
      </c>
      <c r="C3125" s="13" t="s">
        <v>5</v>
      </c>
      <c r="D3125" s="13" t="s">
        <v>19</v>
      </c>
      <c r="E3125" s="13">
        <v>-146</v>
      </c>
    </row>
    <row r="3126" spans="1:5">
      <c r="A3126" s="14">
        <v>43697</v>
      </c>
      <c r="B3126" s="12">
        <v>2501</v>
      </c>
      <c r="C3126" s="12" t="s">
        <v>5</v>
      </c>
      <c r="D3126" s="12" t="s">
        <v>19</v>
      </c>
      <c r="E3126" s="12">
        <v>-143</v>
      </c>
    </row>
    <row r="3127" spans="1:5">
      <c r="A3127" s="15">
        <v>43698</v>
      </c>
      <c r="B3127" s="13">
        <v>2514</v>
      </c>
      <c r="C3127" s="13" t="s">
        <v>20</v>
      </c>
      <c r="D3127" s="13" t="s">
        <v>19</v>
      </c>
      <c r="E3127" s="13">
        <v>-1177</v>
      </c>
    </row>
    <row r="3128" spans="1:5">
      <c r="A3128" s="14">
        <v>43698</v>
      </c>
      <c r="B3128" s="12">
        <v>2514</v>
      </c>
      <c r="C3128" s="12" t="s">
        <v>20</v>
      </c>
      <c r="D3128" s="12" t="s">
        <v>19</v>
      </c>
      <c r="E3128" s="12">
        <v>-958</v>
      </c>
    </row>
    <row r="3129" spans="1:5">
      <c r="A3129" s="15">
        <v>43698</v>
      </c>
      <c r="B3129" s="13">
        <v>2513</v>
      </c>
      <c r="C3129" s="13" t="s">
        <v>17</v>
      </c>
      <c r="D3129" s="13" t="s">
        <v>19</v>
      </c>
      <c r="E3129" s="13">
        <v>-873</v>
      </c>
    </row>
    <row r="3130" spans="1:5">
      <c r="A3130" s="14">
        <v>43698</v>
      </c>
      <c r="B3130" s="12">
        <v>2502</v>
      </c>
      <c r="C3130" s="12" t="s">
        <v>7</v>
      </c>
      <c r="D3130" s="12" t="s">
        <v>10</v>
      </c>
      <c r="E3130" s="12">
        <v>-4263</v>
      </c>
    </row>
    <row r="3131" spans="1:5">
      <c r="A3131" s="15">
        <v>43698</v>
      </c>
      <c r="B3131" s="13">
        <v>2503</v>
      </c>
      <c r="C3131" s="13" t="s">
        <v>22</v>
      </c>
      <c r="D3131" s="13" t="s">
        <v>8</v>
      </c>
      <c r="E3131" s="13">
        <v>-363</v>
      </c>
    </row>
    <row r="3132" spans="1:5">
      <c r="A3132" s="14">
        <v>43698</v>
      </c>
      <c r="B3132" s="12">
        <v>2508</v>
      </c>
      <c r="C3132" s="12" t="s">
        <v>15</v>
      </c>
      <c r="D3132" s="12" t="s">
        <v>8</v>
      </c>
      <c r="E3132" s="12">
        <v>-65592</v>
      </c>
    </row>
    <row r="3133" spans="1:5">
      <c r="A3133" s="15">
        <v>43698</v>
      </c>
      <c r="B3133" s="13">
        <v>2514</v>
      </c>
      <c r="C3133" s="13" t="s">
        <v>20</v>
      </c>
      <c r="D3133" s="13" t="s">
        <v>14</v>
      </c>
      <c r="E3133" s="13">
        <v>-1403</v>
      </c>
    </row>
    <row r="3134" spans="1:5">
      <c r="A3134" s="14">
        <v>43698</v>
      </c>
      <c r="B3134" s="12">
        <v>2510</v>
      </c>
      <c r="C3134" s="12" t="s">
        <v>24</v>
      </c>
      <c r="D3134" s="12" t="s">
        <v>12</v>
      </c>
      <c r="E3134" s="12">
        <v>-2988</v>
      </c>
    </row>
    <row r="3135" spans="1:5">
      <c r="A3135" s="15">
        <v>43698</v>
      </c>
      <c r="B3135" s="13">
        <v>2513</v>
      </c>
      <c r="C3135" s="13" t="s">
        <v>17</v>
      </c>
      <c r="D3135" s="13" t="s">
        <v>19</v>
      </c>
      <c r="E3135" s="13">
        <v>-677</v>
      </c>
    </row>
    <row r="3136" spans="1:5">
      <c r="A3136" s="14">
        <v>43698</v>
      </c>
      <c r="B3136" s="12">
        <v>2503</v>
      </c>
      <c r="C3136" s="12" t="s">
        <v>22</v>
      </c>
      <c r="D3136" s="12" t="s">
        <v>19</v>
      </c>
      <c r="E3136" s="12">
        <v>-325</v>
      </c>
    </row>
    <row r="3137" spans="1:5">
      <c r="A3137" s="15">
        <v>43698</v>
      </c>
      <c r="B3137" s="13">
        <v>2503</v>
      </c>
      <c r="C3137" s="13" t="s">
        <v>22</v>
      </c>
      <c r="D3137" s="13" t="s">
        <v>19</v>
      </c>
      <c r="E3137" s="13">
        <v>-324</v>
      </c>
    </row>
    <row r="3138" spans="1:5">
      <c r="A3138" s="14">
        <v>43698</v>
      </c>
      <c r="B3138" s="12">
        <v>2503</v>
      </c>
      <c r="C3138" s="12" t="s">
        <v>22</v>
      </c>
      <c r="D3138" s="12" t="s">
        <v>19</v>
      </c>
      <c r="E3138" s="12">
        <v>-293</v>
      </c>
    </row>
    <row r="3139" spans="1:5">
      <c r="A3139" s="15">
        <v>43699</v>
      </c>
      <c r="B3139" s="13">
        <v>2000</v>
      </c>
      <c r="C3139" s="13" t="s">
        <v>18</v>
      </c>
      <c r="D3139" s="13" t="s">
        <v>19</v>
      </c>
      <c r="E3139" s="13">
        <v>-195802</v>
      </c>
    </row>
    <row r="3140" spans="1:5">
      <c r="A3140" s="14">
        <v>43699</v>
      </c>
      <c r="B3140" s="12">
        <v>2508</v>
      </c>
      <c r="C3140" s="12" t="s">
        <v>15</v>
      </c>
      <c r="D3140" s="12" t="s">
        <v>19</v>
      </c>
      <c r="E3140" s="12">
        <v>-65242</v>
      </c>
    </row>
    <row r="3141" spans="1:5">
      <c r="A3141" s="15">
        <v>43699</v>
      </c>
      <c r="B3141" s="13">
        <v>2512</v>
      </c>
      <c r="C3141" s="13" t="s">
        <v>16</v>
      </c>
      <c r="D3141" s="13" t="s">
        <v>19</v>
      </c>
      <c r="E3141" s="13">
        <v>-8528</v>
      </c>
    </row>
    <row r="3142" spans="1:5">
      <c r="A3142" s="14">
        <v>43699</v>
      </c>
      <c r="B3142" s="12">
        <v>2512</v>
      </c>
      <c r="C3142" s="12" t="s">
        <v>16</v>
      </c>
      <c r="D3142" s="12" t="s">
        <v>19</v>
      </c>
      <c r="E3142" s="12">
        <v>-4625</v>
      </c>
    </row>
    <row r="3143" spans="1:5">
      <c r="A3143" s="15">
        <v>43699</v>
      </c>
      <c r="B3143" s="13">
        <v>2510</v>
      </c>
      <c r="C3143" s="13" t="s">
        <v>24</v>
      </c>
      <c r="D3143" s="13" t="s">
        <v>19</v>
      </c>
      <c r="E3143" s="13">
        <v>-1311</v>
      </c>
    </row>
    <row r="3144" spans="1:5">
      <c r="A3144" s="14">
        <v>43699</v>
      </c>
      <c r="B3144" s="12">
        <v>2502</v>
      </c>
      <c r="C3144" s="12" t="s">
        <v>7</v>
      </c>
      <c r="D3144" s="12" t="s">
        <v>12</v>
      </c>
      <c r="E3144" s="12">
        <v>-9683</v>
      </c>
    </row>
    <row r="3145" spans="1:5">
      <c r="A3145" s="15">
        <v>43699</v>
      </c>
      <c r="B3145" s="13">
        <v>2506</v>
      </c>
      <c r="C3145" s="13" t="s">
        <v>27</v>
      </c>
      <c r="D3145" s="13" t="s">
        <v>14</v>
      </c>
      <c r="E3145" s="13">
        <v>-480</v>
      </c>
    </row>
    <row r="3146" spans="1:5">
      <c r="A3146" s="14">
        <v>43699</v>
      </c>
      <c r="B3146" s="12">
        <v>2506</v>
      </c>
      <c r="C3146" s="12" t="s">
        <v>27</v>
      </c>
      <c r="D3146" s="12" t="s">
        <v>14</v>
      </c>
      <c r="E3146" s="12">
        <v>-569</v>
      </c>
    </row>
    <row r="3147" spans="1:5">
      <c r="A3147" s="15">
        <v>43699</v>
      </c>
      <c r="B3147" s="13">
        <v>2514</v>
      </c>
      <c r="C3147" s="13" t="s">
        <v>20</v>
      </c>
      <c r="D3147" s="13" t="s">
        <v>6</v>
      </c>
      <c r="E3147" s="13">
        <v>-1371</v>
      </c>
    </row>
    <row r="3148" spans="1:5">
      <c r="A3148" s="14">
        <v>43699</v>
      </c>
      <c r="B3148" s="12">
        <v>2514</v>
      </c>
      <c r="C3148" s="12" t="s">
        <v>20</v>
      </c>
      <c r="D3148" s="12" t="s">
        <v>10</v>
      </c>
      <c r="E3148" s="12">
        <v>-1351</v>
      </c>
    </row>
    <row r="3149" spans="1:5">
      <c r="A3149" s="15">
        <v>43699</v>
      </c>
      <c r="B3149" s="13">
        <v>2503</v>
      </c>
      <c r="C3149" s="13" t="s">
        <v>22</v>
      </c>
      <c r="D3149" s="13" t="s">
        <v>19</v>
      </c>
      <c r="E3149" s="13">
        <v>-254</v>
      </c>
    </row>
    <row r="3150" spans="1:5">
      <c r="A3150" s="14">
        <v>43699</v>
      </c>
      <c r="B3150" s="12">
        <v>2503</v>
      </c>
      <c r="C3150" s="12" t="s">
        <v>22</v>
      </c>
      <c r="D3150" s="12" t="s">
        <v>19</v>
      </c>
      <c r="E3150" s="12">
        <v>-247</v>
      </c>
    </row>
    <row r="3151" spans="1:5">
      <c r="A3151" s="15">
        <v>43699</v>
      </c>
      <c r="B3151" s="13">
        <v>2501</v>
      </c>
      <c r="C3151" s="13" t="s">
        <v>5</v>
      </c>
      <c r="D3151" s="13" t="s">
        <v>19</v>
      </c>
      <c r="E3151" s="13">
        <v>-132</v>
      </c>
    </row>
    <row r="3152" spans="1:5">
      <c r="A3152" s="14">
        <v>43699</v>
      </c>
      <c r="B3152" s="12">
        <v>1000</v>
      </c>
      <c r="C3152" s="12" t="s">
        <v>23</v>
      </c>
      <c r="D3152" s="12" t="s">
        <v>19</v>
      </c>
      <c r="E3152" s="12">
        <v>741667</v>
      </c>
    </row>
    <row r="3153" spans="1:5">
      <c r="A3153" s="15">
        <v>43700</v>
      </c>
      <c r="B3153" s="13">
        <v>2508</v>
      </c>
      <c r="C3153" s="13" t="s">
        <v>15</v>
      </c>
      <c r="D3153" s="13" t="s">
        <v>19</v>
      </c>
      <c r="E3153" s="13">
        <v>-56140</v>
      </c>
    </row>
    <row r="3154" spans="1:5">
      <c r="A3154" s="14">
        <v>43700</v>
      </c>
      <c r="B3154" s="12">
        <v>1500</v>
      </c>
      <c r="C3154" s="12" t="s">
        <v>26</v>
      </c>
      <c r="D3154" s="12" t="s">
        <v>19</v>
      </c>
      <c r="E3154" s="12">
        <v>-47354</v>
      </c>
    </row>
    <row r="3155" spans="1:5">
      <c r="A3155" s="15">
        <v>43700</v>
      </c>
      <c r="B3155" s="13">
        <v>2500</v>
      </c>
      <c r="C3155" s="13" t="s">
        <v>25</v>
      </c>
      <c r="D3155" s="13" t="s">
        <v>19</v>
      </c>
      <c r="E3155" s="13">
        <v>-17844</v>
      </c>
    </row>
    <row r="3156" spans="1:5">
      <c r="A3156" s="14">
        <v>43700</v>
      </c>
      <c r="B3156" s="12">
        <v>2514</v>
      </c>
      <c r="C3156" s="12" t="s">
        <v>20</v>
      </c>
      <c r="D3156" s="12" t="s">
        <v>19</v>
      </c>
      <c r="E3156" s="12">
        <v>-951</v>
      </c>
    </row>
    <row r="3157" spans="1:5">
      <c r="A3157" s="15">
        <v>43700</v>
      </c>
      <c r="B3157" s="13">
        <v>2502</v>
      </c>
      <c r="C3157" s="13" t="s">
        <v>7</v>
      </c>
      <c r="D3157" s="13" t="s">
        <v>10</v>
      </c>
      <c r="E3157" s="13">
        <v>-3988</v>
      </c>
    </row>
    <row r="3158" spans="1:5">
      <c r="A3158" s="14">
        <v>43700</v>
      </c>
      <c r="B3158" s="12">
        <v>2503</v>
      </c>
      <c r="C3158" s="12" t="s">
        <v>22</v>
      </c>
      <c r="D3158" s="12" t="s">
        <v>8</v>
      </c>
      <c r="E3158" s="12">
        <v>-347</v>
      </c>
    </row>
    <row r="3159" spans="1:5">
      <c r="A3159" s="15">
        <v>43700</v>
      </c>
      <c r="B3159" s="13">
        <v>2512</v>
      </c>
      <c r="C3159" s="13" t="s">
        <v>16</v>
      </c>
      <c r="D3159" s="13" t="s">
        <v>14</v>
      </c>
      <c r="E3159" s="13">
        <v>-4088</v>
      </c>
    </row>
    <row r="3160" spans="1:5">
      <c r="A3160" s="14">
        <v>43700</v>
      </c>
      <c r="B3160" s="12">
        <v>2513</v>
      </c>
      <c r="C3160" s="12" t="s">
        <v>17</v>
      </c>
      <c r="D3160" s="12" t="s">
        <v>19</v>
      </c>
      <c r="E3160" s="12">
        <v>-525</v>
      </c>
    </row>
    <row r="3161" spans="1:5">
      <c r="A3161" s="15">
        <v>43701</v>
      </c>
      <c r="B3161" s="13">
        <v>2512</v>
      </c>
      <c r="C3161" s="13" t="s">
        <v>16</v>
      </c>
      <c r="D3161" s="13" t="s">
        <v>19</v>
      </c>
      <c r="E3161" s="13">
        <v>-9919</v>
      </c>
    </row>
    <row r="3162" spans="1:5">
      <c r="A3162" s="14">
        <v>43701</v>
      </c>
      <c r="B3162" s="12">
        <v>2502</v>
      </c>
      <c r="C3162" s="12" t="s">
        <v>7</v>
      </c>
      <c r="D3162" s="12" t="s">
        <v>19</v>
      </c>
      <c r="E3162" s="12">
        <v>-2795</v>
      </c>
    </row>
    <row r="3163" spans="1:5">
      <c r="A3163" s="15">
        <v>43701</v>
      </c>
      <c r="B3163" s="13">
        <v>2504</v>
      </c>
      <c r="C3163" s="13" t="s">
        <v>21</v>
      </c>
      <c r="D3163" s="13" t="s">
        <v>19</v>
      </c>
      <c r="E3163" s="13">
        <v>-1176</v>
      </c>
    </row>
    <row r="3164" spans="1:5">
      <c r="A3164" s="14">
        <v>43701</v>
      </c>
      <c r="B3164" s="12">
        <v>2505</v>
      </c>
      <c r="C3164" s="12" t="s">
        <v>9</v>
      </c>
      <c r="D3164" s="12" t="s">
        <v>6</v>
      </c>
      <c r="E3164" s="12">
        <v>-605</v>
      </c>
    </row>
    <row r="3165" spans="1:5">
      <c r="A3165" s="15">
        <v>43701</v>
      </c>
      <c r="B3165" s="13">
        <v>2512</v>
      </c>
      <c r="C3165" s="13" t="s">
        <v>16</v>
      </c>
      <c r="D3165" s="13" t="s">
        <v>8</v>
      </c>
      <c r="E3165" s="13">
        <v>-1626</v>
      </c>
    </row>
    <row r="3166" spans="1:5">
      <c r="A3166" s="14">
        <v>43701</v>
      </c>
      <c r="B3166" s="12">
        <v>2510</v>
      </c>
      <c r="C3166" s="12" t="s">
        <v>24</v>
      </c>
      <c r="D3166" s="12" t="s">
        <v>10</v>
      </c>
      <c r="E3166" s="12">
        <v>-926</v>
      </c>
    </row>
    <row r="3167" spans="1:5">
      <c r="A3167" s="15">
        <v>43701</v>
      </c>
      <c r="B3167" s="13">
        <v>2501</v>
      </c>
      <c r="C3167" s="13" t="s">
        <v>5</v>
      </c>
      <c r="D3167" s="13" t="s">
        <v>19</v>
      </c>
      <c r="E3167" s="13">
        <v>-139</v>
      </c>
    </row>
    <row r="3168" spans="1:5">
      <c r="A3168" s="14">
        <v>43702</v>
      </c>
      <c r="B3168" s="12">
        <v>2000</v>
      </c>
      <c r="C3168" s="12" t="s">
        <v>18</v>
      </c>
      <c r="D3168" s="12" t="s">
        <v>19</v>
      </c>
      <c r="E3168" s="12">
        <v>-137794</v>
      </c>
    </row>
    <row r="3169" spans="1:5">
      <c r="A3169" s="15">
        <v>43702</v>
      </c>
      <c r="B3169" s="13">
        <v>2508</v>
      </c>
      <c r="C3169" s="13" t="s">
        <v>15</v>
      </c>
      <c r="D3169" s="13" t="s">
        <v>19</v>
      </c>
      <c r="E3169" s="13">
        <v>-55571</v>
      </c>
    </row>
    <row r="3170" spans="1:5">
      <c r="A3170" s="14">
        <v>43702</v>
      </c>
      <c r="B3170" s="12">
        <v>2502</v>
      </c>
      <c r="C3170" s="12" t="s">
        <v>7</v>
      </c>
      <c r="D3170" s="12" t="s">
        <v>19</v>
      </c>
      <c r="E3170" s="12">
        <v>-2447</v>
      </c>
    </row>
    <row r="3171" spans="1:5">
      <c r="A3171" s="15">
        <v>43702</v>
      </c>
      <c r="B3171" s="13">
        <v>2510</v>
      </c>
      <c r="C3171" s="13" t="s">
        <v>24</v>
      </c>
      <c r="D3171" s="13" t="s">
        <v>19</v>
      </c>
      <c r="E3171" s="13">
        <v>-1102</v>
      </c>
    </row>
    <row r="3172" spans="1:5">
      <c r="A3172" s="14">
        <v>43702</v>
      </c>
      <c r="B3172" s="12">
        <v>2501</v>
      </c>
      <c r="C3172" s="12" t="s">
        <v>5</v>
      </c>
      <c r="D3172" s="12" t="s">
        <v>12</v>
      </c>
      <c r="E3172" s="12">
        <v>-127</v>
      </c>
    </row>
    <row r="3173" spans="1:5">
      <c r="A3173" s="15">
        <v>43702</v>
      </c>
      <c r="B3173" s="13">
        <v>2505</v>
      </c>
      <c r="C3173" s="13" t="s">
        <v>9</v>
      </c>
      <c r="D3173" s="13" t="s">
        <v>12</v>
      </c>
      <c r="E3173" s="13">
        <v>-1119</v>
      </c>
    </row>
    <row r="3174" spans="1:5">
      <c r="A3174" s="14">
        <v>43702</v>
      </c>
      <c r="B3174" s="12">
        <v>2506</v>
      </c>
      <c r="C3174" s="12" t="s">
        <v>27</v>
      </c>
      <c r="D3174" s="12" t="s">
        <v>14</v>
      </c>
      <c r="E3174" s="12">
        <v>-482</v>
      </c>
    </row>
    <row r="3175" spans="1:5">
      <c r="A3175" s="15">
        <v>43702</v>
      </c>
      <c r="B3175" s="13">
        <v>2508</v>
      </c>
      <c r="C3175" s="13" t="s">
        <v>15</v>
      </c>
      <c r="D3175" s="13" t="s">
        <v>10</v>
      </c>
      <c r="E3175" s="13">
        <v>-81251</v>
      </c>
    </row>
    <row r="3176" spans="1:5">
      <c r="A3176" s="14">
        <v>43702</v>
      </c>
      <c r="B3176" s="12">
        <v>2514</v>
      </c>
      <c r="C3176" s="12" t="s">
        <v>20</v>
      </c>
      <c r="D3176" s="12" t="s">
        <v>13</v>
      </c>
      <c r="E3176" s="12">
        <v>-833</v>
      </c>
    </row>
    <row r="3177" spans="1:5">
      <c r="A3177" s="15">
        <v>43702</v>
      </c>
      <c r="B3177" s="13">
        <v>2514</v>
      </c>
      <c r="C3177" s="13" t="s">
        <v>20</v>
      </c>
      <c r="D3177" s="13" t="s">
        <v>8</v>
      </c>
      <c r="E3177" s="13">
        <v>-1414</v>
      </c>
    </row>
    <row r="3178" spans="1:5">
      <c r="A3178" s="14">
        <v>43702</v>
      </c>
      <c r="B3178" s="12">
        <v>2514</v>
      </c>
      <c r="C3178" s="12" t="s">
        <v>20</v>
      </c>
      <c r="D3178" s="12" t="s">
        <v>8</v>
      </c>
      <c r="E3178" s="12">
        <v>-1380</v>
      </c>
    </row>
    <row r="3179" spans="1:5">
      <c r="A3179" s="15">
        <v>43703</v>
      </c>
      <c r="B3179" s="13">
        <v>2000</v>
      </c>
      <c r="C3179" s="13" t="s">
        <v>18</v>
      </c>
      <c r="D3179" s="13" t="s">
        <v>19</v>
      </c>
      <c r="E3179" s="13">
        <v>-169254</v>
      </c>
    </row>
    <row r="3180" spans="1:5">
      <c r="A3180" s="14">
        <v>43703</v>
      </c>
      <c r="B3180" s="12">
        <v>1500</v>
      </c>
      <c r="C3180" s="12" t="s">
        <v>26</v>
      </c>
      <c r="D3180" s="12" t="s">
        <v>19</v>
      </c>
      <c r="E3180" s="12">
        <v>-31613</v>
      </c>
    </row>
    <row r="3181" spans="1:5">
      <c r="A3181" s="15">
        <v>43703</v>
      </c>
      <c r="B3181" s="13">
        <v>2512</v>
      </c>
      <c r="C3181" s="13" t="s">
        <v>16</v>
      </c>
      <c r="D3181" s="13" t="s">
        <v>19</v>
      </c>
      <c r="E3181" s="13">
        <v>-8601</v>
      </c>
    </row>
    <row r="3182" spans="1:5">
      <c r="A3182" s="14">
        <v>43703</v>
      </c>
      <c r="B3182" s="12">
        <v>2512</v>
      </c>
      <c r="C3182" s="12" t="s">
        <v>16</v>
      </c>
      <c r="D3182" s="12" t="s">
        <v>19</v>
      </c>
      <c r="E3182" s="12">
        <v>-4574</v>
      </c>
    </row>
    <row r="3183" spans="1:5">
      <c r="A3183" s="15">
        <v>43703</v>
      </c>
      <c r="B3183" s="13">
        <v>2501</v>
      </c>
      <c r="C3183" s="13" t="s">
        <v>5</v>
      </c>
      <c r="D3183" s="13" t="s">
        <v>8</v>
      </c>
      <c r="E3183" s="13">
        <v>-186</v>
      </c>
    </row>
    <row r="3184" spans="1:5">
      <c r="A3184" s="14">
        <v>43703</v>
      </c>
      <c r="B3184" s="12">
        <v>2505</v>
      </c>
      <c r="C3184" s="12" t="s">
        <v>9</v>
      </c>
      <c r="D3184" s="12" t="s">
        <v>10</v>
      </c>
      <c r="E3184" s="12">
        <v>-802</v>
      </c>
    </row>
    <row r="3185" spans="1:5">
      <c r="A3185" s="15">
        <v>43703</v>
      </c>
      <c r="B3185" s="13">
        <v>2508</v>
      </c>
      <c r="C3185" s="13" t="s">
        <v>15</v>
      </c>
      <c r="D3185" s="13" t="s">
        <v>14</v>
      </c>
      <c r="E3185" s="13">
        <v>-61962</v>
      </c>
    </row>
    <row r="3186" spans="1:5">
      <c r="A3186" s="14">
        <v>43703</v>
      </c>
      <c r="B3186" s="12">
        <v>2512</v>
      </c>
      <c r="C3186" s="12" t="s">
        <v>16</v>
      </c>
      <c r="D3186" s="12" t="s">
        <v>13</v>
      </c>
      <c r="E3186" s="12">
        <v>-599</v>
      </c>
    </row>
    <row r="3187" spans="1:5">
      <c r="A3187" s="15">
        <v>43703</v>
      </c>
      <c r="B3187" s="13">
        <v>2512</v>
      </c>
      <c r="C3187" s="13" t="s">
        <v>16</v>
      </c>
      <c r="D3187" s="13" t="s">
        <v>6</v>
      </c>
      <c r="E3187" s="13">
        <v>-1843</v>
      </c>
    </row>
    <row r="3188" spans="1:5">
      <c r="A3188" s="14">
        <v>43703</v>
      </c>
      <c r="B3188" s="12">
        <v>2514</v>
      </c>
      <c r="C3188" s="12" t="s">
        <v>20</v>
      </c>
      <c r="D3188" s="12" t="s">
        <v>6</v>
      </c>
      <c r="E3188" s="12">
        <v>-1332</v>
      </c>
    </row>
    <row r="3189" spans="1:5">
      <c r="A3189" s="15">
        <v>43703</v>
      </c>
      <c r="B3189" s="13">
        <v>2505</v>
      </c>
      <c r="C3189" s="13" t="s">
        <v>9</v>
      </c>
      <c r="D3189" s="13" t="s">
        <v>19</v>
      </c>
      <c r="E3189" s="13">
        <v>-581</v>
      </c>
    </row>
    <row r="3190" spans="1:5">
      <c r="A3190" s="14">
        <v>43703</v>
      </c>
      <c r="B3190" s="12">
        <v>2501</v>
      </c>
      <c r="C3190" s="12" t="s">
        <v>5</v>
      </c>
      <c r="D3190" s="12" t="s">
        <v>19</v>
      </c>
      <c r="E3190" s="12">
        <v>-101</v>
      </c>
    </row>
    <row r="3191" spans="1:5">
      <c r="A3191" s="15">
        <v>43703</v>
      </c>
      <c r="B3191" s="13">
        <v>1000</v>
      </c>
      <c r="C3191" s="13" t="s">
        <v>23</v>
      </c>
      <c r="D3191" s="13" t="s">
        <v>19</v>
      </c>
      <c r="E3191" s="13">
        <v>628148</v>
      </c>
    </row>
    <row r="3192" spans="1:5">
      <c r="A3192" s="14">
        <v>43704</v>
      </c>
      <c r="B3192" s="12">
        <v>2000</v>
      </c>
      <c r="C3192" s="12" t="s">
        <v>18</v>
      </c>
      <c r="D3192" s="12" t="s">
        <v>19</v>
      </c>
      <c r="E3192" s="12">
        <v>-333574</v>
      </c>
    </row>
    <row r="3193" spans="1:5">
      <c r="A3193" s="15">
        <v>43704</v>
      </c>
      <c r="B3193" s="13">
        <v>2000</v>
      </c>
      <c r="C3193" s="13" t="s">
        <v>18</v>
      </c>
      <c r="D3193" s="13" t="s">
        <v>19</v>
      </c>
      <c r="E3193" s="13">
        <v>-295349</v>
      </c>
    </row>
    <row r="3194" spans="1:5">
      <c r="A3194" s="14">
        <v>43704</v>
      </c>
      <c r="B3194" s="12">
        <v>2500</v>
      </c>
      <c r="C3194" s="12" t="s">
        <v>25</v>
      </c>
      <c r="D3194" s="12" t="s">
        <v>19</v>
      </c>
      <c r="E3194" s="12">
        <v>-21267</v>
      </c>
    </row>
    <row r="3195" spans="1:5">
      <c r="A3195" s="15">
        <v>43704</v>
      </c>
      <c r="B3195" s="13">
        <v>2502</v>
      </c>
      <c r="C3195" s="13" t="s">
        <v>7</v>
      </c>
      <c r="D3195" s="13" t="s">
        <v>19</v>
      </c>
      <c r="E3195" s="13">
        <v>-4992</v>
      </c>
    </row>
    <row r="3196" spans="1:5">
      <c r="A3196" s="14">
        <v>43704</v>
      </c>
      <c r="B3196" s="12">
        <v>2502</v>
      </c>
      <c r="C3196" s="12" t="s">
        <v>7</v>
      </c>
      <c r="D3196" s="12" t="s">
        <v>14</v>
      </c>
      <c r="E3196" s="12">
        <v>-6461</v>
      </c>
    </row>
    <row r="3197" spans="1:5">
      <c r="A3197" s="15">
        <v>43704</v>
      </c>
      <c r="B3197" s="13">
        <v>2513</v>
      </c>
      <c r="C3197" s="13" t="s">
        <v>17</v>
      </c>
      <c r="D3197" s="13" t="s">
        <v>12</v>
      </c>
      <c r="E3197" s="13">
        <v>-1228</v>
      </c>
    </row>
    <row r="3198" spans="1:5">
      <c r="A3198" s="14">
        <v>43704</v>
      </c>
      <c r="B3198" s="12">
        <v>2514</v>
      </c>
      <c r="C3198" s="12" t="s">
        <v>20</v>
      </c>
      <c r="D3198" s="12" t="s">
        <v>14</v>
      </c>
      <c r="E3198" s="12">
        <v>-1250</v>
      </c>
    </row>
    <row r="3199" spans="1:5">
      <c r="A3199" s="15">
        <v>43704</v>
      </c>
      <c r="B3199" s="13">
        <v>2510</v>
      </c>
      <c r="C3199" s="13" t="s">
        <v>24</v>
      </c>
      <c r="D3199" s="13" t="s">
        <v>10</v>
      </c>
      <c r="E3199" s="13">
        <v>-896</v>
      </c>
    </row>
    <row r="3200" spans="1:5">
      <c r="A3200" s="14">
        <v>43704</v>
      </c>
      <c r="B3200" s="12">
        <v>2505</v>
      </c>
      <c r="C3200" s="12" t="s">
        <v>9</v>
      </c>
      <c r="D3200" s="12" t="s">
        <v>19</v>
      </c>
      <c r="E3200" s="12">
        <v>-366</v>
      </c>
    </row>
    <row r="3201" spans="1:5">
      <c r="A3201" s="15">
        <v>43704</v>
      </c>
      <c r="B3201" s="13">
        <v>2503</v>
      </c>
      <c r="C3201" s="13" t="s">
        <v>22</v>
      </c>
      <c r="D3201" s="13" t="s">
        <v>19</v>
      </c>
      <c r="E3201" s="13">
        <v>-250</v>
      </c>
    </row>
    <row r="3202" spans="1:5">
      <c r="A3202" s="14">
        <v>43704</v>
      </c>
      <c r="B3202" s="12">
        <v>1000</v>
      </c>
      <c r="C3202" s="12" t="s">
        <v>23</v>
      </c>
      <c r="D3202" s="12" t="s">
        <v>19</v>
      </c>
      <c r="E3202" s="12">
        <v>425918</v>
      </c>
    </row>
    <row r="3203" spans="1:5">
      <c r="A3203" s="15">
        <v>43704</v>
      </c>
      <c r="B3203" s="13">
        <v>1000</v>
      </c>
      <c r="C3203" s="13" t="s">
        <v>23</v>
      </c>
      <c r="D3203" s="13" t="s">
        <v>19</v>
      </c>
      <c r="E3203" s="13">
        <v>544377</v>
      </c>
    </row>
    <row r="3204" spans="1:5">
      <c r="A3204" s="14">
        <v>43705</v>
      </c>
      <c r="B3204" s="12">
        <v>2508</v>
      </c>
      <c r="C3204" s="12" t="s">
        <v>15</v>
      </c>
      <c r="D3204" s="12" t="s">
        <v>19</v>
      </c>
      <c r="E3204" s="12">
        <v>-41917</v>
      </c>
    </row>
    <row r="3205" spans="1:5">
      <c r="A3205" s="15">
        <v>43705</v>
      </c>
      <c r="B3205" s="13">
        <v>1500</v>
      </c>
      <c r="C3205" s="13" t="s">
        <v>26</v>
      </c>
      <c r="D3205" s="13" t="s">
        <v>19</v>
      </c>
      <c r="E3205" s="13">
        <v>-15884</v>
      </c>
    </row>
    <row r="3206" spans="1:5">
      <c r="A3206" s="14">
        <v>43705</v>
      </c>
      <c r="B3206" s="12">
        <v>1500</v>
      </c>
      <c r="C3206" s="12" t="s">
        <v>26</v>
      </c>
      <c r="D3206" s="12" t="s">
        <v>19</v>
      </c>
      <c r="E3206" s="12">
        <v>-3937</v>
      </c>
    </row>
    <row r="3207" spans="1:5">
      <c r="A3207" s="15">
        <v>43705</v>
      </c>
      <c r="B3207" s="13">
        <v>2514</v>
      </c>
      <c r="C3207" s="13" t="s">
        <v>20</v>
      </c>
      <c r="D3207" s="13" t="s">
        <v>19</v>
      </c>
      <c r="E3207" s="13">
        <v>-1202</v>
      </c>
    </row>
    <row r="3208" spans="1:5">
      <c r="A3208" s="14">
        <v>43705</v>
      </c>
      <c r="B3208" s="12">
        <v>2501</v>
      </c>
      <c r="C3208" s="12" t="s">
        <v>5</v>
      </c>
      <c r="D3208" s="12" t="s">
        <v>14</v>
      </c>
      <c r="E3208" s="12">
        <v>-150</v>
      </c>
    </row>
    <row r="3209" spans="1:5">
      <c r="A3209" s="15">
        <v>43705</v>
      </c>
      <c r="B3209" s="13">
        <v>2502</v>
      </c>
      <c r="C3209" s="13" t="s">
        <v>7</v>
      </c>
      <c r="D3209" s="13" t="s">
        <v>12</v>
      </c>
      <c r="E3209" s="13">
        <v>-4242</v>
      </c>
    </row>
    <row r="3210" spans="1:5">
      <c r="A3210" s="14">
        <v>43705</v>
      </c>
      <c r="B3210" s="12">
        <v>2503</v>
      </c>
      <c r="C3210" s="12" t="s">
        <v>22</v>
      </c>
      <c r="D3210" s="12" t="s">
        <v>12</v>
      </c>
      <c r="E3210" s="12">
        <v>-535</v>
      </c>
    </row>
    <row r="3211" spans="1:5">
      <c r="A3211" s="15">
        <v>43705</v>
      </c>
      <c r="B3211" s="13">
        <v>2508</v>
      </c>
      <c r="C3211" s="13" t="s">
        <v>15</v>
      </c>
      <c r="D3211" s="13" t="s">
        <v>14</v>
      </c>
      <c r="E3211" s="13">
        <v>-71939</v>
      </c>
    </row>
    <row r="3212" spans="1:5">
      <c r="A3212" s="14">
        <v>43705</v>
      </c>
      <c r="B3212" s="12">
        <v>2510</v>
      </c>
      <c r="C3212" s="12" t="s">
        <v>24</v>
      </c>
      <c r="D3212" s="12" t="s">
        <v>6</v>
      </c>
      <c r="E3212" s="12">
        <v>-1294</v>
      </c>
    </row>
    <row r="3213" spans="1:5">
      <c r="A3213" s="15">
        <v>43705</v>
      </c>
      <c r="B3213" s="13">
        <v>2501</v>
      </c>
      <c r="C3213" s="13" t="s">
        <v>5</v>
      </c>
      <c r="D3213" s="13" t="s">
        <v>19</v>
      </c>
      <c r="E3213" s="13">
        <v>-98</v>
      </c>
    </row>
    <row r="3214" spans="1:5">
      <c r="A3214" s="14">
        <v>43706</v>
      </c>
      <c r="B3214" s="12">
        <v>1500</v>
      </c>
      <c r="C3214" s="12" t="s">
        <v>26</v>
      </c>
      <c r="D3214" s="12" t="s">
        <v>19</v>
      </c>
      <c r="E3214" s="12">
        <v>-29689</v>
      </c>
    </row>
    <row r="3215" spans="1:5">
      <c r="A3215" s="15">
        <v>43706</v>
      </c>
      <c r="B3215" s="13">
        <v>1500</v>
      </c>
      <c r="C3215" s="13" t="s">
        <v>26</v>
      </c>
      <c r="D3215" s="13" t="s">
        <v>19</v>
      </c>
      <c r="E3215" s="13">
        <v>-12496</v>
      </c>
    </row>
    <row r="3216" spans="1:5">
      <c r="A3216" s="14">
        <v>43706</v>
      </c>
      <c r="B3216" s="12">
        <v>2502</v>
      </c>
      <c r="C3216" s="12" t="s">
        <v>7</v>
      </c>
      <c r="D3216" s="12" t="s">
        <v>19</v>
      </c>
      <c r="E3216" s="12">
        <v>-2445</v>
      </c>
    </row>
    <row r="3217" spans="1:5">
      <c r="A3217" s="15">
        <v>43706</v>
      </c>
      <c r="B3217" s="13">
        <v>2502</v>
      </c>
      <c r="C3217" s="13" t="s">
        <v>7</v>
      </c>
      <c r="D3217" s="13" t="s">
        <v>6</v>
      </c>
      <c r="E3217" s="13">
        <v>-3016</v>
      </c>
    </row>
    <row r="3218" spans="1:5">
      <c r="A3218" s="14">
        <v>43706</v>
      </c>
      <c r="B3218" s="12">
        <v>2502</v>
      </c>
      <c r="C3218" s="12" t="s">
        <v>7</v>
      </c>
      <c r="D3218" s="12" t="s">
        <v>6</v>
      </c>
      <c r="E3218" s="12">
        <v>-3227</v>
      </c>
    </row>
    <row r="3219" spans="1:5">
      <c r="A3219" s="15">
        <v>43706</v>
      </c>
      <c r="B3219" s="13">
        <v>2502</v>
      </c>
      <c r="C3219" s="13" t="s">
        <v>7</v>
      </c>
      <c r="D3219" s="13" t="s">
        <v>10</v>
      </c>
      <c r="E3219" s="13">
        <v>-3108</v>
      </c>
    </row>
    <row r="3220" spans="1:5">
      <c r="A3220" s="14">
        <v>43706</v>
      </c>
      <c r="B3220" s="12">
        <v>2505</v>
      </c>
      <c r="C3220" s="12" t="s">
        <v>9</v>
      </c>
      <c r="D3220" s="12" t="s">
        <v>12</v>
      </c>
      <c r="E3220" s="12">
        <v>-1178</v>
      </c>
    </row>
    <row r="3221" spans="1:5">
      <c r="A3221" s="15">
        <v>43706</v>
      </c>
      <c r="B3221" s="13">
        <v>2512</v>
      </c>
      <c r="C3221" s="13" t="s">
        <v>16</v>
      </c>
      <c r="D3221" s="13" t="s">
        <v>8</v>
      </c>
      <c r="E3221" s="13">
        <v>-2605</v>
      </c>
    </row>
    <row r="3222" spans="1:5">
      <c r="A3222" s="14">
        <v>43706</v>
      </c>
      <c r="B3222" s="12">
        <v>2513</v>
      </c>
      <c r="C3222" s="12" t="s">
        <v>17</v>
      </c>
      <c r="D3222" s="12" t="s">
        <v>8</v>
      </c>
      <c r="E3222" s="12">
        <v>-539</v>
      </c>
    </row>
    <row r="3223" spans="1:5">
      <c r="A3223" s="15">
        <v>43706</v>
      </c>
      <c r="B3223" s="13">
        <v>2513</v>
      </c>
      <c r="C3223" s="13" t="s">
        <v>17</v>
      </c>
      <c r="D3223" s="13" t="s">
        <v>10</v>
      </c>
      <c r="E3223" s="13">
        <v>-730</v>
      </c>
    </row>
    <row r="3224" spans="1:5">
      <c r="A3224" s="14">
        <v>43706</v>
      </c>
      <c r="B3224" s="12">
        <v>2513</v>
      </c>
      <c r="C3224" s="12" t="s">
        <v>17</v>
      </c>
      <c r="D3224" s="12" t="s">
        <v>13</v>
      </c>
      <c r="E3224" s="12">
        <v>-658</v>
      </c>
    </row>
    <row r="3225" spans="1:5">
      <c r="A3225" s="15">
        <v>43706</v>
      </c>
      <c r="B3225" s="13">
        <v>2514</v>
      </c>
      <c r="C3225" s="13" t="s">
        <v>20</v>
      </c>
      <c r="D3225" s="13" t="s">
        <v>14</v>
      </c>
      <c r="E3225" s="13">
        <v>-1504</v>
      </c>
    </row>
    <row r="3226" spans="1:5">
      <c r="A3226" s="14">
        <v>43706</v>
      </c>
      <c r="B3226" s="12">
        <v>2514</v>
      </c>
      <c r="C3226" s="12" t="s">
        <v>20</v>
      </c>
      <c r="D3226" s="12" t="s">
        <v>10</v>
      </c>
      <c r="E3226" s="12">
        <v>-1358</v>
      </c>
    </row>
    <row r="3227" spans="1:5">
      <c r="A3227" s="15">
        <v>43706</v>
      </c>
      <c r="B3227" s="13">
        <v>2510</v>
      </c>
      <c r="C3227" s="13" t="s">
        <v>24</v>
      </c>
      <c r="D3227" s="13" t="s">
        <v>12</v>
      </c>
      <c r="E3227" s="13">
        <v>-1950</v>
      </c>
    </row>
    <row r="3228" spans="1:5">
      <c r="A3228" s="14">
        <v>43706</v>
      </c>
      <c r="B3228" s="12">
        <v>2503</v>
      </c>
      <c r="C3228" s="12" t="s">
        <v>22</v>
      </c>
      <c r="D3228" s="12" t="s">
        <v>19</v>
      </c>
      <c r="E3228" s="12">
        <v>-261</v>
      </c>
    </row>
    <row r="3229" spans="1:5">
      <c r="A3229" s="15">
        <v>43706</v>
      </c>
      <c r="B3229" s="13">
        <v>2501</v>
      </c>
      <c r="C3229" s="13" t="s">
        <v>5</v>
      </c>
      <c r="D3229" s="13" t="s">
        <v>19</v>
      </c>
      <c r="E3229" s="13">
        <v>-151</v>
      </c>
    </row>
    <row r="3230" spans="1:5">
      <c r="A3230" s="14">
        <v>43706</v>
      </c>
      <c r="B3230" s="12">
        <v>1000</v>
      </c>
      <c r="C3230" s="12" t="s">
        <v>23</v>
      </c>
      <c r="D3230" s="12" t="s">
        <v>19</v>
      </c>
      <c r="E3230" s="12">
        <v>1275348</v>
      </c>
    </row>
    <row r="3231" spans="1:5">
      <c r="A3231" s="15">
        <v>43707</v>
      </c>
      <c r="B3231" s="13">
        <v>1500</v>
      </c>
      <c r="C3231" s="13" t="s">
        <v>26</v>
      </c>
      <c r="D3231" s="13" t="s">
        <v>19</v>
      </c>
      <c r="E3231" s="13">
        <v>-59044</v>
      </c>
    </row>
    <row r="3232" spans="1:5">
      <c r="A3232" s="14">
        <v>43707</v>
      </c>
      <c r="B3232" s="12">
        <v>2501</v>
      </c>
      <c r="C3232" s="12" t="s">
        <v>5</v>
      </c>
      <c r="D3232" s="12" t="s">
        <v>8</v>
      </c>
      <c r="E3232" s="12">
        <v>-164</v>
      </c>
    </row>
    <row r="3233" spans="1:5">
      <c r="A3233" s="15">
        <v>43707</v>
      </c>
      <c r="B3233" s="13">
        <v>2501</v>
      </c>
      <c r="C3233" s="13" t="s">
        <v>5</v>
      </c>
      <c r="D3233" s="13" t="s">
        <v>13</v>
      </c>
      <c r="E3233" s="13">
        <v>-128</v>
      </c>
    </row>
    <row r="3234" spans="1:5">
      <c r="A3234" s="14">
        <v>43707</v>
      </c>
      <c r="B3234" s="12">
        <v>2502</v>
      </c>
      <c r="C3234" s="12" t="s">
        <v>7</v>
      </c>
      <c r="D3234" s="12" t="s">
        <v>8</v>
      </c>
      <c r="E3234" s="12">
        <v>-5422</v>
      </c>
    </row>
    <row r="3235" spans="1:5">
      <c r="A3235" s="15">
        <v>43707</v>
      </c>
      <c r="B3235" s="13">
        <v>2502</v>
      </c>
      <c r="C3235" s="13" t="s">
        <v>7</v>
      </c>
      <c r="D3235" s="13" t="s">
        <v>12</v>
      </c>
      <c r="E3235" s="13">
        <v>-4385</v>
      </c>
    </row>
    <row r="3236" spans="1:5">
      <c r="A3236" s="14">
        <v>43707</v>
      </c>
      <c r="B3236" s="12">
        <v>2502</v>
      </c>
      <c r="C3236" s="12" t="s">
        <v>7</v>
      </c>
      <c r="D3236" s="12" t="s">
        <v>13</v>
      </c>
      <c r="E3236" s="12">
        <v>-3173</v>
      </c>
    </row>
    <row r="3237" spans="1:5">
      <c r="A3237" s="15">
        <v>43707</v>
      </c>
      <c r="B3237" s="13">
        <v>2508</v>
      </c>
      <c r="C3237" s="13" t="s">
        <v>15</v>
      </c>
      <c r="D3237" s="13" t="s">
        <v>6</v>
      </c>
      <c r="E3237" s="13">
        <v>-76185</v>
      </c>
    </row>
    <row r="3238" spans="1:5">
      <c r="A3238" s="14">
        <v>43707</v>
      </c>
      <c r="B3238" s="12">
        <v>2513</v>
      </c>
      <c r="C3238" s="12" t="s">
        <v>17</v>
      </c>
      <c r="D3238" s="12" t="s">
        <v>8</v>
      </c>
      <c r="E3238" s="12">
        <v>-1057</v>
      </c>
    </row>
    <row r="3239" spans="1:5">
      <c r="A3239" s="15">
        <v>43707</v>
      </c>
      <c r="B3239" s="13">
        <v>2503</v>
      </c>
      <c r="C3239" s="13" t="s">
        <v>22</v>
      </c>
      <c r="D3239" s="13" t="s">
        <v>19</v>
      </c>
      <c r="E3239" s="13">
        <v>-319</v>
      </c>
    </row>
    <row r="3240" spans="1:5">
      <c r="A3240" s="14">
        <v>43708</v>
      </c>
      <c r="B3240" s="12">
        <v>2500</v>
      </c>
      <c r="C3240" s="12" t="s">
        <v>25</v>
      </c>
      <c r="D3240" s="12" t="s">
        <v>19</v>
      </c>
      <c r="E3240" s="12">
        <v>-30510</v>
      </c>
    </row>
    <row r="3241" spans="1:5">
      <c r="A3241" s="15">
        <v>43708</v>
      </c>
      <c r="B3241" s="13">
        <v>1500</v>
      </c>
      <c r="C3241" s="13" t="s">
        <v>26</v>
      </c>
      <c r="D3241" s="13" t="s">
        <v>19</v>
      </c>
      <c r="E3241" s="13">
        <v>-13673</v>
      </c>
    </row>
    <row r="3242" spans="1:5">
      <c r="A3242" s="14">
        <v>43708</v>
      </c>
      <c r="B3242" s="12">
        <v>2512</v>
      </c>
      <c r="C3242" s="12" t="s">
        <v>16</v>
      </c>
      <c r="D3242" s="12" t="s">
        <v>19</v>
      </c>
      <c r="E3242" s="12">
        <v>-11228</v>
      </c>
    </row>
    <row r="3243" spans="1:5">
      <c r="A3243" s="15">
        <v>43708</v>
      </c>
      <c r="B3243" s="13">
        <v>2502</v>
      </c>
      <c r="C3243" s="13" t="s">
        <v>7</v>
      </c>
      <c r="D3243" s="13" t="s">
        <v>19</v>
      </c>
      <c r="E3243" s="13">
        <v>-2624</v>
      </c>
    </row>
    <row r="3244" spans="1:5">
      <c r="A3244" s="14">
        <v>43708</v>
      </c>
      <c r="B3244" s="12">
        <v>2514</v>
      </c>
      <c r="C3244" s="12" t="s">
        <v>20</v>
      </c>
      <c r="D3244" s="12" t="s">
        <v>19</v>
      </c>
      <c r="E3244" s="12">
        <v>-1199</v>
      </c>
    </row>
    <row r="3245" spans="1:5">
      <c r="A3245" s="15">
        <v>43708</v>
      </c>
      <c r="B3245" s="13">
        <v>2501</v>
      </c>
      <c r="C3245" s="13" t="s">
        <v>5</v>
      </c>
      <c r="D3245" s="13" t="s">
        <v>8</v>
      </c>
      <c r="E3245" s="13">
        <v>-143</v>
      </c>
    </row>
    <row r="3246" spans="1:5">
      <c r="A3246" s="14">
        <v>43708</v>
      </c>
      <c r="B3246" s="12">
        <v>2502</v>
      </c>
      <c r="C3246" s="12" t="s">
        <v>7</v>
      </c>
      <c r="D3246" s="12" t="s">
        <v>14</v>
      </c>
      <c r="E3246" s="12">
        <v>-4055</v>
      </c>
    </row>
    <row r="3247" spans="1:5">
      <c r="A3247" s="15">
        <v>43708</v>
      </c>
      <c r="B3247" s="13">
        <v>2502</v>
      </c>
      <c r="C3247" s="13" t="s">
        <v>7</v>
      </c>
      <c r="D3247" s="13" t="s">
        <v>12</v>
      </c>
      <c r="E3247" s="13">
        <v>-7546</v>
      </c>
    </row>
    <row r="3248" spans="1:5">
      <c r="A3248" s="14">
        <v>43708</v>
      </c>
      <c r="B3248" s="12">
        <v>2503</v>
      </c>
      <c r="C3248" s="12" t="s">
        <v>22</v>
      </c>
      <c r="D3248" s="12" t="s">
        <v>10</v>
      </c>
      <c r="E3248" s="12">
        <v>-406</v>
      </c>
    </row>
    <row r="3249" spans="1:5">
      <c r="A3249" s="15">
        <v>43708</v>
      </c>
      <c r="B3249" s="13">
        <v>2503</v>
      </c>
      <c r="C3249" s="13" t="s">
        <v>22</v>
      </c>
      <c r="D3249" s="13" t="s">
        <v>8</v>
      </c>
      <c r="E3249" s="13">
        <v>-386</v>
      </c>
    </row>
    <row r="3250" spans="1:5">
      <c r="A3250" s="14">
        <v>43708</v>
      </c>
      <c r="B3250" s="12">
        <v>2510</v>
      </c>
      <c r="C3250" s="12" t="s">
        <v>24</v>
      </c>
      <c r="D3250" s="12" t="s">
        <v>14</v>
      </c>
      <c r="E3250" s="12">
        <v>-1072</v>
      </c>
    </row>
    <row r="3251" spans="1:5">
      <c r="A3251" s="15">
        <v>43709</v>
      </c>
      <c r="B3251" s="13">
        <v>2000</v>
      </c>
      <c r="C3251" s="13" t="s">
        <v>18</v>
      </c>
      <c r="D3251" s="13" t="s">
        <v>19</v>
      </c>
      <c r="E3251" s="13">
        <v>-250039</v>
      </c>
    </row>
    <row r="3252" spans="1:5">
      <c r="A3252" s="14">
        <v>43709</v>
      </c>
      <c r="B3252" s="12">
        <v>2508</v>
      </c>
      <c r="C3252" s="12" t="s">
        <v>15</v>
      </c>
      <c r="D3252" s="12" t="s">
        <v>19</v>
      </c>
      <c r="E3252" s="12">
        <v>-49410</v>
      </c>
    </row>
    <row r="3253" spans="1:5">
      <c r="A3253" s="15">
        <v>43709</v>
      </c>
      <c r="B3253" s="13">
        <v>1500</v>
      </c>
      <c r="C3253" s="13" t="s">
        <v>26</v>
      </c>
      <c r="D3253" s="13" t="s">
        <v>19</v>
      </c>
      <c r="E3253" s="13">
        <v>-11103</v>
      </c>
    </row>
    <row r="3254" spans="1:5">
      <c r="A3254" s="14">
        <v>43709</v>
      </c>
      <c r="B3254" s="12">
        <v>2502</v>
      </c>
      <c r="C3254" s="12" t="s">
        <v>7</v>
      </c>
      <c r="D3254" s="12" t="s">
        <v>19</v>
      </c>
      <c r="E3254" s="12">
        <v>-5133</v>
      </c>
    </row>
    <row r="3255" spans="1:5">
      <c r="A3255" s="15">
        <v>43709</v>
      </c>
      <c r="B3255" s="13">
        <v>2502</v>
      </c>
      <c r="C3255" s="13" t="s">
        <v>7</v>
      </c>
      <c r="D3255" s="13" t="s">
        <v>19</v>
      </c>
      <c r="E3255" s="13">
        <v>-4149</v>
      </c>
    </row>
    <row r="3256" spans="1:5">
      <c r="A3256" s="14">
        <v>43709</v>
      </c>
      <c r="B3256" s="12">
        <v>2507</v>
      </c>
      <c r="C3256" s="12" t="s">
        <v>11</v>
      </c>
      <c r="D3256" s="12" t="s">
        <v>19</v>
      </c>
      <c r="E3256" s="12">
        <v>-2180</v>
      </c>
    </row>
    <row r="3257" spans="1:5">
      <c r="A3257" s="15">
        <v>43709</v>
      </c>
      <c r="B3257" s="13">
        <v>2510</v>
      </c>
      <c r="C3257" s="13" t="s">
        <v>24</v>
      </c>
      <c r="D3257" s="13" t="s">
        <v>19</v>
      </c>
      <c r="E3257" s="13">
        <v>-1332</v>
      </c>
    </row>
    <row r="3258" spans="1:5">
      <c r="A3258" s="14">
        <v>43709</v>
      </c>
      <c r="B3258" s="12">
        <v>2513</v>
      </c>
      <c r="C3258" s="12" t="s">
        <v>17</v>
      </c>
      <c r="D3258" s="12" t="s">
        <v>19</v>
      </c>
      <c r="E3258" s="12">
        <v>-985</v>
      </c>
    </row>
    <row r="3259" spans="1:5">
      <c r="A3259" s="15">
        <v>43709</v>
      </c>
      <c r="B3259" s="13">
        <v>2510</v>
      </c>
      <c r="C3259" s="13" t="s">
        <v>24</v>
      </c>
      <c r="D3259" s="13" t="s">
        <v>19</v>
      </c>
      <c r="E3259" s="13">
        <v>-719</v>
      </c>
    </row>
    <row r="3260" spans="1:5">
      <c r="A3260" s="14">
        <v>43709</v>
      </c>
      <c r="B3260" s="12">
        <v>2501</v>
      </c>
      <c r="C3260" s="12" t="s">
        <v>5</v>
      </c>
      <c r="D3260" s="12" t="s">
        <v>12</v>
      </c>
      <c r="E3260" s="12">
        <v>-199</v>
      </c>
    </row>
    <row r="3261" spans="1:5">
      <c r="A3261" s="15">
        <v>43709</v>
      </c>
      <c r="B3261" s="13">
        <v>2501</v>
      </c>
      <c r="C3261" s="13" t="s">
        <v>5</v>
      </c>
      <c r="D3261" s="13" t="s">
        <v>13</v>
      </c>
      <c r="E3261" s="13">
        <v>-122</v>
      </c>
    </row>
    <row r="3262" spans="1:5">
      <c r="A3262" s="14">
        <v>43709</v>
      </c>
      <c r="B3262" s="12">
        <v>2503</v>
      </c>
      <c r="C3262" s="12" t="s">
        <v>22</v>
      </c>
      <c r="D3262" s="12" t="s">
        <v>12</v>
      </c>
      <c r="E3262" s="12">
        <v>-566</v>
      </c>
    </row>
    <row r="3263" spans="1:5">
      <c r="A3263" s="15">
        <v>43709</v>
      </c>
      <c r="B3263" s="13">
        <v>2503</v>
      </c>
      <c r="C3263" s="13" t="s">
        <v>22</v>
      </c>
      <c r="D3263" s="13" t="s">
        <v>8</v>
      </c>
      <c r="E3263" s="13">
        <v>-426</v>
      </c>
    </row>
    <row r="3264" spans="1:5">
      <c r="A3264" s="14">
        <v>43709</v>
      </c>
      <c r="B3264" s="12">
        <v>2506</v>
      </c>
      <c r="C3264" s="12" t="s">
        <v>27</v>
      </c>
      <c r="D3264" s="12" t="s">
        <v>14</v>
      </c>
      <c r="E3264" s="12">
        <v>-442</v>
      </c>
    </row>
    <row r="3265" spans="1:5">
      <c r="A3265" s="15">
        <v>43709</v>
      </c>
      <c r="B3265" s="13">
        <v>2507</v>
      </c>
      <c r="C3265" s="13" t="s">
        <v>11</v>
      </c>
      <c r="D3265" s="13" t="s">
        <v>12</v>
      </c>
      <c r="E3265" s="13">
        <v>-2390</v>
      </c>
    </row>
    <row r="3266" spans="1:5">
      <c r="A3266" s="14">
        <v>43709</v>
      </c>
      <c r="B3266" s="12">
        <v>2507</v>
      </c>
      <c r="C3266" s="12" t="s">
        <v>11</v>
      </c>
      <c r="D3266" s="12" t="s">
        <v>13</v>
      </c>
      <c r="E3266" s="12">
        <v>-2060</v>
      </c>
    </row>
    <row r="3267" spans="1:5">
      <c r="A3267" s="15">
        <v>43709</v>
      </c>
      <c r="B3267" s="13">
        <v>2507</v>
      </c>
      <c r="C3267" s="13" t="s">
        <v>11</v>
      </c>
      <c r="D3267" s="13" t="s">
        <v>8</v>
      </c>
      <c r="E3267" s="13">
        <v>-1960</v>
      </c>
    </row>
    <row r="3268" spans="1:5">
      <c r="A3268" s="14">
        <v>43709</v>
      </c>
      <c r="B3268" s="12">
        <v>2507</v>
      </c>
      <c r="C3268" s="12" t="s">
        <v>11</v>
      </c>
      <c r="D3268" s="12" t="s">
        <v>10</v>
      </c>
      <c r="E3268" s="12">
        <v>-1530</v>
      </c>
    </row>
    <row r="3269" spans="1:5">
      <c r="A3269" s="15">
        <v>43709</v>
      </c>
      <c r="B3269" s="13">
        <v>2507</v>
      </c>
      <c r="C3269" s="13" t="s">
        <v>11</v>
      </c>
      <c r="D3269" s="13" t="s">
        <v>6</v>
      </c>
      <c r="E3269" s="13">
        <v>-1720</v>
      </c>
    </row>
    <row r="3270" spans="1:5">
      <c r="A3270" s="14">
        <v>43709</v>
      </c>
      <c r="B3270" s="12">
        <v>2507</v>
      </c>
      <c r="C3270" s="12" t="s">
        <v>11</v>
      </c>
      <c r="D3270" s="12" t="s">
        <v>14</v>
      </c>
      <c r="E3270" s="12">
        <v>-1120</v>
      </c>
    </row>
    <row r="3271" spans="1:5">
      <c r="A3271" s="15">
        <v>43709</v>
      </c>
      <c r="B3271" s="13">
        <v>2508</v>
      </c>
      <c r="C3271" s="13" t="s">
        <v>15</v>
      </c>
      <c r="D3271" s="13" t="s">
        <v>10</v>
      </c>
      <c r="E3271" s="13">
        <v>-70406</v>
      </c>
    </row>
    <row r="3272" spans="1:5">
      <c r="A3272" s="14">
        <v>43709</v>
      </c>
      <c r="B3272" s="12">
        <v>2508</v>
      </c>
      <c r="C3272" s="12" t="s">
        <v>15</v>
      </c>
      <c r="D3272" s="12" t="s">
        <v>14</v>
      </c>
      <c r="E3272" s="12">
        <v>-78900</v>
      </c>
    </row>
    <row r="3273" spans="1:5">
      <c r="A3273" s="15">
        <v>43709</v>
      </c>
      <c r="B3273" s="13">
        <v>2510</v>
      </c>
      <c r="C3273" s="13" t="s">
        <v>24</v>
      </c>
      <c r="D3273" s="13" t="s">
        <v>10</v>
      </c>
      <c r="E3273" s="13">
        <v>-780</v>
      </c>
    </row>
    <row r="3274" spans="1:5">
      <c r="A3274" s="14">
        <v>43709</v>
      </c>
      <c r="B3274" s="12">
        <v>2503</v>
      </c>
      <c r="C3274" s="12" t="s">
        <v>22</v>
      </c>
      <c r="D3274" s="12" t="s">
        <v>19</v>
      </c>
      <c r="E3274" s="12">
        <v>-322</v>
      </c>
    </row>
    <row r="3275" spans="1:5">
      <c r="A3275" s="15">
        <v>43710</v>
      </c>
      <c r="B3275" s="13">
        <v>2512</v>
      </c>
      <c r="C3275" s="13" t="s">
        <v>16</v>
      </c>
      <c r="D3275" s="13" t="s">
        <v>19</v>
      </c>
      <c r="E3275" s="13">
        <v>-5985</v>
      </c>
    </row>
    <row r="3276" spans="1:5">
      <c r="A3276" s="14">
        <v>43710</v>
      </c>
      <c r="B3276" s="12">
        <v>2512</v>
      </c>
      <c r="C3276" s="12" t="s">
        <v>16</v>
      </c>
      <c r="D3276" s="12" t="s">
        <v>19</v>
      </c>
      <c r="E3276" s="12">
        <v>-3723</v>
      </c>
    </row>
    <row r="3277" spans="1:5">
      <c r="A3277" s="15">
        <v>43710</v>
      </c>
      <c r="B3277" s="13">
        <v>2504</v>
      </c>
      <c r="C3277" s="13" t="s">
        <v>21</v>
      </c>
      <c r="D3277" s="13" t="s">
        <v>19</v>
      </c>
      <c r="E3277" s="13">
        <v>-1948</v>
      </c>
    </row>
    <row r="3278" spans="1:5">
      <c r="A3278" s="14">
        <v>43710</v>
      </c>
      <c r="B3278" s="12">
        <v>2514</v>
      </c>
      <c r="C3278" s="12" t="s">
        <v>20</v>
      </c>
      <c r="D3278" s="12" t="s">
        <v>19</v>
      </c>
      <c r="E3278" s="12">
        <v>-1189</v>
      </c>
    </row>
    <row r="3279" spans="1:5">
      <c r="A3279" s="15">
        <v>43710</v>
      </c>
      <c r="B3279" s="13">
        <v>2504</v>
      </c>
      <c r="C3279" s="13" t="s">
        <v>21</v>
      </c>
      <c r="D3279" s="13" t="s">
        <v>19</v>
      </c>
      <c r="E3279" s="13">
        <v>-1019</v>
      </c>
    </row>
    <row r="3280" spans="1:5">
      <c r="A3280" s="14">
        <v>43710</v>
      </c>
      <c r="B3280" s="12">
        <v>2514</v>
      </c>
      <c r="C3280" s="12" t="s">
        <v>20</v>
      </c>
      <c r="D3280" s="12" t="s">
        <v>19</v>
      </c>
      <c r="E3280" s="12">
        <v>-1003</v>
      </c>
    </row>
    <row r="3281" spans="1:5">
      <c r="A3281" s="15">
        <v>43710</v>
      </c>
      <c r="B3281" s="13">
        <v>2513</v>
      </c>
      <c r="C3281" s="13" t="s">
        <v>17</v>
      </c>
      <c r="D3281" s="13" t="s">
        <v>19</v>
      </c>
      <c r="E3281" s="13">
        <v>-935</v>
      </c>
    </row>
    <row r="3282" spans="1:5">
      <c r="A3282" s="14">
        <v>43710</v>
      </c>
      <c r="B3282" s="12">
        <v>2502</v>
      </c>
      <c r="C3282" s="12" t="s">
        <v>7</v>
      </c>
      <c r="D3282" s="12" t="s">
        <v>6</v>
      </c>
      <c r="E3282" s="12">
        <v>-6415</v>
      </c>
    </row>
    <row r="3283" spans="1:5">
      <c r="A3283" s="15">
        <v>43710</v>
      </c>
      <c r="B3283" s="13">
        <v>2503</v>
      </c>
      <c r="C3283" s="13" t="s">
        <v>22</v>
      </c>
      <c r="D3283" s="13" t="s">
        <v>6</v>
      </c>
      <c r="E3283" s="13">
        <v>-306</v>
      </c>
    </row>
    <row r="3284" spans="1:5">
      <c r="A3284" s="14">
        <v>43710</v>
      </c>
      <c r="B3284" s="12">
        <v>2508</v>
      </c>
      <c r="C3284" s="12" t="s">
        <v>15</v>
      </c>
      <c r="D3284" s="12" t="s">
        <v>13</v>
      </c>
      <c r="E3284" s="12">
        <v>-49811</v>
      </c>
    </row>
    <row r="3285" spans="1:5">
      <c r="A3285" s="15">
        <v>43710</v>
      </c>
      <c r="B3285" s="13">
        <v>2512</v>
      </c>
      <c r="C3285" s="13" t="s">
        <v>16</v>
      </c>
      <c r="D3285" s="13" t="s">
        <v>12</v>
      </c>
      <c r="E3285" s="13">
        <v>-1033</v>
      </c>
    </row>
    <row r="3286" spans="1:5">
      <c r="A3286" s="14">
        <v>43710</v>
      </c>
      <c r="B3286" s="12">
        <v>2514</v>
      </c>
      <c r="C3286" s="12" t="s">
        <v>20</v>
      </c>
      <c r="D3286" s="12" t="s">
        <v>14</v>
      </c>
      <c r="E3286" s="12">
        <v>-1427</v>
      </c>
    </row>
    <row r="3287" spans="1:5">
      <c r="A3287" s="15">
        <v>43710</v>
      </c>
      <c r="B3287" s="13">
        <v>2505</v>
      </c>
      <c r="C3287" s="13" t="s">
        <v>9</v>
      </c>
      <c r="D3287" s="13" t="s">
        <v>19</v>
      </c>
      <c r="E3287" s="13">
        <v>-293</v>
      </c>
    </row>
    <row r="3288" spans="1:5">
      <c r="A3288" s="14">
        <v>43710</v>
      </c>
      <c r="B3288" s="12">
        <v>2503</v>
      </c>
      <c r="C3288" s="12" t="s">
        <v>22</v>
      </c>
      <c r="D3288" s="12" t="s">
        <v>19</v>
      </c>
      <c r="E3288" s="12">
        <v>-268</v>
      </c>
    </row>
    <row r="3289" spans="1:5">
      <c r="A3289" s="15">
        <v>43711</v>
      </c>
      <c r="B3289" s="13">
        <v>2508</v>
      </c>
      <c r="C3289" s="13" t="s">
        <v>15</v>
      </c>
      <c r="D3289" s="13" t="s">
        <v>19</v>
      </c>
      <c r="E3289" s="13">
        <v>-61985</v>
      </c>
    </row>
    <row r="3290" spans="1:5">
      <c r="A3290" s="14">
        <v>43711</v>
      </c>
      <c r="B3290" s="12">
        <v>1500</v>
      </c>
      <c r="C3290" s="12" t="s">
        <v>26</v>
      </c>
      <c r="D3290" s="12" t="s">
        <v>19</v>
      </c>
      <c r="E3290" s="12">
        <v>-26529</v>
      </c>
    </row>
    <row r="3291" spans="1:5">
      <c r="A3291" s="15">
        <v>43711</v>
      </c>
      <c r="B3291" s="13">
        <v>2500</v>
      </c>
      <c r="C3291" s="13" t="s">
        <v>25</v>
      </c>
      <c r="D3291" s="13" t="s">
        <v>19</v>
      </c>
      <c r="E3291" s="13">
        <v>-22343</v>
      </c>
    </row>
    <row r="3292" spans="1:5">
      <c r="A3292" s="14">
        <v>43711</v>
      </c>
      <c r="B3292" s="12">
        <v>2512</v>
      </c>
      <c r="C3292" s="12" t="s">
        <v>16</v>
      </c>
      <c r="D3292" s="12" t="s">
        <v>19</v>
      </c>
      <c r="E3292" s="12">
        <v>-11119</v>
      </c>
    </row>
    <row r="3293" spans="1:5">
      <c r="A3293" s="15">
        <v>43711</v>
      </c>
      <c r="B3293" s="13">
        <v>1500</v>
      </c>
      <c r="C3293" s="13" t="s">
        <v>26</v>
      </c>
      <c r="D3293" s="13" t="s">
        <v>19</v>
      </c>
      <c r="E3293" s="13">
        <v>-3268</v>
      </c>
    </row>
    <row r="3294" spans="1:5">
      <c r="A3294" s="14">
        <v>43711</v>
      </c>
      <c r="B3294" s="12">
        <v>2510</v>
      </c>
      <c r="C3294" s="12" t="s">
        <v>24</v>
      </c>
      <c r="D3294" s="12" t="s">
        <v>19</v>
      </c>
      <c r="E3294" s="12">
        <v>-1013</v>
      </c>
    </row>
    <row r="3295" spans="1:5">
      <c r="A3295" s="15">
        <v>43711</v>
      </c>
      <c r="B3295" s="13">
        <v>2501</v>
      </c>
      <c r="C3295" s="13" t="s">
        <v>5</v>
      </c>
      <c r="D3295" s="13" t="s">
        <v>13</v>
      </c>
      <c r="E3295" s="13">
        <v>-126</v>
      </c>
    </row>
    <row r="3296" spans="1:5">
      <c r="A3296" s="14">
        <v>43711</v>
      </c>
      <c r="B3296" s="12">
        <v>2503</v>
      </c>
      <c r="C3296" s="12" t="s">
        <v>22</v>
      </c>
      <c r="D3296" s="12" t="s">
        <v>8</v>
      </c>
      <c r="E3296" s="12">
        <v>-426</v>
      </c>
    </row>
    <row r="3297" spans="1:5">
      <c r="A3297" s="15">
        <v>43711</v>
      </c>
      <c r="B3297" s="13">
        <v>2508</v>
      </c>
      <c r="C3297" s="13" t="s">
        <v>15</v>
      </c>
      <c r="D3297" s="13" t="s">
        <v>12</v>
      </c>
      <c r="E3297" s="13">
        <v>-93616</v>
      </c>
    </row>
    <row r="3298" spans="1:5">
      <c r="A3298" s="14">
        <v>43711</v>
      </c>
      <c r="B3298" s="12">
        <v>2508</v>
      </c>
      <c r="C3298" s="12" t="s">
        <v>15</v>
      </c>
      <c r="D3298" s="12" t="s">
        <v>14</v>
      </c>
      <c r="E3298" s="12">
        <v>-63615</v>
      </c>
    </row>
    <row r="3299" spans="1:5">
      <c r="A3299" s="15">
        <v>43711</v>
      </c>
      <c r="B3299" s="13">
        <v>2514</v>
      </c>
      <c r="C3299" s="13" t="s">
        <v>20</v>
      </c>
      <c r="D3299" s="13" t="s">
        <v>8</v>
      </c>
      <c r="E3299" s="13">
        <v>-1337</v>
      </c>
    </row>
    <row r="3300" spans="1:5">
      <c r="A3300" s="14">
        <v>43712</v>
      </c>
      <c r="B3300" s="12">
        <v>2000</v>
      </c>
      <c r="C3300" s="12" t="s">
        <v>18</v>
      </c>
      <c r="D3300" s="12" t="s">
        <v>19</v>
      </c>
      <c r="E3300" s="12">
        <v>-120729</v>
      </c>
    </row>
    <row r="3301" spans="1:5">
      <c r="A3301" s="15">
        <v>43712</v>
      </c>
      <c r="B3301" s="13">
        <v>2508</v>
      </c>
      <c r="C3301" s="13" t="s">
        <v>15</v>
      </c>
      <c r="D3301" s="13" t="s">
        <v>19</v>
      </c>
      <c r="E3301" s="13">
        <v>-60150</v>
      </c>
    </row>
    <row r="3302" spans="1:5">
      <c r="A3302" s="14">
        <v>43712</v>
      </c>
      <c r="B3302" s="12">
        <v>2508</v>
      </c>
      <c r="C3302" s="12" t="s">
        <v>15</v>
      </c>
      <c r="D3302" s="12" t="s">
        <v>19</v>
      </c>
      <c r="E3302" s="12">
        <v>-55935</v>
      </c>
    </row>
    <row r="3303" spans="1:5">
      <c r="A3303" s="15">
        <v>43712</v>
      </c>
      <c r="B3303" s="13">
        <v>2502</v>
      </c>
      <c r="C3303" s="13" t="s">
        <v>7</v>
      </c>
      <c r="D3303" s="13" t="s">
        <v>19</v>
      </c>
      <c r="E3303" s="13">
        <v>-3321</v>
      </c>
    </row>
    <row r="3304" spans="1:5">
      <c r="A3304" s="14">
        <v>43712</v>
      </c>
      <c r="B3304" s="12">
        <v>2503</v>
      </c>
      <c r="C3304" s="12" t="s">
        <v>22</v>
      </c>
      <c r="D3304" s="12" t="s">
        <v>12</v>
      </c>
      <c r="E3304" s="12">
        <v>-542</v>
      </c>
    </row>
    <row r="3305" spans="1:5">
      <c r="A3305" s="15">
        <v>43712</v>
      </c>
      <c r="B3305" s="13">
        <v>2508</v>
      </c>
      <c r="C3305" s="13" t="s">
        <v>15</v>
      </c>
      <c r="D3305" s="13" t="s">
        <v>6</v>
      </c>
      <c r="E3305" s="13">
        <v>-79442</v>
      </c>
    </row>
    <row r="3306" spans="1:5">
      <c r="A3306" s="14">
        <v>43712</v>
      </c>
      <c r="B3306" s="12">
        <v>2513</v>
      </c>
      <c r="C3306" s="12" t="s">
        <v>17</v>
      </c>
      <c r="D3306" s="12" t="s">
        <v>6</v>
      </c>
      <c r="E3306" s="12">
        <v>-933</v>
      </c>
    </row>
    <row r="3307" spans="1:5">
      <c r="A3307" s="15">
        <v>43712</v>
      </c>
      <c r="B3307" s="13">
        <v>2514</v>
      </c>
      <c r="C3307" s="13" t="s">
        <v>20</v>
      </c>
      <c r="D3307" s="13" t="s">
        <v>14</v>
      </c>
      <c r="E3307" s="13">
        <v>-1321</v>
      </c>
    </row>
    <row r="3308" spans="1:5">
      <c r="A3308" s="14">
        <v>43712</v>
      </c>
      <c r="B3308" s="12">
        <v>2510</v>
      </c>
      <c r="C3308" s="12" t="s">
        <v>24</v>
      </c>
      <c r="D3308" s="12" t="s">
        <v>6</v>
      </c>
      <c r="E3308" s="12">
        <v>-1506</v>
      </c>
    </row>
    <row r="3309" spans="1:5">
      <c r="A3309" s="15">
        <v>43712</v>
      </c>
      <c r="B3309" s="13">
        <v>2510</v>
      </c>
      <c r="C3309" s="13" t="s">
        <v>24</v>
      </c>
      <c r="D3309" s="13" t="s">
        <v>14</v>
      </c>
      <c r="E3309" s="13">
        <v>-1597</v>
      </c>
    </row>
    <row r="3310" spans="1:5">
      <c r="A3310" s="14">
        <v>43712</v>
      </c>
      <c r="B3310" s="12">
        <v>2501</v>
      </c>
      <c r="C3310" s="12" t="s">
        <v>5</v>
      </c>
      <c r="D3310" s="12" t="s">
        <v>19</v>
      </c>
      <c r="E3310" s="12">
        <v>-121</v>
      </c>
    </row>
    <row r="3311" spans="1:5">
      <c r="A3311" s="15">
        <v>43712</v>
      </c>
      <c r="B3311" s="13">
        <v>1000</v>
      </c>
      <c r="C3311" s="13" t="s">
        <v>23</v>
      </c>
      <c r="D3311" s="13" t="s">
        <v>19</v>
      </c>
      <c r="E3311" s="13">
        <v>1334556</v>
      </c>
    </row>
    <row r="3312" spans="1:5">
      <c r="A3312" s="14">
        <v>43713</v>
      </c>
      <c r="B3312" s="12">
        <v>2500</v>
      </c>
      <c r="C3312" s="12" t="s">
        <v>25</v>
      </c>
      <c r="D3312" s="12" t="s">
        <v>19</v>
      </c>
      <c r="E3312" s="12">
        <v>-40372</v>
      </c>
    </row>
    <row r="3313" spans="1:5">
      <c r="A3313" s="15">
        <v>43713</v>
      </c>
      <c r="B3313" s="13">
        <v>2501</v>
      </c>
      <c r="C3313" s="13" t="s">
        <v>5</v>
      </c>
      <c r="D3313" s="13" t="s">
        <v>10</v>
      </c>
      <c r="E3313" s="13">
        <v>-119</v>
      </c>
    </row>
    <row r="3314" spans="1:5">
      <c r="A3314" s="14">
        <v>43713</v>
      </c>
      <c r="B3314" s="12">
        <v>2501</v>
      </c>
      <c r="C3314" s="12" t="s">
        <v>5</v>
      </c>
      <c r="D3314" s="12" t="s">
        <v>8</v>
      </c>
      <c r="E3314" s="12">
        <v>-116</v>
      </c>
    </row>
    <row r="3315" spans="1:5">
      <c r="A3315" s="15">
        <v>43713</v>
      </c>
      <c r="B3315" s="13">
        <v>2502</v>
      </c>
      <c r="C3315" s="13" t="s">
        <v>7</v>
      </c>
      <c r="D3315" s="13" t="s">
        <v>6</v>
      </c>
      <c r="E3315" s="13">
        <v>-3227</v>
      </c>
    </row>
    <row r="3316" spans="1:5">
      <c r="A3316" s="14">
        <v>43713</v>
      </c>
      <c r="B3316" s="12">
        <v>2505</v>
      </c>
      <c r="C3316" s="12" t="s">
        <v>9</v>
      </c>
      <c r="D3316" s="12" t="s">
        <v>13</v>
      </c>
      <c r="E3316" s="12">
        <v>-418</v>
      </c>
    </row>
    <row r="3317" spans="1:5">
      <c r="A3317" s="15">
        <v>43713</v>
      </c>
      <c r="B3317" s="13">
        <v>2505</v>
      </c>
      <c r="C3317" s="13" t="s">
        <v>9</v>
      </c>
      <c r="D3317" s="13" t="s">
        <v>8</v>
      </c>
      <c r="E3317" s="13">
        <v>-754</v>
      </c>
    </row>
    <row r="3318" spans="1:5">
      <c r="A3318" s="14">
        <v>43713</v>
      </c>
      <c r="B3318" s="12">
        <v>2505</v>
      </c>
      <c r="C3318" s="12" t="s">
        <v>9</v>
      </c>
      <c r="D3318" s="12" t="s">
        <v>8</v>
      </c>
      <c r="E3318" s="12">
        <v>-433</v>
      </c>
    </row>
    <row r="3319" spans="1:5">
      <c r="A3319" s="15">
        <v>43713</v>
      </c>
      <c r="B3319" s="13">
        <v>2506</v>
      </c>
      <c r="C3319" s="13" t="s">
        <v>27</v>
      </c>
      <c r="D3319" s="13" t="s">
        <v>8</v>
      </c>
      <c r="E3319" s="13">
        <v>-434</v>
      </c>
    </row>
    <row r="3320" spans="1:5">
      <c r="A3320" s="14">
        <v>43713</v>
      </c>
      <c r="B3320" s="12">
        <v>2508</v>
      </c>
      <c r="C3320" s="12" t="s">
        <v>15</v>
      </c>
      <c r="D3320" s="12" t="s">
        <v>13</v>
      </c>
      <c r="E3320" s="12">
        <v>-57378</v>
      </c>
    </row>
    <row r="3321" spans="1:5">
      <c r="A3321" s="15">
        <v>43713</v>
      </c>
      <c r="B3321" s="13">
        <v>2513</v>
      </c>
      <c r="C3321" s="13" t="s">
        <v>17</v>
      </c>
      <c r="D3321" s="13" t="s">
        <v>10</v>
      </c>
      <c r="E3321" s="13">
        <v>-828</v>
      </c>
    </row>
    <row r="3322" spans="1:5">
      <c r="A3322" s="14">
        <v>43713</v>
      </c>
      <c r="B3322" s="12">
        <v>2514</v>
      </c>
      <c r="C3322" s="12" t="s">
        <v>20</v>
      </c>
      <c r="D3322" s="12" t="s">
        <v>6</v>
      </c>
      <c r="E3322" s="12">
        <v>-1073</v>
      </c>
    </row>
    <row r="3323" spans="1:5">
      <c r="A3323" s="15">
        <v>43713</v>
      </c>
      <c r="B3323" s="13">
        <v>2503</v>
      </c>
      <c r="C3323" s="13" t="s">
        <v>22</v>
      </c>
      <c r="D3323" s="13" t="s">
        <v>19</v>
      </c>
      <c r="E3323" s="13">
        <v>-224</v>
      </c>
    </row>
    <row r="3324" spans="1:5">
      <c r="A3324" s="14">
        <v>43713</v>
      </c>
      <c r="B3324" s="12">
        <v>2501</v>
      </c>
      <c r="C3324" s="12" t="s">
        <v>5</v>
      </c>
      <c r="D3324" s="12" t="s">
        <v>19</v>
      </c>
      <c r="E3324" s="12">
        <v>-122</v>
      </c>
    </row>
    <row r="3325" spans="1:5">
      <c r="A3325" s="15">
        <v>43714</v>
      </c>
      <c r="B3325" s="13">
        <v>1500</v>
      </c>
      <c r="C3325" s="13" t="s">
        <v>26</v>
      </c>
      <c r="D3325" s="13" t="s">
        <v>19</v>
      </c>
      <c r="E3325" s="13">
        <v>-50770</v>
      </c>
    </row>
    <row r="3326" spans="1:5">
      <c r="A3326" s="14">
        <v>43714</v>
      </c>
      <c r="B3326" s="12">
        <v>1500</v>
      </c>
      <c r="C3326" s="12" t="s">
        <v>26</v>
      </c>
      <c r="D3326" s="12" t="s">
        <v>19</v>
      </c>
      <c r="E3326" s="12">
        <v>-46404</v>
      </c>
    </row>
    <row r="3327" spans="1:5">
      <c r="A3327" s="15">
        <v>43714</v>
      </c>
      <c r="B3327" s="13">
        <v>2500</v>
      </c>
      <c r="C3327" s="13" t="s">
        <v>25</v>
      </c>
      <c r="D3327" s="13" t="s">
        <v>19</v>
      </c>
      <c r="E3327" s="13">
        <v>-25354</v>
      </c>
    </row>
    <row r="3328" spans="1:5">
      <c r="A3328" s="14">
        <v>43714</v>
      </c>
      <c r="B3328" s="12">
        <v>2500</v>
      </c>
      <c r="C3328" s="12" t="s">
        <v>25</v>
      </c>
      <c r="D3328" s="12" t="s">
        <v>19</v>
      </c>
      <c r="E3328" s="12">
        <v>-17864</v>
      </c>
    </row>
    <row r="3329" spans="1:5">
      <c r="A3329" s="15">
        <v>43714</v>
      </c>
      <c r="B3329" s="13">
        <v>2512</v>
      </c>
      <c r="C3329" s="13" t="s">
        <v>16</v>
      </c>
      <c r="D3329" s="13" t="s">
        <v>19</v>
      </c>
      <c r="E3329" s="13">
        <v>-10271</v>
      </c>
    </row>
    <row r="3330" spans="1:5">
      <c r="A3330" s="14">
        <v>43714</v>
      </c>
      <c r="B3330" s="12">
        <v>2504</v>
      </c>
      <c r="C3330" s="12" t="s">
        <v>21</v>
      </c>
      <c r="D3330" s="12" t="s">
        <v>19</v>
      </c>
      <c r="E3330" s="12">
        <v>-1830</v>
      </c>
    </row>
    <row r="3331" spans="1:5">
      <c r="A3331" s="15">
        <v>43714</v>
      </c>
      <c r="B3331" s="13">
        <v>2514</v>
      </c>
      <c r="C3331" s="13" t="s">
        <v>20</v>
      </c>
      <c r="D3331" s="13" t="s">
        <v>19</v>
      </c>
      <c r="E3331" s="13">
        <v>-1028</v>
      </c>
    </row>
    <row r="3332" spans="1:5">
      <c r="A3332" s="14">
        <v>43714</v>
      </c>
      <c r="B3332" s="12">
        <v>2504</v>
      </c>
      <c r="C3332" s="12" t="s">
        <v>21</v>
      </c>
      <c r="D3332" s="12" t="s">
        <v>19</v>
      </c>
      <c r="E3332" s="12">
        <v>-1024</v>
      </c>
    </row>
    <row r="3333" spans="1:5">
      <c r="A3333" s="15">
        <v>43714</v>
      </c>
      <c r="B3333" s="13">
        <v>2513</v>
      </c>
      <c r="C3333" s="13" t="s">
        <v>17</v>
      </c>
      <c r="D3333" s="13" t="s">
        <v>19</v>
      </c>
      <c r="E3333" s="13">
        <v>-847</v>
      </c>
    </row>
    <row r="3334" spans="1:5">
      <c r="A3334" s="14">
        <v>43714</v>
      </c>
      <c r="B3334" s="12">
        <v>2501</v>
      </c>
      <c r="C3334" s="12" t="s">
        <v>5</v>
      </c>
      <c r="D3334" s="12" t="s">
        <v>8</v>
      </c>
      <c r="E3334" s="12">
        <v>-109</v>
      </c>
    </row>
    <row r="3335" spans="1:5">
      <c r="A3335" s="15">
        <v>43714</v>
      </c>
      <c r="B3335" s="13">
        <v>2502</v>
      </c>
      <c r="C3335" s="13" t="s">
        <v>7</v>
      </c>
      <c r="D3335" s="13" t="s">
        <v>12</v>
      </c>
      <c r="E3335" s="13">
        <v>-11424</v>
      </c>
    </row>
    <row r="3336" spans="1:5">
      <c r="A3336" s="14">
        <v>43714</v>
      </c>
      <c r="B3336" s="12">
        <v>2503</v>
      </c>
      <c r="C3336" s="12" t="s">
        <v>22</v>
      </c>
      <c r="D3336" s="12" t="s">
        <v>13</v>
      </c>
      <c r="E3336" s="12">
        <v>-315</v>
      </c>
    </row>
    <row r="3337" spans="1:5">
      <c r="A3337" s="15">
        <v>43714</v>
      </c>
      <c r="B3337" s="13">
        <v>2505</v>
      </c>
      <c r="C3337" s="13" t="s">
        <v>9</v>
      </c>
      <c r="D3337" s="13" t="s">
        <v>6</v>
      </c>
      <c r="E3337" s="13">
        <v>-496</v>
      </c>
    </row>
    <row r="3338" spans="1:5">
      <c r="A3338" s="14">
        <v>43714</v>
      </c>
      <c r="B3338" s="12">
        <v>2506</v>
      </c>
      <c r="C3338" s="12" t="s">
        <v>27</v>
      </c>
      <c r="D3338" s="12" t="s">
        <v>8</v>
      </c>
      <c r="E3338" s="12">
        <v>-714</v>
      </c>
    </row>
    <row r="3339" spans="1:5">
      <c r="A3339" s="15">
        <v>43714</v>
      </c>
      <c r="B3339" s="13">
        <v>2512</v>
      </c>
      <c r="C3339" s="13" t="s">
        <v>16</v>
      </c>
      <c r="D3339" s="13" t="s">
        <v>8</v>
      </c>
      <c r="E3339" s="13">
        <v>-2787</v>
      </c>
    </row>
    <row r="3340" spans="1:5">
      <c r="A3340" s="14">
        <v>43714</v>
      </c>
      <c r="B3340" s="12">
        <v>2512</v>
      </c>
      <c r="C3340" s="12" t="s">
        <v>16</v>
      </c>
      <c r="D3340" s="12" t="s">
        <v>12</v>
      </c>
      <c r="E3340" s="12">
        <v>-1058</v>
      </c>
    </row>
    <row r="3341" spans="1:5">
      <c r="A3341" s="15">
        <v>43714</v>
      </c>
      <c r="B3341" s="13">
        <v>2514</v>
      </c>
      <c r="C3341" s="13" t="s">
        <v>20</v>
      </c>
      <c r="D3341" s="13" t="s">
        <v>10</v>
      </c>
      <c r="E3341" s="13">
        <v>-1209</v>
      </c>
    </row>
    <row r="3342" spans="1:5">
      <c r="A3342" s="14">
        <v>43714</v>
      </c>
      <c r="B3342" s="12">
        <v>2510</v>
      </c>
      <c r="C3342" s="12" t="s">
        <v>24</v>
      </c>
      <c r="D3342" s="12" t="s">
        <v>6</v>
      </c>
      <c r="E3342" s="12">
        <v>-906</v>
      </c>
    </row>
    <row r="3343" spans="1:5">
      <c r="A3343" s="15">
        <v>43714</v>
      </c>
      <c r="B3343" s="13">
        <v>1000</v>
      </c>
      <c r="C3343" s="13" t="s">
        <v>23</v>
      </c>
      <c r="D3343" s="13" t="s">
        <v>19</v>
      </c>
      <c r="E3343" s="13">
        <v>682882</v>
      </c>
    </row>
    <row r="3344" spans="1:5">
      <c r="A3344" s="14">
        <v>43714</v>
      </c>
      <c r="B3344" s="12">
        <v>1000</v>
      </c>
      <c r="C3344" s="12" t="s">
        <v>23</v>
      </c>
      <c r="D3344" s="12" t="s">
        <v>19</v>
      </c>
      <c r="E3344" s="12">
        <v>733232</v>
      </c>
    </row>
    <row r="3345" spans="1:5">
      <c r="A3345" s="15">
        <v>43715</v>
      </c>
      <c r="B3345" s="13">
        <v>2508</v>
      </c>
      <c r="C3345" s="13" t="s">
        <v>15</v>
      </c>
      <c r="D3345" s="13" t="s">
        <v>19</v>
      </c>
      <c r="E3345" s="13">
        <v>-65399</v>
      </c>
    </row>
    <row r="3346" spans="1:5">
      <c r="A3346" s="14">
        <v>43715</v>
      </c>
      <c r="B3346" s="12">
        <v>2500</v>
      </c>
      <c r="C3346" s="12" t="s">
        <v>25</v>
      </c>
      <c r="D3346" s="12" t="s">
        <v>19</v>
      </c>
      <c r="E3346" s="12">
        <v>-34785</v>
      </c>
    </row>
    <row r="3347" spans="1:5">
      <c r="A3347" s="15">
        <v>43715</v>
      </c>
      <c r="B3347" s="13">
        <v>1500</v>
      </c>
      <c r="C3347" s="13" t="s">
        <v>26</v>
      </c>
      <c r="D3347" s="13" t="s">
        <v>19</v>
      </c>
      <c r="E3347" s="13">
        <v>-2220</v>
      </c>
    </row>
    <row r="3348" spans="1:5">
      <c r="A3348" s="14">
        <v>43715</v>
      </c>
      <c r="B3348" s="12">
        <v>2504</v>
      </c>
      <c r="C3348" s="12" t="s">
        <v>21</v>
      </c>
      <c r="D3348" s="12" t="s">
        <v>19</v>
      </c>
      <c r="E3348" s="12">
        <v>-1995</v>
      </c>
    </row>
    <row r="3349" spans="1:5">
      <c r="A3349" s="15">
        <v>43715</v>
      </c>
      <c r="B3349" s="13">
        <v>2504</v>
      </c>
      <c r="C3349" s="13" t="s">
        <v>21</v>
      </c>
      <c r="D3349" s="13" t="s">
        <v>19</v>
      </c>
      <c r="E3349" s="13">
        <v>-1696</v>
      </c>
    </row>
    <row r="3350" spans="1:5">
      <c r="A3350" s="14">
        <v>43715</v>
      </c>
      <c r="B3350" s="12">
        <v>2513</v>
      </c>
      <c r="C3350" s="12" t="s">
        <v>17</v>
      </c>
      <c r="D3350" s="12" t="s">
        <v>19</v>
      </c>
      <c r="E3350" s="12">
        <v>-972</v>
      </c>
    </row>
    <row r="3351" spans="1:5">
      <c r="A3351" s="15">
        <v>43715</v>
      </c>
      <c r="B3351" s="13">
        <v>2510</v>
      </c>
      <c r="C3351" s="13" t="s">
        <v>24</v>
      </c>
      <c r="D3351" s="13" t="s">
        <v>19</v>
      </c>
      <c r="E3351" s="13">
        <v>-651</v>
      </c>
    </row>
    <row r="3352" spans="1:5">
      <c r="A3352" s="14">
        <v>43715</v>
      </c>
      <c r="B3352" s="12">
        <v>2501</v>
      </c>
      <c r="C3352" s="12" t="s">
        <v>5</v>
      </c>
      <c r="D3352" s="12" t="s">
        <v>12</v>
      </c>
      <c r="E3352" s="12">
        <v>-225</v>
      </c>
    </row>
    <row r="3353" spans="1:5">
      <c r="A3353" s="15">
        <v>43715</v>
      </c>
      <c r="B3353" s="13">
        <v>2501</v>
      </c>
      <c r="C3353" s="13" t="s">
        <v>5</v>
      </c>
      <c r="D3353" s="13" t="s">
        <v>10</v>
      </c>
      <c r="E3353" s="13">
        <v>-163</v>
      </c>
    </row>
    <row r="3354" spans="1:5">
      <c r="A3354" s="14">
        <v>43715</v>
      </c>
      <c r="B3354" s="12">
        <v>2502</v>
      </c>
      <c r="C3354" s="12" t="s">
        <v>7</v>
      </c>
      <c r="D3354" s="12" t="s">
        <v>8</v>
      </c>
      <c r="E3354" s="12">
        <v>-5510</v>
      </c>
    </row>
    <row r="3355" spans="1:5">
      <c r="A3355" s="15">
        <v>43715</v>
      </c>
      <c r="B3355" s="13">
        <v>2503</v>
      </c>
      <c r="C3355" s="13" t="s">
        <v>22</v>
      </c>
      <c r="D3355" s="13" t="s">
        <v>10</v>
      </c>
      <c r="E3355" s="13">
        <v>-417</v>
      </c>
    </row>
    <row r="3356" spans="1:5">
      <c r="A3356" s="14">
        <v>43715</v>
      </c>
      <c r="B3356" s="12">
        <v>2505</v>
      </c>
      <c r="C3356" s="12" t="s">
        <v>9</v>
      </c>
      <c r="D3356" s="12" t="s">
        <v>14</v>
      </c>
      <c r="E3356" s="12">
        <v>-630</v>
      </c>
    </row>
    <row r="3357" spans="1:5">
      <c r="A3357" s="15">
        <v>43715</v>
      </c>
      <c r="B3357" s="13">
        <v>2505</v>
      </c>
      <c r="C3357" s="13" t="s">
        <v>9</v>
      </c>
      <c r="D3357" s="13" t="s">
        <v>19</v>
      </c>
      <c r="E3357" s="13">
        <v>-470</v>
      </c>
    </row>
    <row r="3358" spans="1:5">
      <c r="A3358" s="14">
        <v>43715</v>
      </c>
      <c r="B3358" s="12">
        <v>1000</v>
      </c>
      <c r="C3358" s="12" t="s">
        <v>23</v>
      </c>
      <c r="D3358" s="12" t="s">
        <v>19</v>
      </c>
      <c r="E3358" s="12">
        <v>486306</v>
      </c>
    </row>
    <row r="3359" spans="1:5">
      <c r="A3359" s="15">
        <v>43716</v>
      </c>
      <c r="B3359" s="13">
        <v>2500</v>
      </c>
      <c r="C3359" s="13" t="s">
        <v>25</v>
      </c>
      <c r="D3359" s="13" t="s">
        <v>19</v>
      </c>
      <c r="E3359" s="13">
        <v>-51365</v>
      </c>
    </row>
    <row r="3360" spans="1:5">
      <c r="A3360" s="14">
        <v>43716</v>
      </c>
      <c r="B3360" s="12">
        <v>2500</v>
      </c>
      <c r="C3360" s="12" t="s">
        <v>25</v>
      </c>
      <c r="D3360" s="12" t="s">
        <v>19</v>
      </c>
      <c r="E3360" s="12">
        <v>-37513</v>
      </c>
    </row>
    <row r="3361" spans="1:5">
      <c r="A3361" s="15">
        <v>43716</v>
      </c>
      <c r="B3361" s="13">
        <v>2500</v>
      </c>
      <c r="C3361" s="13" t="s">
        <v>25</v>
      </c>
      <c r="D3361" s="13" t="s">
        <v>19</v>
      </c>
      <c r="E3361" s="13">
        <v>-29719</v>
      </c>
    </row>
    <row r="3362" spans="1:5">
      <c r="A3362" s="14">
        <v>43716</v>
      </c>
      <c r="B3362" s="12">
        <v>2512</v>
      </c>
      <c r="C3362" s="12" t="s">
        <v>16</v>
      </c>
      <c r="D3362" s="12" t="s">
        <v>19</v>
      </c>
      <c r="E3362" s="12">
        <v>-9118</v>
      </c>
    </row>
    <row r="3363" spans="1:5">
      <c r="A3363" s="15">
        <v>43716</v>
      </c>
      <c r="B3363" s="13">
        <v>1500</v>
      </c>
      <c r="C3363" s="13" t="s">
        <v>26</v>
      </c>
      <c r="D3363" s="13" t="s">
        <v>19</v>
      </c>
      <c r="E3363" s="13">
        <v>-6025</v>
      </c>
    </row>
    <row r="3364" spans="1:5">
      <c r="A3364" s="14">
        <v>43716</v>
      </c>
      <c r="B3364" s="12">
        <v>2501</v>
      </c>
      <c r="C3364" s="12" t="s">
        <v>5</v>
      </c>
      <c r="D3364" s="12" t="s">
        <v>8</v>
      </c>
      <c r="E3364" s="12">
        <v>-91</v>
      </c>
    </row>
    <row r="3365" spans="1:5">
      <c r="A3365" s="15">
        <v>43716</v>
      </c>
      <c r="B3365" s="13">
        <v>2505</v>
      </c>
      <c r="C3365" s="13" t="s">
        <v>9</v>
      </c>
      <c r="D3365" s="13" t="s">
        <v>8</v>
      </c>
      <c r="E3365" s="13">
        <v>-689</v>
      </c>
    </row>
    <row r="3366" spans="1:5">
      <c r="A3366" s="14">
        <v>43716</v>
      </c>
      <c r="B3366" s="12">
        <v>2512</v>
      </c>
      <c r="C3366" s="12" t="s">
        <v>16</v>
      </c>
      <c r="D3366" s="12" t="s">
        <v>14</v>
      </c>
      <c r="E3366" s="12">
        <v>-4169</v>
      </c>
    </row>
    <row r="3367" spans="1:5">
      <c r="A3367" s="15">
        <v>43716</v>
      </c>
      <c r="B3367" s="13">
        <v>2513</v>
      </c>
      <c r="C3367" s="13" t="s">
        <v>17</v>
      </c>
      <c r="D3367" s="13" t="s">
        <v>13</v>
      </c>
      <c r="E3367" s="13">
        <v>-785</v>
      </c>
    </row>
    <row r="3368" spans="1:5">
      <c r="A3368" s="14">
        <v>43716</v>
      </c>
      <c r="B3368" s="12">
        <v>2513</v>
      </c>
      <c r="C3368" s="12" t="s">
        <v>17</v>
      </c>
      <c r="D3368" s="12" t="s">
        <v>6</v>
      </c>
      <c r="E3368" s="12">
        <v>-642</v>
      </c>
    </row>
    <row r="3369" spans="1:5">
      <c r="A3369" s="15">
        <v>43716</v>
      </c>
      <c r="B3369" s="13">
        <v>2514</v>
      </c>
      <c r="C3369" s="13" t="s">
        <v>20</v>
      </c>
      <c r="D3369" s="13" t="s">
        <v>13</v>
      </c>
      <c r="E3369" s="13">
        <v>-909</v>
      </c>
    </row>
    <row r="3370" spans="1:5">
      <c r="A3370" s="14">
        <v>43716</v>
      </c>
      <c r="B3370" s="12">
        <v>2514</v>
      </c>
      <c r="C3370" s="12" t="s">
        <v>20</v>
      </c>
      <c r="D3370" s="12" t="s">
        <v>12</v>
      </c>
      <c r="E3370" s="12">
        <v>-1683</v>
      </c>
    </row>
    <row r="3371" spans="1:5">
      <c r="A3371" s="15">
        <v>43717</v>
      </c>
      <c r="B3371" s="13">
        <v>2000</v>
      </c>
      <c r="C3371" s="13" t="s">
        <v>18</v>
      </c>
      <c r="D3371" s="13" t="s">
        <v>19</v>
      </c>
      <c r="E3371" s="13">
        <v>-244785</v>
      </c>
    </row>
    <row r="3372" spans="1:5">
      <c r="A3372" s="14">
        <v>43717</v>
      </c>
      <c r="B3372" s="12">
        <v>2504</v>
      </c>
      <c r="C3372" s="12" t="s">
        <v>21</v>
      </c>
      <c r="D3372" s="12" t="s">
        <v>19</v>
      </c>
      <c r="E3372" s="12">
        <v>-1804</v>
      </c>
    </row>
    <row r="3373" spans="1:5">
      <c r="A3373" s="15">
        <v>43717</v>
      </c>
      <c r="B3373" s="13">
        <v>2501</v>
      </c>
      <c r="C3373" s="13" t="s">
        <v>5</v>
      </c>
      <c r="D3373" s="13" t="s">
        <v>8</v>
      </c>
      <c r="E3373" s="13">
        <v>-98</v>
      </c>
    </row>
    <row r="3374" spans="1:5">
      <c r="A3374" s="14">
        <v>43717</v>
      </c>
      <c r="B3374" s="12">
        <v>2502</v>
      </c>
      <c r="C3374" s="12" t="s">
        <v>7</v>
      </c>
      <c r="D3374" s="12" t="s">
        <v>13</v>
      </c>
      <c r="E3374" s="12">
        <v>-2982</v>
      </c>
    </row>
    <row r="3375" spans="1:5">
      <c r="A3375" s="15">
        <v>43717</v>
      </c>
      <c r="B3375" s="13">
        <v>2505</v>
      </c>
      <c r="C3375" s="13" t="s">
        <v>9</v>
      </c>
      <c r="D3375" s="13" t="s">
        <v>14</v>
      </c>
      <c r="E3375" s="13">
        <v>-506</v>
      </c>
    </row>
    <row r="3376" spans="1:5">
      <c r="A3376" s="14">
        <v>43717</v>
      </c>
      <c r="B3376" s="12">
        <v>2505</v>
      </c>
      <c r="C3376" s="12" t="s">
        <v>9</v>
      </c>
      <c r="D3376" s="12" t="s">
        <v>14</v>
      </c>
      <c r="E3376" s="12">
        <v>-540</v>
      </c>
    </row>
    <row r="3377" spans="1:5">
      <c r="A3377" s="15">
        <v>43717</v>
      </c>
      <c r="B3377" s="13">
        <v>2505</v>
      </c>
      <c r="C3377" s="13" t="s">
        <v>9</v>
      </c>
      <c r="D3377" s="13" t="s">
        <v>13</v>
      </c>
      <c r="E3377" s="13">
        <v>-426</v>
      </c>
    </row>
    <row r="3378" spans="1:5">
      <c r="A3378" s="14">
        <v>43717</v>
      </c>
      <c r="B3378" s="12">
        <v>2512</v>
      </c>
      <c r="C3378" s="12" t="s">
        <v>16</v>
      </c>
      <c r="D3378" s="12" t="s">
        <v>13</v>
      </c>
      <c r="E3378" s="12">
        <v>-623</v>
      </c>
    </row>
    <row r="3379" spans="1:5">
      <c r="A3379" s="15">
        <v>43717</v>
      </c>
      <c r="B3379" s="13">
        <v>2512</v>
      </c>
      <c r="C3379" s="13" t="s">
        <v>16</v>
      </c>
      <c r="D3379" s="13" t="s">
        <v>6</v>
      </c>
      <c r="E3379" s="13">
        <v>-3360</v>
      </c>
    </row>
    <row r="3380" spans="1:5">
      <c r="A3380" s="14">
        <v>43717</v>
      </c>
      <c r="B3380" s="12">
        <v>2514</v>
      </c>
      <c r="C3380" s="12" t="s">
        <v>20</v>
      </c>
      <c r="D3380" s="12" t="s">
        <v>14</v>
      </c>
      <c r="E3380" s="12">
        <v>-1349</v>
      </c>
    </row>
    <row r="3381" spans="1:5">
      <c r="A3381" s="15">
        <v>43717</v>
      </c>
      <c r="B3381" s="13">
        <v>2514</v>
      </c>
      <c r="C3381" s="13" t="s">
        <v>20</v>
      </c>
      <c r="D3381" s="13" t="s">
        <v>14</v>
      </c>
      <c r="E3381" s="13">
        <v>-1494</v>
      </c>
    </row>
    <row r="3382" spans="1:5">
      <c r="A3382" s="14">
        <v>43717</v>
      </c>
      <c r="B3382" s="12">
        <v>2503</v>
      </c>
      <c r="C3382" s="12" t="s">
        <v>22</v>
      </c>
      <c r="D3382" s="12" t="s">
        <v>19</v>
      </c>
      <c r="E3382" s="12">
        <v>-326</v>
      </c>
    </row>
    <row r="3383" spans="1:5">
      <c r="A3383" s="15">
        <v>43717</v>
      </c>
      <c r="B3383" s="13">
        <v>2501</v>
      </c>
      <c r="C3383" s="13" t="s">
        <v>5</v>
      </c>
      <c r="D3383" s="13" t="s">
        <v>19</v>
      </c>
      <c r="E3383" s="13">
        <v>-123</v>
      </c>
    </row>
    <row r="3384" spans="1:5">
      <c r="A3384" s="14">
        <v>43717</v>
      </c>
      <c r="B3384" s="12">
        <v>1000</v>
      </c>
      <c r="C3384" s="12" t="s">
        <v>23</v>
      </c>
      <c r="D3384" s="12" t="s">
        <v>19</v>
      </c>
      <c r="E3384" s="12">
        <v>1101669</v>
      </c>
    </row>
    <row r="3385" spans="1:5">
      <c r="A3385" s="15">
        <v>43718</v>
      </c>
      <c r="B3385" s="13">
        <v>1500</v>
      </c>
      <c r="C3385" s="13" t="s">
        <v>26</v>
      </c>
      <c r="D3385" s="13" t="s">
        <v>19</v>
      </c>
      <c r="E3385" s="13">
        <v>-46444</v>
      </c>
    </row>
    <row r="3386" spans="1:5">
      <c r="A3386" s="14">
        <v>43718</v>
      </c>
      <c r="B3386" s="12">
        <v>2502</v>
      </c>
      <c r="C3386" s="12" t="s">
        <v>7</v>
      </c>
      <c r="D3386" s="12" t="s">
        <v>19</v>
      </c>
      <c r="E3386" s="12">
        <v>-2620</v>
      </c>
    </row>
    <row r="3387" spans="1:5">
      <c r="A3387" s="15">
        <v>43718</v>
      </c>
      <c r="B3387" s="13">
        <v>2501</v>
      </c>
      <c r="C3387" s="13" t="s">
        <v>5</v>
      </c>
      <c r="D3387" s="13" t="s">
        <v>13</v>
      </c>
      <c r="E3387" s="13">
        <v>-116</v>
      </c>
    </row>
    <row r="3388" spans="1:5">
      <c r="A3388" s="14">
        <v>43718</v>
      </c>
      <c r="B3388" s="12">
        <v>2513</v>
      </c>
      <c r="C3388" s="12" t="s">
        <v>17</v>
      </c>
      <c r="D3388" s="12" t="s">
        <v>12</v>
      </c>
      <c r="E3388" s="12">
        <v>-1876</v>
      </c>
    </row>
    <row r="3389" spans="1:5">
      <c r="A3389" s="15">
        <v>43718</v>
      </c>
      <c r="B3389" s="13">
        <v>2501</v>
      </c>
      <c r="C3389" s="13" t="s">
        <v>5</v>
      </c>
      <c r="D3389" s="13" t="s">
        <v>19</v>
      </c>
      <c r="E3389" s="13">
        <v>-99</v>
      </c>
    </row>
    <row r="3390" spans="1:5">
      <c r="A3390" s="14">
        <v>43719</v>
      </c>
      <c r="B3390" s="12">
        <v>2000</v>
      </c>
      <c r="C3390" s="12" t="s">
        <v>18</v>
      </c>
      <c r="D3390" s="12" t="s">
        <v>19</v>
      </c>
      <c r="E3390" s="12">
        <v>-297246</v>
      </c>
    </row>
    <row r="3391" spans="1:5">
      <c r="A3391" s="15">
        <v>43719</v>
      </c>
      <c r="B3391" s="13">
        <v>1500</v>
      </c>
      <c r="C3391" s="13" t="s">
        <v>26</v>
      </c>
      <c r="D3391" s="13" t="s">
        <v>19</v>
      </c>
      <c r="E3391" s="13">
        <v>-50829</v>
      </c>
    </row>
    <row r="3392" spans="1:5">
      <c r="A3392" s="14">
        <v>43719</v>
      </c>
      <c r="B3392" s="12">
        <v>2502</v>
      </c>
      <c r="C3392" s="12" t="s">
        <v>7</v>
      </c>
      <c r="D3392" s="12" t="s">
        <v>19</v>
      </c>
      <c r="E3392" s="12">
        <v>-3600</v>
      </c>
    </row>
    <row r="3393" spans="1:5">
      <c r="A3393" s="15">
        <v>43719</v>
      </c>
      <c r="B3393" s="13">
        <v>2506</v>
      </c>
      <c r="C3393" s="13" t="s">
        <v>27</v>
      </c>
      <c r="D3393" s="13" t="s">
        <v>14</v>
      </c>
      <c r="E3393" s="13">
        <v>-453</v>
      </c>
    </row>
    <row r="3394" spans="1:5">
      <c r="A3394" s="14">
        <v>43719</v>
      </c>
      <c r="B3394" s="12">
        <v>2508</v>
      </c>
      <c r="C3394" s="12" t="s">
        <v>15</v>
      </c>
      <c r="D3394" s="12" t="s">
        <v>12</v>
      </c>
      <c r="E3394" s="12">
        <v>-89651</v>
      </c>
    </row>
    <row r="3395" spans="1:5">
      <c r="A3395" s="15">
        <v>43719</v>
      </c>
      <c r="B3395" s="13">
        <v>2512</v>
      </c>
      <c r="C3395" s="13" t="s">
        <v>16</v>
      </c>
      <c r="D3395" s="13" t="s">
        <v>14</v>
      </c>
      <c r="E3395" s="13">
        <v>-4113</v>
      </c>
    </row>
    <row r="3396" spans="1:5">
      <c r="A3396" s="14">
        <v>43719</v>
      </c>
      <c r="B3396" s="12">
        <v>2513</v>
      </c>
      <c r="C3396" s="12" t="s">
        <v>17</v>
      </c>
      <c r="D3396" s="12" t="s">
        <v>13</v>
      </c>
      <c r="E3396" s="12">
        <v>-589</v>
      </c>
    </row>
    <row r="3397" spans="1:5">
      <c r="A3397" s="15">
        <v>43719</v>
      </c>
      <c r="B3397" s="13">
        <v>2513</v>
      </c>
      <c r="C3397" s="13" t="s">
        <v>17</v>
      </c>
      <c r="D3397" s="13" t="s">
        <v>13</v>
      </c>
      <c r="E3397" s="13">
        <v>-552</v>
      </c>
    </row>
    <row r="3398" spans="1:5">
      <c r="A3398" s="14">
        <v>43719</v>
      </c>
      <c r="B3398" s="12">
        <v>2514</v>
      </c>
      <c r="C3398" s="12" t="s">
        <v>20</v>
      </c>
      <c r="D3398" s="12" t="s">
        <v>12</v>
      </c>
      <c r="E3398" s="12">
        <v>-1926</v>
      </c>
    </row>
    <row r="3399" spans="1:5">
      <c r="A3399" s="15">
        <v>43719</v>
      </c>
      <c r="B3399" s="13">
        <v>2501</v>
      </c>
      <c r="C3399" s="13" t="s">
        <v>5</v>
      </c>
      <c r="D3399" s="13" t="s">
        <v>19</v>
      </c>
      <c r="E3399" s="13">
        <v>-80</v>
      </c>
    </row>
    <row r="3400" spans="1:5">
      <c r="A3400" s="14">
        <v>43720</v>
      </c>
      <c r="B3400" s="12">
        <v>2500</v>
      </c>
      <c r="C3400" s="12" t="s">
        <v>25</v>
      </c>
      <c r="D3400" s="12" t="s">
        <v>19</v>
      </c>
      <c r="E3400" s="12">
        <v>-53877</v>
      </c>
    </row>
    <row r="3401" spans="1:5">
      <c r="A3401" s="15">
        <v>43720</v>
      </c>
      <c r="B3401" s="13">
        <v>2512</v>
      </c>
      <c r="C3401" s="13" t="s">
        <v>16</v>
      </c>
      <c r="D3401" s="13" t="s">
        <v>19</v>
      </c>
      <c r="E3401" s="13">
        <v>-7825</v>
      </c>
    </row>
    <row r="3402" spans="1:5">
      <c r="A3402" s="14">
        <v>43720</v>
      </c>
      <c r="B3402" s="12">
        <v>2504</v>
      </c>
      <c r="C3402" s="12" t="s">
        <v>21</v>
      </c>
      <c r="D3402" s="12" t="s">
        <v>19</v>
      </c>
      <c r="E3402" s="12">
        <v>-1095</v>
      </c>
    </row>
    <row r="3403" spans="1:5">
      <c r="A3403" s="15">
        <v>43720</v>
      </c>
      <c r="B3403" s="13">
        <v>2513</v>
      </c>
      <c r="C3403" s="13" t="s">
        <v>17</v>
      </c>
      <c r="D3403" s="13" t="s">
        <v>19</v>
      </c>
      <c r="E3403" s="13">
        <v>-805</v>
      </c>
    </row>
    <row r="3404" spans="1:5">
      <c r="A3404" s="14">
        <v>43720</v>
      </c>
      <c r="B3404" s="12">
        <v>2502</v>
      </c>
      <c r="C3404" s="12" t="s">
        <v>7</v>
      </c>
      <c r="D3404" s="12" t="s">
        <v>6</v>
      </c>
      <c r="E3404" s="12">
        <v>-6193</v>
      </c>
    </row>
    <row r="3405" spans="1:5">
      <c r="A3405" s="15">
        <v>43720</v>
      </c>
      <c r="B3405" s="13">
        <v>2505</v>
      </c>
      <c r="C3405" s="13" t="s">
        <v>9</v>
      </c>
      <c r="D3405" s="13" t="s">
        <v>10</v>
      </c>
      <c r="E3405" s="13">
        <v>-797</v>
      </c>
    </row>
    <row r="3406" spans="1:5">
      <c r="A3406" s="14">
        <v>43720</v>
      </c>
      <c r="B3406" s="12">
        <v>2512</v>
      </c>
      <c r="C3406" s="12" t="s">
        <v>16</v>
      </c>
      <c r="D3406" s="12" t="s">
        <v>14</v>
      </c>
      <c r="E3406" s="12">
        <v>-1669</v>
      </c>
    </row>
    <row r="3407" spans="1:5">
      <c r="A3407" s="15">
        <v>43720</v>
      </c>
      <c r="B3407" s="13">
        <v>2512</v>
      </c>
      <c r="C3407" s="13" t="s">
        <v>16</v>
      </c>
      <c r="D3407" s="13" t="s">
        <v>6</v>
      </c>
      <c r="E3407" s="13">
        <v>-1869</v>
      </c>
    </row>
    <row r="3408" spans="1:5">
      <c r="A3408" s="14">
        <v>43720</v>
      </c>
      <c r="B3408" s="12">
        <v>2512</v>
      </c>
      <c r="C3408" s="12" t="s">
        <v>16</v>
      </c>
      <c r="D3408" s="12" t="s">
        <v>8</v>
      </c>
      <c r="E3408" s="12">
        <v>-4378</v>
      </c>
    </row>
    <row r="3409" spans="1:5">
      <c r="A3409" s="15">
        <v>43720</v>
      </c>
      <c r="B3409" s="13">
        <v>2513</v>
      </c>
      <c r="C3409" s="13" t="s">
        <v>17</v>
      </c>
      <c r="D3409" s="13" t="s">
        <v>8</v>
      </c>
      <c r="E3409" s="13">
        <v>-1315</v>
      </c>
    </row>
    <row r="3410" spans="1:5">
      <c r="A3410" s="14">
        <v>43720</v>
      </c>
      <c r="B3410" s="12">
        <v>2513</v>
      </c>
      <c r="C3410" s="12" t="s">
        <v>17</v>
      </c>
      <c r="D3410" s="12" t="s">
        <v>8</v>
      </c>
      <c r="E3410" s="12">
        <v>-1098</v>
      </c>
    </row>
    <row r="3411" spans="1:5">
      <c r="A3411" s="15">
        <v>43720</v>
      </c>
      <c r="B3411" s="13">
        <v>2501</v>
      </c>
      <c r="C3411" s="13" t="s">
        <v>5</v>
      </c>
      <c r="D3411" s="13" t="s">
        <v>19</v>
      </c>
      <c r="E3411" s="13">
        <v>-130</v>
      </c>
    </row>
    <row r="3412" spans="1:5">
      <c r="A3412" s="14">
        <v>43720</v>
      </c>
      <c r="B3412" s="12">
        <v>2501</v>
      </c>
      <c r="C3412" s="12" t="s">
        <v>5</v>
      </c>
      <c r="D3412" s="12" t="s">
        <v>19</v>
      </c>
      <c r="E3412" s="12">
        <v>-67</v>
      </c>
    </row>
    <row r="3413" spans="1:5">
      <c r="A3413" s="15">
        <v>43721</v>
      </c>
      <c r="B3413" s="13">
        <v>2000</v>
      </c>
      <c r="C3413" s="13" t="s">
        <v>18</v>
      </c>
      <c r="D3413" s="13" t="s">
        <v>19</v>
      </c>
      <c r="E3413" s="13">
        <v>-158794</v>
      </c>
    </row>
    <row r="3414" spans="1:5">
      <c r="A3414" s="14">
        <v>43721</v>
      </c>
      <c r="B3414" s="12">
        <v>2508</v>
      </c>
      <c r="C3414" s="12" t="s">
        <v>15</v>
      </c>
      <c r="D3414" s="12" t="s">
        <v>19</v>
      </c>
      <c r="E3414" s="12">
        <v>-46846</v>
      </c>
    </row>
    <row r="3415" spans="1:5">
      <c r="A3415" s="15">
        <v>43721</v>
      </c>
      <c r="B3415" s="13">
        <v>1500</v>
      </c>
      <c r="C3415" s="13" t="s">
        <v>26</v>
      </c>
      <c r="D3415" s="13" t="s">
        <v>19</v>
      </c>
      <c r="E3415" s="13">
        <v>-40838</v>
      </c>
    </row>
    <row r="3416" spans="1:5">
      <c r="A3416" s="14">
        <v>43721</v>
      </c>
      <c r="B3416" s="12">
        <v>1500</v>
      </c>
      <c r="C3416" s="12" t="s">
        <v>26</v>
      </c>
      <c r="D3416" s="12" t="s">
        <v>19</v>
      </c>
      <c r="E3416" s="12">
        <v>-18105</v>
      </c>
    </row>
    <row r="3417" spans="1:5">
      <c r="A3417" s="15">
        <v>43721</v>
      </c>
      <c r="B3417" s="13">
        <v>2504</v>
      </c>
      <c r="C3417" s="13" t="s">
        <v>21</v>
      </c>
      <c r="D3417" s="13" t="s">
        <v>19</v>
      </c>
      <c r="E3417" s="13">
        <v>-1865</v>
      </c>
    </row>
    <row r="3418" spans="1:5">
      <c r="A3418" s="14">
        <v>43721</v>
      </c>
      <c r="B3418" s="12">
        <v>2503</v>
      </c>
      <c r="C3418" s="12" t="s">
        <v>22</v>
      </c>
      <c r="D3418" s="12" t="s">
        <v>12</v>
      </c>
      <c r="E3418" s="12">
        <v>-490</v>
      </c>
    </row>
    <row r="3419" spans="1:5">
      <c r="A3419" s="15">
        <v>43721</v>
      </c>
      <c r="B3419" s="13">
        <v>2512</v>
      </c>
      <c r="C3419" s="13" t="s">
        <v>16</v>
      </c>
      <c r="D3419" s="13" t="s">
        <v>6</v>
      </c>
      <c r="E3419" s="13">
        <v>-1981</v>
      </c>
    </row>
    <row r="3420" spans="1:5">
      <c r="A3420" s="14">
        <v>43721</v>
      </c>
      <c r="B3420" s="12">
        <v>2512</v>
      </c>
      <c r="C3420" s="12" t="s">
        <v>16</v>
      </c>
      <c r="D3420" s="12" t="s">
        <v>13</v>
      </c>
      <c r="E3420" s="12">
        <v>-414</v>
      </c>
    </row>
    <row r="3421" spans="1:5">
      <c r="A3421" s="15">
        <v>43721</v>
      </c>
      <c r="B3421" s="13">
        <v>2513</v>
      </c>
      <c r="C3421" s="13" t="s">
        <v>17</v>
      </c>
      <c r="D3421" s="13" t="s">
        <v>13</v>
      </c>
      <c r="E3421" s="13">
        <v>-706</v>
      </c>
    </row>
    <row r="3422" spans="1:5">
      <c r="A3422" s="14">
        <v>43721</v>
      </c>
      <c r="B3422" s="12">
        <v>2514</v>
      </c>
      <c r="C3422" s="12" t="s">
        <v>20</v>
      </c>
      <c r="D3422" s="12" t="s">
        <v>14</v>
      </c>
      <c r="E3422" s="12">
        <v>-1486</v>
      </c>
    </row>
    <row r="3423" spans="1:5">
      <c r="A3423" s="15">
        <v>43721</v>
      </c>
      <c r="B3423" s="13">
        <v>2510</v>
      </c>
      <c r="C3423" s="13" t="s">
        <v>24</v>
      </c>
      <c r="D3423" s="13" t="s">
        <v>10</v>
      </c>
      <c r="E3423" s="13">
        <v>-1276</v>
      </c>
    </row>
    <row r="3424" spans="1:5">
      <c r="A3424" s="14">
        <v>43721</v>
      </c>
      <c r="B3424" s="12">
        <v>2510</v>
      </c>
      <c r="C3424" s="12" t="s">
        <v>24</v>
      </c>
      <c r="D3424" s="12" t="s">
        <v>12</v>
      </c>
      <c r="E3424" s="12">
        <v>-1661</v>
      </c>
    </row>
    <row r="3425" spans="1:5">
      <c r="A3425" s="15">
        <v>43721</v>
      </c>
      <c r="B3425" s="13">
        <v>2505</v>
      </c>
      <c r="C3425" s="13" t="s">
        <v>9</v>
      </c>
      <c r="D3425" s="13" t="s">
        <v>19</v>
      </c>
      <c r="E3425" s="13">
        <v>-547</v>
      </c>
    </row>
    <row r="3426" spans="1:5">
      <c r="A3426" s="14">
        <v>43721</v>
      </c>
      <c r="B3426" s="12">
        <v>2503</v>
      </c>
      <c r="C3426" s="12" t="s">
        <v>22</v>
      </c>
      <c r="D3426" s="12" t="s">
        <v>19</v>
      </c>
      <c r="E3426" s="12">
        <v>-286</v>
      </c>
    </row>
    <row r="3427" spans="1:5">
      <c r="A3427" s="15">
        <v>43722</v>
      </c>
      <c r="B3427" s="13">
        <v>2504</v>
      </c>
      <c r="C3427" s="13" t="s">
        <v>21</v>
      </c>
      <c r="D3427" s="13" t="s">
        <v>19</v>
      </c>
      <c r="E3427" s="13">
        <v>-2506</v>
      </c>
    </row>
    <row r="3428" spans="1:5">
      <c r="A3428" s="14">
        <v>43722</v>
      </c>
      <c r="B3428" s="12">
        <v>2501</v>
      </c>
      <c r="C3428" s="12" t="s">
        <v>5</v>
      </c>
      <c r="D3428" s="12" t="s">
        <v>8</v>
      </c>
      <c r="E3428" s="12">
        <v>-107</v>
      </c>
    </row>
    <row r="3429" spans="1:5">
      <c r="A3429" s="15">
        <v>43722</v>
      </c>
      <c r="B3429" s="13">
        <v>2502</v>
      </c>
      <c r="C3429" s="13" t="s">
        <v>7</v>
      </c>
      <c r="D3429" s="13" t="s">
        <v>10</v>
      </c>
      <c r="E3429" s="13">
        <v>-4296</v>
      </c>
    </row>
    <row r="3430" spans="1:5">
      <c r="A3430" s="14">
        <v>43722</v>
      </c>
      <c r="B3430" s="12">
        <v>2503</v>
      </c>
      <c r="C3430" s="12" t="s">
        <v>22</v>
      </c>
      <c r="D3430" s="12" t="s">
        <v>10</v>
      </c>
      <c r="E3430" s="12">
        <v>-298</v>
      </c>
    </row>
    <row r="3431" spans="1:5">
      <c r="A3431" s="15">
        <v>43722</v>
      </c>
      <c r="B3431" s="13">
        <v>2505</v>
      </c>
      <c r="C3431" s="13" t="s">
        <v>9</v>
      </c>
      <c r="D3431" s="13" t="s">
        <v>10</v>
      </c>
      <c r="E3431" s="13">
        <v>-653</v>
      </c>
    </row>
    <row r="3432" spans="1:5">
      <c r="A3432" s="14">
        <v>43722</v>
      </c>
      <c r="B3432" s="12">
        <v>2506</v>
      </c>
      <c r="C3432" s="12" t="s">
        <v>27</v>
      </c>
      <c r="D3432" s="12" t="s">
        <v>8</v>
      </c>
      <c r="E3432" s="12">
        <v>-477</v>
      </c>
    </row>
    <row r="3433" spans="1:5">
      <c r="A3433" s="15">
        <v>43722</v>
      </c>
      <c r="B3433" s="13">
        <v>2512</v>
      </c>
      <c r="C3433" s="13" t="s">
        <v>16</v>
      </c>
      <c r="D3433" s="13" t="s">
        <v>12</v>
      </c>
      <c r="E3433" s="13">
        <v>-1217</v>
      </c>
    </row>
    <row r="3434" spans="1:5">
      <c r="A3434" s="14">
        <v>43722</v>
      </c>
      <c r="B3434" s="12">
        <v>2512</v>
      </c>
      <c r="C3434" s="12" t="s">
        <v>16</v>
      </c>
      <c r="D3434" s="12" t="s">
        <v>14</v>
      </c>
      <c r="E3434" s="12">
        <v>-4121</v>
      </c>
    </row>
    <row r="3435" spans="1:5">
      <c r="A3435" s="15">
        <v>43722</v>
      </c>
      <c r="B3435" s="13">
        <v>2513</v>
      </c>
      <c r="C3435" s="13" t="s">
        <v>17</v>
      </c>
      <c r="D3435" s="13" t="s">
        <v>10</v>
      </c>
      <c r="E3435" s="13">
        <v>-849</v>
      </c>
    </row>
    <row r="3436" spans="1:5">
      <c r="A3436" s="14">
        <v>43722</v>
      </c>
      <c r="B3436" s="12">
        <v>2513</v>
      </c>
      <c r="C3436" s="12" t="s">
        <v>17</v>
      </c>
      <c r="D3436" s="12" t="s">
        <v>19</v>
      </c>
      <c r="E3436" s="12">
        <v>-371</v>
      </c>
    </row>
    <row r="3437" spans="1:5">
      <c r="A3437" s="15">
        <v>43722</v>
      </c>
      <c r="B3437" s="13">
        <v>2503</v>
      </c>
      <c r="C3437" s="13" t="s">
        <v>22</v>
      </c>
      <c r="D3437" s="13" t="s">
        <v>19</v>
      </c>
      <c r="E3437" s="13">
        <v>-303</v>
      </c>
    </row>
    <row r="3438" spans="1:5">
      <c r="A3438" s="14">
        <v>43722</v>
      </c>
      <c r="B3438" s="12">
        <v>2503</v>
      </c>
      <c r="C3438" s="12" t="s">
        <v>22</v>
      </c>
      <c r="D3438" s="12" t="s">
        <v>19</v>
      </c>
      <c r="E3438" s="12">
        <v>-254</v>
      </c>
    </row>
    <row r="3439" spans="1:5">
      <c r="A3439" s="15">
        <v>43722</v>
      </c>
      <c r="B3439" s="13">
        <v>1000</v>
      </c>
      <c r="C3439" s="13" t="s">
        <v>23</v>
      </c>
      <c r="D3439" s="13" t="s">
        <v>19</v>
      </c>
      <c r="E3439" s="13">
        <v>664485</v>
      </c>
    </row>
    <row r="3440" spans="1:5">
      <c r="A3440" s="14">
        <v>43723</v>
      </c>
      <c r="B3440" s="12">
        <v>2508</v>
      </c>
      <c r="C3440" s="12" t="s">
        <v>15</v>
      </c>
      <c r="D3440" s="12" t="s">
        <v>19</v>
      </c>
      <c r="E3440" s="12">
        <v>-55225</v>
      </c>
    </row>
    <row r="3441" spans="1:5">
      <c r="A3441" s="15">
        <v>43723</v>
      </c>
      <c r="B3441" s="13">
        <v>2500</v>
      </c>
      <c r="C3441" s="13" t="s">
        <v>25</v>
      </c>
      <c r="D3441" s="13" t="s">
        <v>19</v>
      </c>
      <c r="E3441" s="13">
        <v>-39104</v>
      </c>
    </row>
    <row r="3442" spans="1:5">
      <c r="A3442" s="14">
        <v>43723</v>
      </c>
      <c r="B3442" s="12">
        <v>2514</v>
      </c>
      <c r="C3442" s="12" t="s">
        <v>20</v>
      </c>
      <c r="D3442" s="12" t="s">
        <v>19</v>
      </c>
      <c r="E3442" s="12">
        <v>-1200</v>
      </c>
    </row>
    <row r="3443" spans="1:5">
      <c r="A3443" s="15">
        <v>43723</v>
      </c>
      <c r="B3443" s="13">
        <v>2514</v>
      </c>
      <c r="C3443" s="13" t="s">
        <v>20</v>
      </c>
      <c r="D3443" s="13" t="s">
        <v>19</v>
      </c>
      <c r="E3443" s="13">
        <v>-1015</v>
      </c>
    </row>
    <row r="3444" spans="1:5">
      <c r="A3444" s="14">
        <v>43723</v>
      </c>
      <c r="B3444" s="12">
        <v>2513</v>
      </c>
      <c r="C3444" s="12" t="s">
        <v>17</v>
      </c>
      <c r="D3444" s="12" t="s">
        <v>19</v>
      </c>
      <c r="E3444" s="12">
        <v>-662</v>
      </c>
    </row>
    <row r="3445" spans="1:5">
      <c r="A3445" s="15">
        <v>43723</v>
      </c>
      <c r="B3445" s="13">
        <v>2513</v>
      </c>
      <c r="C3445" s="13" t="s">
        <v>17</v>
      </c>
      <c r="D3445" s="13" t="s">
        <v>19</v>
      </c>
      <c r="E3445" s="13">
        <v>-637</v>
      </c>
    </row>
    <row r="3446" spans="1:5">
      <c r="A3446" s="14">
        <v>43723</v>
      </c>
      <c r="B3446" s="12">
        <v>2501</v>
      </c>
      <c r="C3446" s="12" t="s">
        <v>5</v>
      </c>
      <c r="D3446" s="12" t="s">
        <v>6</v>
      </c>
      <c r="E3446" s="12">
        <v>-127</v>
      </c>
    </row>
    <row r="3447" spans="1:5">
      <c r="A3447" s="15">
        <v>43723</v>
      </c>
      <c r="B3447" s="13">
        <v>2502</v>
      </c>
      <c r="C3447" s="13" t="s">
        <v>7</v>
      </c>
      <c r="D3447" s="13" t="s">
        <v>12</v>
      </c>
      <c r="E3447" s="13">
        <v>-7515</v>
      </c>
    </row>
    <row r="3448" spans="1:5">
      <c r="A3448" s="14">
        <v>43723</v>
      </c>
      <c r="B3448" s="12">
        <v>2502</v>
      </c>
      <c r="C3448" s="12" t="s">
        <v>7</v>
      </c>
      <c r="D3448" s="12" t="s">
        <v>6</v>
      </c>
      <c r="E3448" s="12">
        <v>-3741</v>
      </c>
    </row>
    <row r="3449" spans="1:5">
      <c r="A3449" s="15">
        <v>43723</v>
      </c>
      <c r="B3449" s="13">
        <v>2502</v>
      </c>
      <c r="C3449" s="13" t="s">
        <v>7</v>
      </c>
      <c r="D3449" s="13" t="s">
        <v>14</v>
      </c>
      <c r="E3449" s="13">
        <v>-2922</v>
      </c>
    </row>
    <row r="3450" spans="1:5">
      <c r="A3450" s="14">
        <v>43723</v>
      </c>
      <c r="B3450" s="12">
        <v>2503</v>
      </c>
      <c r="C3450" s="12" t="s">
        <v>22</v>
      </c>
      <c r="D3450" s="12" t="s">
        <v>8</v>
      </c>
      <c r="E3450" s="12">
        <v>-305</v>
      </c>
    </row>
    <row r="3451" spans="1:5">
      <c r="A3451" s="15">
        <v>43723</v>
      </c>
      <c r="B3451" s="13">
        <v>2505</v>
      </c>
      <c r="C3451" s="13" t="s">
        <v>9</v>
      </c>
      <c r="D3451" s="13" t="s">
        <v>10</v>
      </c>
      <c r="E3451" s="13">
        <v>-728</v>
      </c>
    </row>
    <row r="3452" spans="1:5">
      <c r="A3452" s="14">
        <v>43723</v>
      </c>
      <c r="B3452" s="12">
        <v>2505</v>
      </c>
      <c r="C3452" s="12" t="s">
        <v>9</v>
      </c>
      <c r="D3452" s="12" t="s">
        <v>10</v>
      </c>
      <c r="E3452" s="12">
        <v>-726</v>
      </c>
    </row>
    <row r="3453" spans="1:5">
      <c r="A3453" s="15">
        <v>43723</v>
      </c>
      <c r="B3453" s="13">
        <v>2506</v>
      </c>
      <c r="C3453" s="13" t="s">
        <v>27</v>
      </c>
      <c r="D3453" s="13" t="s">
        <v>8</v>
      </c>
      <c r="E3453" s="13">
        <v>-578</v>
      </c>
    </row>
    <row r="3454" spans="1:5">
      <c r="A3454" s="14">
        <v>43723</v>
      </c>
      <c r="B3454" s="12">
        <v>2506</v>
      </c>
      <c r="C3454" s="12" t="s">
        <v>27</v>
      </c>
      <c r="D3454" s="12" t="s">
        <v>14</v>
      </c>
      <c r="E3454" s="12">
        <v>-568</v>
      </c>
    </row>
    <row r="3455" spans="1:5">
      <c r="A3455" s="15">
        <v>43723</v>
      </c>
      <c r="B3455" s="13">
        <v>2513</v>
      </c>
      <c r="C3455" s="13" t="s">
        <v>17</v>
      </c>
      <c r="D3455" s="13" t="s">
        <v>10</v>
      </c>
      <c r="E3455" s="13">
        <v>-1190</v>
      </c>
    </row>
    <row r="3456" spans="1:5">
      <c r="A3456" s="14">
        <v>43723</v>
      </c>
      <c r="B3456" s="12">
        <v>2510</v>
      </c>
      <c r="C3456" s="12" t="s">
        <v>24</v>
      </c>
      <c r="D3456" s="12" t="s">
        <v>10</v>
      </c>
      <c r="E3456" s="12">
        <v>-822</v>
      </c>
    </row>
    <row r="3457" spans="1:5">
      <c r="A3457" s="15">
        <v>43723</v>
      </c>
      <c r="B3457" s="13">
        <v>2503</v>
      </c>
      <c r="C3457" s="13" t="s">
        <v>22</v>
      </c>
      <c r="D3457" s="13" t="s">
        <v>19</v>
      </c>
      <c r="E3457" s="13">
        <v>-307</v>
      </c>
    </row>
    <row r="3458" spans="1:5">
      <c r="A3458" s="14">
        <v>43723</v>
      </c>
      <c r="B3458" s="12">
        <v>2505</v>
      </c>
      <c r="C3458" s="12" t="s">
        <v>9</v>
      </c>
      <c r="D3458" s="12" t="s">
        <v>19</v>
      </c>
      <c r="E3458" s="12">
        <v>-286</v>
      </c>
    </row>
    <row r="3459" spans="1:5">
      <c r="A3459" s="15">
        <v>43724</v>
      </c>
      <c r="B3459" s="13">
        <v>2000</v>
      </c>
      <c r="C3459" s="13" t="s">
        <v>18</v>
      </c>
      <c r="D3459" s="13" t="s">
        <v>19</v>
      </c>
      <c r="E3459" s="13">
        <v>-244619</v>
      </c>
    </row>
    <row r="3460" spans="1:5">
      <c r="A3460" s="14">
        <v>43724</v>
      </c>
      <c r="B3460" s="12">
        <v>2500</v>
      </c>
      <c r="C3460" s="12" t="s">
        <v>25</v>
      </c>
      <c r="D3460" s="12" t="s">
        <v>19</v>
      </c>
      <c r="E3460" s="12">
        <v>-39538</v>
      </c>
    </row>
    <row r="3461" spans="1:5">
      <c r="A3461" s="15">
        <v>43724</v>
      </c>
      <c r="B3461" s="13">
        <v>1500</v>
      </c>
      <c r="C3461" s="13" t="s">
        <v>26</v>
      </c>
      <c r="D3461" s="13" t="s">
        <v>19</v>
      </c>
      <c r="E3461" s="13">
        <v>-7147</v>
      </c>
    </row>
    <row r="3462" spans="1:5">
      <c r="A3462" s="14">
        <v>43724</v>
      </c>
      <c r="B3462" s="12">
        <v>2502</v>
      </c>
      <c r="C3462" s="12" t="s">
        <v>7</v>
      </c>
      <c r="D3462" s="12" t="s">
        <v>19</v>
      </c>
      <c r="E3462" s="12">
        <v>-5516</v>
      </c>
    </row>
    <row r="3463" spans="1:5">
      <c r="A3463" s="15">
        <v>43724</v>
      </c>
      <c r="B3463" s="13">
        <v>2510</v>
      </c>
      <c r="C3463" s="13" t="s">
        <v>24</v>
      </c>
      <c r="D3463" s="13" t="s">
        <v>19</v>
      </c>
      <c r="E3463" s="13">
        <v>-1452</v>
      </c>
    </row>
    <row r="3464" spans="1:5">
      <c r="A3464" s="14">
        <v>43724</v>
      </c>
      <c r="B3464" s="12">
        <v>2510</v>
      </c>
      <c r="C3464" s="12" t="s">
        <v>24</v>
      </c>
      <c r="D3464" s="12" t="s">
        <v>19</v>
      </c>
      <c r="E3464" s="12">
        <v>-777</v>
      </c>
    </row>
    <row r="3465" spans="1:5">
      <c r="A3465" s="15">
        <v>43724</v>
      </c>
      <c r="B3465" s="13">
        <v>2503</v>
      </c>
      <c r="C3465" s="13" t="s">
        <v>22</v>
      </c>
      <c r="D3465" s="13" t="s">
        <v>6</v>
      </c>
      <c r="E3465" s="13">
        <v>-421</v>
      </c>
    </row>
    <row r="3466" spans="1:5">
      <c r="A3466" s="14">
        <v>43724</v>
      </c>
      <c r="B3466" s="12">
        <v>2505</v>
      </c>
      <c r="C3466" s="12" t="s">
        <v>9</v>
      </c>
      <c r="D3466" s="12" t="s">
        <v>10</v>
      </c>
      <c r="E3466" s="12">
        <v>-513</v>
      </c>
    </row>
    <row r="3467" spans="1:5">
      <c r="A3467" s="15">
        <v>43724</v>
      </c>
      <c r="B3467" s="13">
        <v>2505</v>
      </c>
      <c r="C3467" s="13" t="s">
        <v>9</v>
      </c>
      <c r="D3467" s="13" t="s">
        <v>13</v>
      </c>
      <c r="E3467" s="13">
        <v>-491</v>
      </c>
    </row>
    <row r="3468" spans="1:5">
      <c r="A3468" s="14">
        <v>43724</v>
      </c>
      <c r="B3468" s="12">
        <v>2506</v>
      </c>
      <c r="C3468" s="12" t="s">
        <v>27</v>
      </c>
      <c r="D3468" s="12" t="s">
        <v>8</v>
      </c>
      <c r="E3468" s="12">
        <v>-628</v>
      </c>
    </row>
    <row r="3469" spans="1:5">
      <c r="A3469" s="15">
        <v>43724</v>
      </c>
      <c r="B3469" s="13">
        <v>2512</v>
      </c>
      <c r="C3469" s="13" t="s">
        <v>16</v>
      </c>
      <c r="D3469" s="13" t="s">
        <v>14</v>
      </c>
      <c r="E3469" s="13">
        <v>-4826</v>
      </c>
    </row>
    <row r="3470" spans="1:5">
      <c r="A3470" s="14">
        <v>43724</v>
      </c>
      <c r="B3470" s="12">
        <v>2513</v>
      </c>
      <c r="C3470" s="12" t="s">
        <v>17</v>
      </c>
      <c r="D3470" s="12" t="s">
        <v>14</v>
      </c>
      <c r="E3470" s="12">
        <v>-557</v>
      </c>
    </row>
    <row r="3471" spans="1:5">
      <c r="A3471" s="15">
        <v>43724</v>
      </c>
      <c r="B3471" s="13">
        <v>2514</v>
      </c>
      <c r="C3471" s="13" t="s">
        <v>20</v>
      </c>
      <c r="D3471" s="13" t="s">
        <v>13</v>
      </c>
      <c r="E3471" s="13">
        <v>-775</v>
      </c>
    </row>
    <row r="3472" spans="1:5">
      <c r="A3472" s="14">
        <v>43724</v>
      </c>
      <c r="B3472" s="12">
        <v>2510</v>
      </c>
      <c r="C3472" s="12" t="s">
        <v>24</v>
      </c>
      <c r="D3472" s="12" t="s">
        <v>13</v>
      </c>
      <c r="E3472" s="12">
        <v>-862</v>
      </c>
    </row>
    <row r="3473" spans="1:5">
      <c r="A3473" s="15">
        <v>43724</v>
      </c>
      <c r="B3473" s="13">
        <v>2510</v>
      </c>
      <c r="C3473" s="13" t="s">
        <v>24</v>
      </c>
      <c r="D3473" s="13" t="s">
        <v>13</v>
      </c>
      <c r="E3473" s="13">
        <v>-1139</v>
      </c>
    </row>
    <row r="3474" spans="1:5">
      <c r="A3474" s="14">
        <v>43724</v>
      </c>
      <c r="B3474" s="12">
        <v>2505</v>
      </c>
      <c r="C3474" s="12" t="s">
        <v>9</v>
      </c>
      <c r="D3474" s="12" t="s">
        <v>19</v>
      </c>
      <c r="E3474" s="12">
        <v>-466</v>
      </c>
    </row>
    <row r="3475" spans="1:5">
      <c r="A3475" s="15">
        <v>43725</v>
      </c>
      <c r="B3475" s="13">
        <v>2508</v>
      </c>
      <c r="C3475" s="13" t="s">
        <v>15</v>
      </c>
      <c r="D3475" s="13" t="s">
        <v>19</v>
      </c>
      <c r="E3475" s="13">
        <v>-58798</v>
      </c>
    </row>
    <row r="3476" spans="1:5">
      <c r="A3476" s="14">
        <v>43725</v>
      </c>
      <c r="B3476" s="12">
        <v>2502</v>
      </c>
      <c r="C3476" s="12" t="s">
        <v>7</v>
      </c>
      <c r="D3476" s="12" t="s">
        <v>19</v>
      </c>
      <c r="E3476" s="12">
        <v>-2227</v>
      </c>
    </row>
    <row r="3477" spans="1:5">
      <c r="A3477" s="15">
        <v>43725</v>
      </c>
      <c r="B3477" s="13">
        <v>2514</v>
      </c>
      <c r="C3477" s="13" t="s">
        <v>20</v>
      </c>
      <c r="D3477" s="13" t="s">
        <v>19</v>
      </c>
      <c r="E3477" s="13">
        <v>-887</v>
      </c>
    </row>
    <row r="3478" spans="1:5">
      <c r="A3478" s="14">
        <v>43725</v>
      </c>
      <c r="B3478" s="12">
        <v>2513</v>
      </c>
      <c r="C3478" s="12" t="s">
        <v>17</v>
      </c>
      <c r="D3478" s="12" t="s">
        <v>19</v>
      </c>
      <c r="E3478" s="12">
        <v>-641</v>
      </c>
    </row>
    <row r="3479" spans="1:5">
      <c r="A3479" s="15">
        <v>43725</v>
      </c>
      <c r="B3479" s="13">
        <v>2501</v>
      </c>
      <c r="C3479" s="13" t="s">
        <v>5</v>
      </c>
      <c r="D3479" s="13" t="s">
        <v>14</v>
      </c>
      <c r="E3479" s="13">
        <v>-137</v>
      </c>
    </row>
    <row r="3480" spans="1:5">
      <c r="A3480" s="14">
        <v>43725</v>
      </c>
      <c r="B3480" s="12">
        <v>2502</v>
      </c>
      <c r="C3480" s="12" t="s">
        <v>7</v>
      </c>
      <c r="D3480" s="12" t="s">
        <v>13</v>
      </c>
      <c r="E3480" s="12">
        <v>-3094</v>
      </c>
    </row>
    <row r="3481" spans="1:5">
      <c r="A3481" s="15">
        <v>43725</v>
      </c>
      <c r="B3481" s="13">
        <v>2502</v>
      </c>
      <c r="C3481" s="13" t="s">
        <v>7</v>
      </c>
      <c r="D3481" s="13" t="s">
        <v>8</v>
      </c>
      <c r="E3481" s="13">
        <v>-3353</v>
      </c>
    </row>
    <row r="3482" spans="1:5">
      <c r="A3482" s="14">
        <v>43725</v>
      </c>
      <c r="B3482" s="12">
        <v>2505</v>
      </c>
      <c r="C3482" s="12" t="s">
        <v>9</v>
      </c>
      <c r="D3482" s="12" t="s">
        <v>10</v>
      </c>
      <c r="E3482" s="12">
        <v>-615</v>
      </c>
    </row>
    <row r="3483" spans="1:5">
      <c r="A3483" s="15">
        <v>43725</v>
      </c>
      <c r="B3483" s="13">
        <v>2512</v>
      </c>
      <c r="C3483" s="13" t="s">
        <v>16</v>
      </c>
      <c r="D3483" s="13" t="s">
        <v>10</v>
      </c>
      <c r="E3483" s="13">
        <v>-1872</v>
      </c>
    </row>
    <row r="3484" spans="1:5">
      <c r="A3484" s="14">
        <v>43725</v>
      </c>
      <c r="B3484" s="12">
        <v>2514</v>
      </c>
      <c r="C3484" s="12" t="s">
        <v>20</v>
      </c>
      <c r="D3484" s="12" t="s">
        <v>13</v>
      </c>
      <c r="E3484" s="12">
        <v>-874</v>
      </c>
    </row>
    <row r="3485" spans="1:5">
      <c r="A3485" s="15">
        <v>43726</v>
      </c>
      <c r="B3485" s="13">
        <v>2500</v>
      </c>
      <c r="C3485" s="13" t="s">
        <v>25</v>
      </c>
      <c r="D3485" s="13" t="s">
        <v>19</v>
      </c>
      <c r="E3485" s="13">
        <v>-33272</v>
      </c>
    </row>
    <row r="3486" spans="1:5">
      <c r="A3486" s="14">
        <v>43726</v>
      </c>
      <c r="B3486" s="12">
        <v>2500</v>
      </c>
      <c r="C3486" s="12" t="s">
        <v>25</v>
      </c>
      <c r="D3486" s="12" t="s">
        <v>19</v>
      </c>
      <c r="E3486" s="12">
        <v>-29877</v>
      </c>
    </row>
    <row r="3487" spans="1:5">
      <c r="A3487" s="15">
        <v>43726</v>
      </c>
      <c r="B3487" s="13">
        <v>2512</v>
      </c>
      <c r="C3487" s="13" t="s">
        <v>16</v>
      </c>
      <c r="D3487" s="13" t="s">
        <v>19</v>
      </c>
      <c r="E3487" s="13">
        <v>-9086</v>
      </c>
    </row>
    <row r="3488" spans="1:5">
      <c r="A3488" s="14">
        <v>43726</v>
      </c>
      <c r="B3488" s="12">
        <v>2512</v>
      </c>
      <c r="C3488" s="12" t="s">
        <v>16</v>
      </c>
      <c r="D3488" s="12" t="s">
        <v>19</v>
      </c>
      <c r="E3488" s="12">
        <v>-7913</v>
      </c>
    </row>
    <row r="3489" spans="1:5">
      <c r="A3489" s="15">
        <v>43726</v>
      </c>
      <c r="B3489" s="13">
        <v>2502</v>
      </c>
      <c r="C3489" s="13" t="s">
        <v>7</v>
      </c>
      <c r="D3489" s="13" t="s">
        <v>19</v>
      </c>
      <c r="E3489" s="13">
        <v>-6107</v>
      </c>
    </row>
    <row r="3490" spans="1:5">
      <c r="A3490" s="14">
        <v>43726</v>
      </c>
      <c r="B3490" s="12">
        <v>2510</v>
      </c>
      <c r="C3490" s="12" t="s">
        <v>24</v>
      </c>
      <c r="D3490" s="12" t="s">
        <v>19</v>
      </c>
      <c r="E3490" s="12">
        <v>-1320</v>
      </c>
    </row>
    <row r="3491" spans="1:5">
      <c r="A3491" s="15">
        <v>43726</v>
      </c>
      <c r="B3491" s="13">
        <v>2504</v>
      </c>
      <c r="C3491" s="13" t="s">
        <v>21</v>
      </c>
      <c r="D3491" s="13" t="s">
        <v>19</v>
      </c>
      <c r="E3491" s="13">
        <v>-1239</v>
      </c>
    </row>
    <row r="3492" spans="1:5">
      <c r="A3492" s="14">
        <v>43726</v>
      </c>
      <c r="B3492" s="12">
        <v>2514</v>
      </c>
      <c r="C3492" s="12" t="s">
        <v>20</v>
      </c>
      <c r="D3492" s="12" t="s">
        <v>19</v>
      </c>
      <c r="E3492" s="12">
        <v>-1182</v>
      </c>
    </row>
    <row r="3493" spans="1:5">
      <c r="A3493" s="15">
        <v>43726</v>
      </c>
      <c r="B3493" s="13">
        <v>2501</v>
      </c>
      <c r="C3493" s="13" t="s">
        <v>5</v>
      </c>
      <c r="D3493" s="13" t="s">
        <v>8</v>
      </c>
      <c r="E3493" s="13">
        <v>-116</v>
      </c>
    </row>
    <row r="3494" spans="1:5">
      <c r="A3494" s="14">
        <v>43726</v>
      </c>
      <c r="B3494" s="12">
        <v>2502</v>
      </c>
      <c r="C3494" s="12" t="s">
        <v>7</v>
      </c>
      <c r="D3494" s="12" t="s">
        <v>10</v>
      </c>
      <c r="E3494" s="12">
        <v>-4102</v>
      </c>
    </row>
    <row r="3495" spans="1:5">
      <c r="A3495" s="15">
        <v>43726</v>
      </c>
      <c r="B3495" s="13">
        <v>2503</v>
      </c>
      <c r="C3495" s="13" t="s">
        <v>22</v>
      </c>
      <c r="D3495" s="13" t="s">
        <v>10</v>
      </c>
      <c r="E3495" s="13">
        <v>-422</v>
      </c>
    </row>
    <row r="3496" spans="1:5">
      <c r="A3496" s="14">
        <v>43726</v>
      </c>
      <c r="B3496" s="12">
        <v>2512</v>
      </c>
      <c r="C3496" s="12" t="s">
        <v>16</v>
      </c>
      <c r="D3496" s="12" t="s">
        <v>13</v>
      </c>
      <c r="E3496" s="12">
        <v>-413</v>
      </c>
    </row>
    <row r="3497" spans="1:5">
      <c r="A3497" s="15">
        <v>43726</v>
      </c>
      <c r="B3497" s="13">
        <v>2512</v>
      </c>
      <c r="C3497" s="13" t="s">
        <v>16</v>
      </c>
      <c r="D3497" s="13" t="s">
        <v>14</v>
      </c>
      <c r="E3497" s="13">
        <v>-2787</v>
      </c>
    </row>
    <row r="3498" spans="1:5">
      <c r="A3498" s="14">
        <v>43726</v>
      </c>
      <c r="B3498" s="12">
        <v>2514</v>
      </c>
      <c r="C3498" s="12" t="s">
        <v>20</v>
      </c>
      <c r="D3498" s="12" t="s">
        <v>8</v>
      </c>
      <c r="E3498" s="12">
        <v>-1298</v>
      </c>
    </row>
    <row r="3499" spans="1:5">
      <c r="A3499" s="15">
        <v>43726</v>
      </c>
      <c r="B3499" s="13">
        <v>2514</v>
      </c>
      <c r="C3499" s="13" t="s">
        <v>20</v>
      </c>
      <c r="D3499" s="13" t="s">
        <v>12</v>
      </c>
      <c r="E3499" s="13">
        <v>-1903</v>
      </c>
    </row>
    <row r="3500" spans="1:5">
      <c r="A3500" s="14">
        <v>43726</v>
      </c>
      <c r="B3500" s="12">
        <v>2510</v>
      </c>
      <c r="C3500" s="12" t="s">
        <v>24</v>
      </c>
      <c r="D3500" s="12" t="s">
        <v>6</v>
      </c>
      <c r="E3500" s="12">
        <v>-1211</v>
      </c>
    </row>
    <row r="3501" spans="1:5">
      <c r="A3501" s="15">
        <v>43726</v>
      </c>
      <c r="B3501" s="13">
        <v>2510</v>
      </c>
      <c r="C3501" s="13" t="s">
        <v>24</v>
      </c>
      <c r="D3501" s="13" t="s">
        <v>6</v>
      </c>
      <c r="E3501" s="13">
        <v>-1504</v>
      </c>
    </row>
    <row r="3502" spans="1:5">
      <c r="A3502" s="14">
        <v>43726</v>
      </c>
      <c r="B3502" s="12">
        <v>2505</v>
      </c>
      <c r="C3502" s="12" t="s">
        <v>9</v>
      </c>
      <c r="D3502" s="12" t="s">
        <v>19</v>
      </c>
      <c r="E3502" s="12">
        <v>-335</v>
      </c>
    </row>
    <row r="3503" spans="1:5">
      <c r="A3503" s="15">
        <v>43726</v>
      </c>
      <c r="B3503" s="13">
        <v>1000</v>
      </c>
      <c r="C3503" s="13" t="s">
        <v>23</v>
      </c>
      <c r="D3503" s="13" t="s">
        <v>19</v>
      </c>
      <c r="E3503" s="13">
        <v>691452</v>
      </c>
    </row>
    <row r="3504" spans="1:5">
      <c r="A3504" s="14">
        <v>43727</v>
      </c>
      <c r="B3504" s="12">
        <v>2508</v>
      </c>
      <c r="C3504" s="12" t="s">
        <v>15</v>
      </c>
      <c r="D3504" s="12" t="s">
        <v>19</v>
      </c>
      <c r="E3504" s="12">
        <v>-49637</v>
      </c>
    </row>
    <row r="3505" spans="1:5">
      <c r="A3505" s="15">
        <v>43727</v>
      </c>
      <c r="B3505" s="13">
        <v>2500</v>
      </c>
      <c r="C3505" s="13" t="s">
        <v>25</v>
      </c>
      <c r="D3505" s="13" t="s">
        <v>19</v>
      </c>
      <c r="E3505" s="13">
        <v>-47554</v>
      </c>
    </row>
    <row r="3506" spans="1:5">
      <c r="A3506" s="14">
        <v>43727</v>
      </c>
      <c r="B3506" s="12">
        <v>2500</v>
      </c>
      <c r="C3506" s="12" t="s">
        <v>25</v>
      </c>
      <c r="D3506" s="12" t="s">
        <v>19</v>
      </c>
      <c r="E3506" s="12">
        <v>-21120</v>
      </c>
    </row>
    <row r="3507" spans="1:5">
      <c r="A3507" s="15">
        <v>43727</v>
      </c>
      <c r="B3507" s="13">
        <v>2504</v>
      </c>
      <c r="C3507" s="13" t="s">
        <v>21</v>
      </c>
      <c r="D3507" s="13" t="s">
        <v>19</v>
      </c>
      <c r="E3507" s="13">
        <v>-913</v>
      </c>
    </row>
    <row r="3508" spans="1:5">
      <c r="A3508" s="14">
        <v>43727</v>
      </c>
      <c r="B3508" s="12">
        <v>2503</v>
      </c>
      <c r="C3508" s="12" t="s">
        <v>22</v>
      </c>
      <c r="D3508" s="12" t="s">
        <v>12</v>
      </c>
      <c r="E3508" s="12">
        <v>-514</v>
      </c>
    </row>
    <row r="3509" spans="1:5">
      <c r="A3509" s="15">
        <v>43727</v>
      </c>
      <c r="B3509" s="13">
        <v>2503</v>
      </c>
      <c r="C3509" s="13" t="s">
        <v>22</v>
      </c>
      <c r="D3509" s="13" t="s">
        <v>13</v>
      </c>
      <c r="E3509" s="13">
        <v>-273</v>
      </c>
    </row>
    <row r="3510" spans="1:5">
      <c r="A3510" s="14">
        <v>43727</v>
      </c>
      <c r="B3510" s="12">
        <v>2513</v>
      </c>
      <c r="C3510" s="12" t="s">
        <v>17</v>
      </c>
      <c r="D3510" s="12" t="s">
        <v>8</v>
      </c>
      <c r="E3510" s="12">
        <v>-859</v>
      </c>
    </row>
    <row r="3511" spans="1:5">
      <c r="A3511" s="15">
        <v>43727</v>
      </c>
      <c r="B3511" s="13">
        <v>2503</v>
      </c>
      <c r="C3511" s="13" t="s">
        <v>22</v>
      </c>
      <c r="D3511" s="13" t="s">
        <v>19</v>
      </c>
      <c r="E3511" s="13">
        <v>-216</v>
      </c>
    </row>
    <row r="3512" spans="1:5">
      <c r="A3512" s="14">
        <v>43727</v>
      </c>
      <c r="B3512" s="12">
        <v>1000</v>
      </c>
      <c r="C3512" s="12" t="s">
        <v>23</v>
      </c>
      <c r="D3512" s="12" t="s">
        <v>19</v>
      </c>
      <c r="E3512" s="12">
        <v>1003439</v>
      </c>
    </row>
    <row r="3513" spans="1:5">
      <c r="A3513" s="15">
        <v>43728</v>
      </c>
      <c r="B3513" s="13">
        <v>2500</v>
      </c>
      <c r="C3513" s="13" t="s">
        <v>25</v>
      </c>
      <c r="D3513" s="13" t="s">
        <v>19</v>
      </c>
      <c r="E3513" s="13">
        <v>-54681</v>
      </c>
    </row>
    <row r="3514" spans="1:5">
      <c r="A3514" s="14">
        <v>43728</v>
      </c>
      <c r="B3514" s="12">
        <v>2508</v>
      </c>
      <c r="C3514" s="12" t="s">
        <v>15</v>
      </c>
      <c r="D3514" s="12" t="s">
        <v>19</v>
      </c>
      <c r="E3514" s="12">
        <v>-46357</v>
      </c>
    </row>
    <row r="3515" spans="1:5">
      <c r="A3515" s="15">
        <v>43728</v>
      </c>
      <c r="B3515" s="13">
        <v>1500</v>
      </c>
      <c r="C3515" s="13" t="s">
        <v>26</v>
      </c>
      <c r="D3515" s="13" t="s">
        <v>19</v>
      </c>
      <c r="E3515" s="13">
        <v>-7546</v>
      </c>
    </row>
    <row r="3516" spans="1:5">
      <c r="A3516" s="14">
        <v>43728</v>
      </c>
      <c r="B3516" s="12">
        <v>2512</v>
      </c>
      <c r="C3516" s="12" t="s">
        <v>16</v>
      </c>
      <c r="D3516" s="12" t="s">
        <v>19</v>
      </c>
      <c r="E3516" s="12">
        <v>-7006</v>
      </c>
    </row>
    <row r="3517" spans="1:5">
      <c r="A3517" s="15">
        <v>43728</v>
      </c>
      <c r="B3517" s="13">
        <v>2504</v>
      </c>
      <c r="C3517" s="13" t="s">
        <v>21</v>
      </c>
      <c r="D3517" s="13" t="s">
        <v>19</v>
      </c>
      <c r="E3517" s="13">
        <v>-1857</v>
      </c>
    </row>
    <row r="3518" spans="1:5">
      <c r="A3518" s="14">
        <v>43728</v>
      </c>
      <c r="B3518" s="12">
        <v>2504</v>
      </c>
      <c r="C3518" s="12" t="s">
        <v>21</v>
      </c>
      <c r="D3518" s="12" t="s">
        <v>19</v>
      </c>
      <c r="E3518" s="12">
        <v>-1313</v>
      </c>
    </row>
    <row r="3519" spans="1:5">
      <c r="A3519" s="15">
        <v>43728</v>
      </c>
      <c r="B3519" s="13">
        <v>2506</v>
      </c>
      <c r="C3519" s="13" t="s">
        <v>27</v>
      </c>
      <c r="D3519" s="13" t="s">
        <v>8</v>
      </c>
      <c r="E3519" s="13">
        <v>-423</v>
      </c>
    </row>
    <row r="3520" spans="1:5">
      <c r="A3520" s="14">
        <v>43728</v>
      </c>
      <c r="B3520" s="12">
        <v>2512</v>
      </c>
      <c r="C3520" s="12" t="s">
        <v>16</v>
      </c>
      <c r="D3520" s="12" t="s">
        <v>10</v>
      </c>
      <c r="E3520" s="12">
        <v>-3489</v>
      </c>
    </row>
    <row r="3521" spans="1:5">
      <c r="A3521" s="15">
        <v>43728</v>
      </c>
      <c r="B3521" s="13">
        <v>2513</v>
      </c>
      <c r="C3521" s="13" t="s">
        <v>17</v>
      </c>
      <c r="D3521" s="13" t="s">
        <v>14</v>
      </c>
      <c r="E3521" s="13">
        <v>-1115</v>
      </c>
    </row>
    <row r="3522" spans="1:5">
      <c r="A3522" s="14">
        <v>43728</v>
      </c>
      <c r="B3522" s="12">
        <v>2513</v>
      </c>
      <c r="C3522" s="12" t="s">
        <v>17</v>
      </c>
      <c r="D3522" s="12" t="s">
        <v>10</v>
      </c>
      <c r="E3522" s="12">
        <v>-1209</v>
      </c>
    </row>
    <row r="3523" spans="1:5">
      <c r="A3523" s="15">
        <v>43728</v>
      </c>
      <c r="B3523" s="13">
        <v>2514</v>
      </c>
      <c r="C3523" s="13" t="s">
        <v>20</v>
      </c>
      <c r="D3523" s="13" t="s">
        <v>6</v>
      </c>
      <c r="E3523" s="13">
        <v>-1496</v>
      </c>
    </row>
    <row r="3524" spans="1:5">
      <c r="A3524" s="14">
        <v>43728</v>
      </c>
      <c r="B3524" s="12">
        <v>2514</v>
      </c>
      <c r="C3524" s="12" t="s">
        <v>20</v>
      </c>
      <c r="D3524" s="12" t="s">
        <v>13</v>
      </c>
      <c r="E3524" s="12">
        <v>-1098</v>
      </c>
    </row>
    <row r="3525" spans="1:5">
      <c r="A3525" s="15">
        <v>43728</v>
      </c>
      <c r="B3525" s="13">
        <v>2510</v>
      </c>
      <c r="C3525" s="13" t="s">
        <v>24</v>
      </c>
      <c r="D3525" s="13" t="s">
        <v>10</v>
      </c>
      <c r="E3525" s="13">
        <v>-1014</v>
      </c>
    </row>
    <row r="3526" spans="1:5">
      <c r="A3526" s="14">
        <v>43728</v>
      </c>
      <c r="B3526" s="12">
        <v>2505</v>
      </c>
      <c r="C3526" s="12" t="s">
        <v>9</v>
      </c>
      <c r="D3526" s="12" t="s">
        <v>19</v>
      </c>
      <c r="E3526" s="12">
        <v>-310</v>
      </c>
    </row>
    <row r="3527" spans="1:5">
      <c r="A3527" s="15">
        <v>43728</v>
      </c>
      <c r="B3527" s="13">
        <v>2503</v>
      </c>
      <c r="C3527" s="13" t="s">
        <v>22</v>
      </c>
      <c r="D3527" s="13" t="s">
        <v>19</v>
      </c>
      <c r="E3527" s="13">
        <v>-266</v>
      </c>
    </row>
    <row r="3528" spans="1:5">
      <c r="A3528" s="14">
        <v>43728</v>
      </c>
      <c r="B3528" s="12">
        <v>2501</v>
      </c>
      <c r="C3528" s="12" t="s">
        <v>5</v>
      </c>
      <c r="D3528" s="12" t="s">
        <v>19</v>
      </c>
      <c r="E3528" s="12">
        <v>-129</v>
      </c>
    </row>
    <row r="3529" spans="1:5">
      <c r="A3529" s="15">
        <v>43729</v>
      </c>
      <c r="B3529" s="13">
        <v>2500</v>
      </c>
      <c r="C3529" s="13" t="s">
        <v>25</v>
      </c>
      <c r="D3529" s="13" t="s">
        <v>19</v>
      </c>
      <c r="E3529" s="13">
        <v>-37928</v>
      </c>
    </row>
    <row r="3530" spans="1:5">
      <c r="A3530" s="14">
        <v>43729</v>
      </c>
      <c r="B3530" s="12">
        <v>2500</v>
      </c>
      <c r="C3530" s="12" t="s">
        <v>25</v>
      </c>
      <c r="D3530" s="12" t="s">
        <v>19</v>
      </c>
      <c r="E3530" s="12">
        <v>-35929</v>
      </c>
    </row>
    <row r="3531" spans="1:5">
      <c r="A3531" s="15">
        <v>43729</v>
      </c>
      <c r="B3531" s="13">
        <v>2504</v>
      </c>
      <c r="C3531" s="13" t="s">
        <v>21</v>
      </c>
      <c r="D3531" s="13" t="s">
        <v>19</v>
      </c>
      <c r="E3531" s="13">
        <v>-1858</v>
      </c>
    </row>
    <row r="3532" spans="1:5">
      <c r="A3532" s="14">
        <v>43729</v>
      </c>
      <c r="B3532" s="12">
        <v>2513</v>
      </c>
      <c r="C3532" s="12" t="s">
        <v>17</v>
      </c>
      <c r="D3532" s="12" t="s">
        <v>19</v>
      </c>
      <c r="E3532" s="12">
        <v>-939</v>
      </c>
    </row>
    <row r="3533" spans="1:5">
      <c r="A3533" s="15">
        <v>43729</v>
      </c>
      <c r="B3533" s="13">
        <v>2501</v>
      </c>
      <c r="C3533" s="13" t="s">
        <v>5</v>
      </c>
      <c r="D3533" s="13" t="s">
        <v>14</v>
      </c>
      <c r="E3533" s="13">
        <v>-123</v>
      </c>
    </row>
    <row r="3534" spans="1:5">
      <c r="A3534" s="14">
        <v>43729</v>
      </c>
      <c r="B3534" s="12">
        <v>2503</v>
      </c>
      <c r="C3534" s="12" t="s">
        <v>22</v>
      </c>
      <c r="D3534" s="12" t="s">
        <v>8</v>
      </c>
      <c r="E3534" s="12">
        <v>-384</v>
      </c>
    </row>
    <row r="3535" spans="1:5">
      <c r="A3535" s="15">
        <v>43729</v>
      </c>
      <c r="B3535" s="13">
        <v>2508</v>
      </c>
      <c r="C3535" s="13" t="s">
        <v>15</v>
      </c>
      <c r="D3535" s="13" t="s">
        <v>14</v>
      </c>
      <c r="E3535" s="13">
        <v>-60383</v>
      </c>
    </row>
    <row r="3536" spans="1:5">
      <c r="A3536" s="14">
        <v>43729</v>
      </c>
      <c r="B3536" s="12">
        <v>2512</v>
      </c>
      <c r="C3536" s="12" t="s">
        <v>16</v>
      </c>
      <c r="D3536" s="12" t="s">
        <v>6</v>
      </c>
      <c r="E3536" s="12">
        <v>-2444</v>
      </c>
    </row>
    <row r="3537" spans="1:5">
      <c r="A3537" s="15">
        <v>43729</v>
      </c>
      <c r="B3537" s="13">
        <v>2514</v>
      </c>
      <c r="C3537" s="13" t="s">
        <v>20</v>
      </c>
      <c r="D3537" s="13" t="s">
        <v>10</v>
      </c>
      <c r="E3537" s="13">
        <v>-1050</v>
      </c>
    </row>
    <row r="3538" spans="1:5">
      <c r="A3538" s="14">
        <v>43729</v>
      </c>
      <c r="B3538" s="12">
        <v>2505</v>
      </c>
      <c r="C3538" s="12" t="s">
        <v>9</v>
      </c>
      <c r="D3538" s="12" t="s">
        <v>19</v>
      </c>
      <c r="E3538" s="12">
        <v>-425</v>
      </c>
    </row>
    <row r="3539" spans="1:5">
      <c r="A3539" s="15">
        <v>43729</v>
      </c>
      <c r="B3539" s="13">
        <v>2501</v>
      </c>
      <c r="C3539" s="13" t="s">
        <v>5</v>
      </c>
      <c r="D3539" s="13" t="s">
        <v>19</v>
      </c>
      <c r="E3539" s="13">
        <v>-138</v>
      </c>
    </row>
    <row r="3540" spans="1:5">
      <c r="A3540" s="14">
        <v>43729</v>
      </c>
      <c r="B3540" s="12">
        <v>2501</v>
      </c>
      <c r="C3540" s="12" t="s">
        <v>5</v>
      </c>
      <c r="D3540" s="12" t="s">
        <v>19</v>
      </c>
      <c r="E3540" s="12">
        <v>-93</v>
      </c>
    </row>
    <row r="3541" spans="1:5">
      <c r="A3541" s="15">
        <v>43729</v>
      </c>
      <c r="B3541" s="13">
        <v>1000</v>
      </c>
      <c r="C3541" s="13" t="s">
        <v>23</v>
      </c>
      <c r="D3541" s="13" t="s">
        <v>19</v>
      </c>
      <c r="E3541" s="13">
        <v>1229012</v>
      </c>
    </row>
    <row r="3542" spans="1:5">
      <c r="A3542" s="14">
        <v>43730</v>
      </c>
      <c r="B3542" s="12">
        <v>2508</v>
      </c>
      <c r="C3542" s="12" t="s">
        <v>15</v>
      </c>
      <c r="D3542" s="12" t="s">
        <v>19</v>
      </c>
      <c r="E3542" s="12">
        <v>-64056</v>
      </c>
    </row>
    <row r="3543" spans="1:5">
      <c r="A3543" s="15">
        <v>43730</v>
      </c>
      <c r="B3543" s="13">
        <v>1500</v>
      </c>
      <c r="C3543" s="13" t="s">
        <v>26</v>
      </c>
      <c r="D3543" s="13" t="s">
        <v>19</v>
      </c>
      <c r="E3543" s="13">
        <v>-44323</v>
      </c>
    </row>
    <row r="3544" spans="1:5">
      <c r="A3544" s="14">
        <v>43730</v>
      </c>
      <c r="B3544" s="12">
        <v>2500</v>
      </c>
      <c r="C3544" s="12" t="s">
        <v>25</v>
      </c>
      <c r="D3544" s="12" t="s">
        <v>19</v>
      </c>
      <c r="E3544" s="12">
        <v>-20471</v>
      </c>
    </row>
    <row r="3545" spans="1:5">
      <c r="A3545" s="15">
        <v>43730</v>
      </c>
      <c r="B3545" s="13">
        <v>2502</v>
      </c>
      <c r="C3545" s="13" t="s">
        <v>7</v>
      </c>
      <c r="D3545" s="13" t="s">
        <v>19</v>
      </c>
      <c r="E3545" s="13">
        <v>-3621</v>
      </c>
    </row>
    <row r="3546" spans="1:5">
      <c r="A3546" s="14">
        <v>43730</v>
      </c>
      <c r="B3546" s="12">
        <v>2514</v>
      </c>
      <c r="C3546" s="12" t="s">
        <v>20</v>
      </c>
      <c r="D3546" s="12" t="s">
        <v>19</v>
      </c>
      <c r="E3546" s="12">
        <v>-1100</v>
      </c>
    </row>
    <row r="3547" spans="1:5">
      <c r="A3547" s="15">
        <v>43730</v>
      </c>
      <c r="B3547" s="13">
        <v>2501</v>
      </c>
      <c r="C3547" s="13" t="s">
        <v>5</v>
      </c>
      <c r="D3547" s="13" t="s">
        <v>13</v>
      </c>
      <c r="E3547" s="13">
        <v>-68</v>
      </c>
    </row>
    <row r="3548" spans="1:5">
      <c r="A3548" s="14">
        <v>43730</v>
      </c>
      <c r="B3548" s="12">
        <v>2501</v>
      </c>
      <c r="C3548" s="12" t="s">
        <v>5</v>
      </c>
      <c r="D3548" s="12" t="s">
        <v>8</v>
      </c>
      <c r="E3548" s="12">
        <v>-115</v>
      </c>
    </row>
    <row r="3549" spans="1:5">
      <c r="A3549" s="15">
        <v>43730</v>
      </c>
      <c r="B3549" s="13">
        <v>2502</v>
      </c>
      <c r="C3549" s="13" t="s">
        <v>7</v>
      </c>
      <c r="D3549" s="13" t="s">
        <v>12</v>
      </c>
      <c r="E3549" s="13">
        <v>-8243</v>
      </c>
    </row>
    <row r="3550" spans="1:5">
      <c r="A3550" s="14">
        <v>43730</v>
      </c>
      <c r="B3550" s="12">
        <v>2502</v>
      </c>
      <c r="C3550" s="12" t="s">
        <v>7</v>
      </c>
      <c r="D3550" s="12" t="s">
        <v>6</v>
      </c>
      <c r="E3550" s="12">
        <v>-5621</v>
      </c>
    </row>
    <row r="3551" spans="1:5">
      <c r="A3551" s="15">
        <v>43730</v>
      </c>
      <c r="B3551" s="13">
        <v>2506</v>
      </c>
      <c r="C3551" s="13" t="s">
        <v>27</v>
      </c>
      <c r="D3551" s="13" t="s">
        <v>8</v>
      </c>
      <c r="E3551" s="13">
        <v>-585</v>
      </c>
    </row>
    <row r="3552" spans="1:5">
      <c r="A3552" s="14">
        <v>43730</v>
      </c>
      <c r="B3552" s="12">
        <v>2508</v>
      </c>
      <c r="C3552" s="12" t="s">
        <v>15</v>
      </c>
      <c r="D3552" s="12" t="s">
        <v>13</v>
      </c>
      <c r="E3552" s="12">
        <v>-56380</v>
      </c>
    </row>
    <row r="3553" spans="1:5">
      <c r="A3553" s="15">
        <v>43730</v>
      </c>
      <c r="B3553" s="13">
        <v>2508</v>
      </c>
      <c r="C3553" s="13" t="s">
        <v>15</v>
      </c>
      <c r="D3553" s="13" t="s">
        <v>8</v>
      </c>
      <c r="E3553" s="13">
        <v>-69413</v>
      </c>
    </row>
    <row r="3554" spans="1:5">
      <c r="A3554" s="14">
        <v>43730</v>
      </c>
      <c r="B3554" s="12">
        <v>2512</v>
      </c>
      <c r="C3554" s="12" t="s">
        <v>16</v>
      </c>
      <c r="D3554" s="12" t="s">
        <v>13</v>
      </c>
      <c r="E3554" s="12">
        <v>-580</v>
      </c>
    </row>
    <row r="3555" spans="1:5">
      <c r="A3555" s="15">
        <v>43730</v>
      </c>
      <c r="B3555" s="13">
        <v>2512</v>
      </c>
      <c r="C3555" s="13" t="s">
        <v>16</v>
      </c>
      <c r="D3555" s="13" t="s">
        <v>12</v>
      </c>
      <c r="E3555" s="13">
        <v>-1049</v>
      </c>
    </row>
    <row r="3556" spans="1:5">
      <c r="A3556" s="14">
        <v>43730</v>
      </c>
      <c r="B3556" s="12">
        <v>2514</v>
      </c>
      <c r="C3556" s="12" t="s">
        <v>20</v>
      </c>
      <c r="D3556" s="12" t="s">
        <v>6</v>
      </c>
      <c r="E3556" s="12">
        <v>-1319</v>
      </c>
    </row>
    <row r="3557" spans="1:5">
      <c r="A3557" s="15">
        <v>43730</v>
      </c>
      <c r="B3557" s="13">
        <v>2510</v>
      </c>
      <c r="C3557" s="13" t="s">
        <v>24</v>
      </c>
      <c r="D3557" s="13" t="s">
        <v>14</v>
      </c>
      <c r="E3557" s="13">
        <v>-1220</v>
      </c>
    </row>
    <row r="3558" spans="1:5">
      <c r="A3558" s="14">
        <v>43730</v>
      </c>
      <c r="B3558" s="12">
        <v>2513</v>
      </c>
      <c r="C3558" s="12" t="s">
        <v>17</v>
      </c>
      <c r="D3558" s="12" t="s">
        <v>19</v>
      </c>
      <c r="E3558" s="12">
        <v>-339</v>
      </c>
    </row>
    <row r="3559" spans="1:5">
      <c r="A3559" s="15">
        <v>43730</v>
      </c>
      <c r="B3559" s="13">
        <v>2503</v>
      </c>
      <c r="C3559" s="13" t="s">
        <v>22</v>
      </c>
      <c r="D3559" s="13" t="s">
        <v>19</v>
      </c>
      <c r="E3559" s="13">
        <v>-246</v>
      </c>
    </row>
    <row r="3560" spans="1:5">
      <c r="A3560" s="14">
        <v>43731</v>
      </c>
      <c r="B3560" s="12">
        <v>2508</v>
      </c>
      <c r="C3560" s="12" t="s">
        <v>15</v>
      </c>
      <c r="D3560" s="12" t="s">
        <v>19</v>
      </c>
      <c r="E3560" s="12">
        <v>-61971</v>
      </c>
    </row>
    <row r="3561" spans="1:5">
      <c r="A3561" s="15">
        <v>43731</v>
      </c>
      <c r="B3561" s="13">
        <v>2500</v>
      </c>
      <c r="C3561" s="13" t="s">
        <v>25</v>
      </c>
      <c r="D3561" s="13" t="s">
        <v>19</v>
      </c>
      <c r="E3561" s="13">
        <v>-33617</v>
      </c>
    </row>
    <row r="3562" spans="1:5">
      <c r="A3562" s="14">
        <v>43731</v>
      </c>
      <c r="B3562" s="12">
        <v>2500</v>
      </c>
      <c r="C3562" s="12" t="s">
        <v>25</v>
      </c>
      <c r="D3562" s="12" t="s">
        <v>19</v>
      </c>
      <c r="E3562" s="12">
        <v>-29026</v>
      </c>
    </row>
    <row r="3563" spans="1:5">
      <c r="A3563" s="15">
        <v>43731</v>
      </c>
      <c r="B3563" s="13">
        <v>2512</v>
      </c>
      <c r="C3563" s="13" t="s">
        <v>16</v>
      </c>
      <c r="D3563" s="13" t="s">
        <v>19</v>
      </c>
      <c r="E3563" s="13">
        <v>-12584</v>
      </c>
    </row>
    <row r="3564" spans="1:5">
      <c r="A3564" s="14">
        <v>43731</v>
      </c>
      <c r="B3564" s="12">
        <v>2512</v>
      </c>
      <c r="C3564" s="12" t="s">
        <v>16</v>
      </c>
      <c r="D3564" s="12" t="s">
        <v>19</v>
      </c>
      <c r="E3564" s="12">
        <v>-9576</v>
      </c>
    </row>
    <row r="3565" spans="1:5">
      <c r="A3565" s="15">
        <v>43731</v>
      </c>
      <c r="B3565" s="13">
        <v>2514</v>
      </c>
      <c r="C3565" s="13" t="s">
        <v>20</v>
      </c>
      <c r="D3565" s="13" t="s">
        <v>19</v>
      </c>
      <c r="E3565" s="13">
        <v>-996</v>
      </c>
    </row>
    <row r="3566" spans="1:5">
      <c r="A3566" s="14">
        <v>43731</v>
      </c>
      <c r="B3566" s="12">
        <v>2501</v>
      </c>
      <c r="C3566" s="12" t="s">
        <v>5</v>
      </c>
      <c r="D3566" s="12" t="s">
        <v>10</v>
      </c>
      <c r="E3566" s="12">
        <v>-116</v>
      </c>
    </row>
    <row r="3567" spans="1:5">
      <c r="A3567" s="15">
        <v>43731</v>
      </c>
      <c r="B3567" s="13">
        <v>2503</v>
      </c>
      <c r="C3567" s="13" t="s">
        <v>22</v>
      </c>
      <c r="D3567" s="13" t="s">
        <v>13</v>
      </c>
      <c r="E3567" s="13">
        <v>-281</v>
      </c>
    </row>
    <row r="3568" spans="1:5">
      <c r="A3568" s="14">
        <v>43731</v>
      </c>
      <c r="B3568" s="12">
        <v>2505</v>
      </c>
      <c r="C3568" s="12" t="s">
        <v>9</v>
      </c>
      <c r="D3568" s="12" t="s">
        <v>6</v>
      </c>
      <c r="E3568" s="12">
        <v>-602</v>
      </c>
    </row>
    <row r="3569" spans="1:5">
      <c r="A3569" s="15">
        <v>43731</v>
      </c>
      <c r="B3569" s="13">
        <v>2506</v>
      </c>
      <c r="C3569" s="13" t="s">
        <v>27</v>
      </c>
      <c r="D3569" s="13" t="s">
        <v>8</v>
      </c>
      <c r="E3569" s="13">
        <v>-693</v>
      </c>
    </row>
    <row r="3570" spans="1:5">
      <c r="A3570" s="14">
        <v>43731</v>
      </c>
      <c r="B3570" s="12">
        <v>2508</v>
      </c>
      <c r="C3570" s="12" t="s">
        <v>15</v>
      </c>
      <c r="D3570" s="12" t="s">
        <v>8</v>
      </c>
      <c r="E3570" s="12">
        <v>-64485</v>
      </c>
    </row>
    <row r="3571" spans="1:5">
      <c r="A3571" s="15">
        <v>43731</v>
      </c>
      <c r="B3571" s="13">
        <v>2508</v>
      </c>
      <c r="C3571" s="13" t="s">
        <v>15</v>
      </c>
      <c r="D3571" s="13" t="s">
        <v>13</v>
      </c>
      <c r="E3571" s="13">
        <v>-57355</v>
      </c>
    </row>
    <row r="3572" spans="1:5">
      <c r="A3572" s="14">
        <v>43731</v>
      </c>
      <c r="B3572" s="12">
        <v>2510</v>
      </c>
      <c r="C3572" s="12" t="s">
        <v>24</v>
      </c>
      <c r="D3572" s="12" t="s">
        <v>8</v>
      </c>
      <c r="E3572" s="12">
        <v>-832</v>
      </c>
    </row>
    <row r="3573" spans="1:5">
      <c r="A3573" s="15">
        <v>43731</v>
      </c>
      <c r="B3573" s="13">
        <v>2510</v>
      </c>
      <c r="C3573" s="13" t="s">
        <v>24</v>
      </c>
      <c r="D3573" s="13" t="s">
        <v>6</v>
      </c>
      <c r="E3573" s="13">
        <v>-1622</v>
      </c>
    </row>
    <row r="3574" spans="1:5">
      <c r="A3574" s="14">
        <v>43731</v>
      </c>
      <c r="B3574" s="12">
        <v>2501</v>
      </c>
      <c r="C3574" s="12" t="s">
        <v>5</v>
      </c>
      <c r="D3574" s="12" t="s">
        <v>19</v>
      </c>
      <c r="E3574" s="12">
        <v>-154</v>
      </c>
    </row>
    <row r="3575" spans="1:5">
      <c r="A3575" s="15">
        <v>43731</v>
      </c>
      <c r="B3575" s="13">
        <v>2501</v>
      </c>
      <c r="C3575" s="13" t="s">
        <v>5</v>
      </c>
      <c r="D3575" s="13" t="s">
        <v>19</v>
      </c>
      <c r="E3575" s="13">
        <v>-86</v>
      </c>
    </row>
    <row r="3576" spans="1:5">
      <c r="A3576" s="14">
        <v>43731</v>
      </c>
      <c r="B3576" s="12">
        <v>1000</v>
      </c>
      <c r="C3576" s="12" t="s">
        <v>23</v>
      </c>
      <c r="D3576" s="12" t="s">
        <v>19</v>
      </c>
      <c r="E3576" s="12">
        <v>914124</v>
      </c>
    </row>
    <row r="3577" spans="1:5">
      <c r="A3577" s="15">
        <v>43731</v>
      </c>
      <c r="B3577" s="13">
        <v>1000</v>
      </c>
      <c r="C3577" s="13" t="s">
        <v>23</v>
      </c>
      <c r="D3577" s="13" t="s">
        <v>19</v>
      </c>
      <c r="E3577" s="13">
        <v>1045858</v>
      </c>
    </row>
    <row r="3578" spans="1:5">
      <c r="A3578" s="14">
        <v>43732</v>
      </c>
      <c r="B3578" s="12">
        <v>2000</v>
      </c>
      <c r="C3578" s="12" t="s">
        <v>18</v>
      </c>
      <c r="D3578" s="12" t="s">
        <v>19</v>
      </c>
      <c r="E3578" s="12">
        <v>-245312</v>
      </c>
    </row>
    <row r="3579" spans="1:5">
      <c r="A3579" s="15">
        <v>43732</v>
      </c>
      <c r="B3579" s="13">
        <v>2000</v>
      </c>
      <c r="C3579" s="13" t="s">
        <v>18</v>
      </c>
      <c r="D3579" s="13" t="s">
        <v>19</v>
      </c>
      <c r="E3579" s="13">
        <v>-125265</v>
      </c>
    </row>
    <row r="3580" spans="1:5">
      <c r="A3580" s="14">
        <v>43732</v>
      </c>
      <c r="B3580" s="12">
        <v>2500</v>
      </c>
      <c r="C3580" s="12" t="s">
        <v>25</v>
      </c>
      <c r="D3580" s="12" t="s">
        <v>19</v>
      </c>
      <c r="E3580" s="12">
        <v>-27745</v>
      </c>
    </row>
    <row r="3581" spans="1:5">
      <c r="A3581" s="15">
        <v>43732</v>
      </c>
      <c r="B3581" s="13">
        <v>2512</v>
      </c>
      <c r="C3581" s="13" t="s">
        <v>16</v>
      </c>
      <c r="D3581" s="13" t="s">
        <v>19</v>
      </c>
      <c r="E3581" s="13">
        <v>-5171</v>
      </c>
    </row>
    <row r="3582" spans="1:5">
      <c r="A3582" s="14">
        <v>43732</v>
      </c>
      <c r="B3582" s="12">
        <v>2502</v>
      </c>
      <c r="C3582" s="12" t="s">
        <v>7</v>
      </c>
      <c r="D3582" s="12" t="s">
        <v>19</v>
      </c>
      <c r="E3582" s="12">
        <v>-2300</v>
      </c>
    </row>
    <row r="3583" spans="1:5">
      <c r="A3583" s="15">
        <v>43732</v>
      </c>
      <c r="B3583" s="13">
        <v>2513</v>
      </c>
      <c r="C3583" s="13" t="s">
        <v>17</v>
      </c>
      <c r="D3583" s="13" t="s">
        <v>19</v>
      </c>
      <c r="E3583" s="13">
        <v>-1026</v>
      </c>
    </row>
    <row r="3584" spans="1:5">
      <c r="A3584" s="14">
        <v>43732</v>
      </c>
      <c r="B3584" s="12">
        <v>2513</v>
      </c>
      <c r="C3584" s="12" t="s">
        <v>17</v>
      </c>
      <c r="D3584" s="12" t="s">
        <v>19</v>
      </c>
      <c r="E3584" s="12">
        <v>-872</v>
      </c>
    </row>
    <row r="3585" spans="1:5">
      <c r="A3585" s="15">
        <v>43732</v>
      </c>
      <c r="B3585" s="13">
        <v>2501</v>
      </c>
      <c r="C3585" s="13" t="s">
        <v>5</v>
      </c>
      <c r="D3585" s="13" t="s">
        <v>13</v>
      </c>
      <c r="E3585" s="13">
        <v>-95</v>
      </c>
    </row>
    <row r="3586" spans="1:5">
      <c r="A3586" s="14">
        <v>43732</v>
      </c>
      <c r="B3586" s="12">
        <v>2501</v>
      </c>
      <c r="C3586" s="12" t="s">
        <v>5</v>
      </c>
      <c r="D3586" s="12" t="s">
        <v>8</v>
      </c>
      <c r="E3586" s="12">
        <v>-197</v>
      </c>
    </row>
    <row r="3587" spans="1:5">
      <c r="A3587" s="15">
        <v>43732</v>
      </c>
      <c r="B3587" s="13">
        <v>2512</v>
      </c>
      <c r="C3587" s="13" t="s">
        <v>16</v>
      </c>
      <c r="D3587" s="13" t="s">
        <v>14</v>
      </c>
      <c r="E3587" s="13">
        <v>-3902</v>
      </c>
    </row>
    <row r="3588" spans="1:5">
      <c r="A3588" s="14">
        <v>43733</v>
      </c>
      <c r="B3588" s="12">
        <v>2508</v>
      </c>
      <c r="C3588" s="12" t="s">
        <v>15</v>
      </c>
      <c r="D3588" s="12" t="s">
        <v>19</v>
      </c>
      <c r="E3588" s="12">
        <v>-47127</v>
      </c>
    </row>
    <row r="3589" spans="1:5">
      <c r="A3589" s="15">
        <v>43733</v>
      </c>
      <c r="B3589" s="13">
        <v>2505</v>
      </c>
      <c r="C3589" s="13" t="s">
        <v>9</v>
      </c>
      <c r="D3589" s="13" t="s">
        <v>19</v>
      </c>
      <c r="E3589" s="13">
        <v>-579</v>
      </c>
    </row>
    <row r="3590" spans="1:5">
      <c r="A3590" s="14">
        <v>43733</v>
      </c>
      <c r="B3590" s="12">
        <v>2501</v>
      </c>
      <c r="C3590" s="12" t="s">
        <v>5</v>
      </c>
      <c r="D3590" s="12" t="s">
        <v>12</v>
      </c>
      <c r="E3590" s="12">
        <v>-250</v>
      </c>
    </row>
    <row r="3591" spans="1:5">
      <c r="A3591" s="15">
        <v>43733</v>
      </c>
      <c r="B3591" s="13">
        <v>2501</v>
      </c>
      <c r="C3591" s="13" t="s">
        <v>5</v>
      </c>
      <c r="D3591" s="13" t="s">
        <v>13</v>
      </c>
      <c r="E3591" s="13">
        <v>-125</v>
      </c>
    </row>
    <row r="3592" spans="1:5">
      <c r="A3592" s="14">
        <v>43733</v>
      </c>
      <c r="B3592" s="12">
        <v>2503</v>
      </c>
      <c r="C3592" s="12" t="s">
        <v>22</v>
      </c>
      <c r="D3592" s="12" t="s">
        <v>10</v>
      </c>
      <c r="E3592" s="12">
        <v>-393</v>
      </c>
    </row>
    <row r="3593" spans="1:5">
      <c r="A3593" s="15">
        <v>43733</v>
      </c>
      <c r="B3593" s="13">
        <v>2505</v>
      </c>
      <c r="C3593" s="13" t="s">
        <v>9</v>
      </c>
      <c r="D3593" s="13" t="s">
        <v>8</v>
      </c>
      <c r="E3593" s="13">
        <v>-501</v>
      </c>
    </row>
    <row r="3594" spans="1:5">
      <c r="A3594" s="14">
        <v>43733</v>
      </c>
      <c r="B3594" s="12">
        <v>2508</v>
      </c>
      <c r="C3594" s="12" t="s">
        <v>15</v>
      </c>
      <c r="D3594" s="12" t="s">
        <v>6</v>
      </c>
      <c r="E3594" s="12">
        <v>-74046</v>
      </c>
    </row>
    <row r="3595" spans="1:5">
      <c r="A3595" s="15">
        <v>43733</v>
      </c>
      <c r="B3595" s="13">
        <v>2508</v>
      </c>
      <c r="C3595" s="13" t="s">
        <v>15</v>
      </c>
      <c r="D3595" s="13" t="s">
        <v>8</v>
      </c>
      <c r="E3595" s="13">
        <v>-75185</v>
      </c>
    </row>
    <row r="3596" spans="1:5">
      <c r="A3596" s="14">
        <v>43733</v>
      </c>
      <c r="B3596" s="12">
        <v>2514</v>
      </c>
      <c r="C3596" s="12" t="s">
        <v>20</v>
      </c>
      <c r="D3596" s="12" t="s">
        <v>8</v>
      </c>
      <c r="E3596" s="12">
        <v>-1322</v>
      </c>
    </row>
    <row r="3597" spans="1:5">
      <c r="A3597" s="15">
        <v>43733</v>
      </c>
      <c r="B3597" s="13">
        <v>2510</v>
      </c>
      <c r="C3597" s="13" t="s">
        <v>24</v>
      </c>
      <c r="D3597" s="13" t="s">
        <v>6</v>
      </c>
      <c r="E3597" s="13">
        <v>-1590</v>
      </c>
    </row>
    <row r="3598" spans="1:5">
      <c r="A3598" s="14">
        <v>43734</v>
      </c>
      <c r="B3598" s="12">
        <v>2508</v>
      </c>
      <c r="C3598" s="12" t="s">
        <v>15</v>
      </c>
      <c r="D3598" s="12" t="s">
        <v>19</v>
      </c>
      <c r="E3598" s="12">
        <v>-58243</v>
      </c>
    </row>
    <row r="3599" spans="1:5">
      <c r="A3599" s="15">
        <v>43734</v>
      </c>
      <c r="B3599" s="13">
        <v>2502</v>
      </c>
      <c r="C3599" s="13" t="s">
        <v>7</v>
      </c>
      <c r="D3599" s="13" t="s">
        <v>19</v>
      </c>
      <c r="E3599" s="13">
        <v>-5003</v>
      </c>
    </row>
    <row r="3600" spans="1:5">
      <c r="A3600" s="14">
        <v>43734</v>
      </c>
      <c r="B3600" s="12">
        <v>2514</v>
      </c>
      <c r="C3600" s="12" t="s">
        <v>20</v>
      </c>
      <c r="D3600" s="12" t="s">
        <v>19</v>
      </c>
      <c r="E3600" s="12">
        <v>-747</v>
      </c>
    </row>
    <row r="3601" spans="1:5">
      <c r="A3601" s="15">
        <v>43734</v>
      </c>
      <c r="B3601" s="13">
        <v>2501</v>
      </c>
      <c r="C3601" s="13" t="s">
        <v>5</v>
      </c>
      <c r="D3601" s="13" t="s">
        <v>10</v>
      </c>
      <c r="E3601" s="13">
        <v>-125</v>
      </c>
    </row>
    <row r="3602" spans="1:5">
      <c r="A3602" s="14">
        <v>43734</v>
      </c>
      <c r="B3602" s="12">
        <v>2501</v>
      </c>
      <c r="C3602" s="12" t="s">
        <v>5</v>
      </c>
      <c r="D3602" s="12" t="s">
        <v>6</v>
      </c>
      <c r="E3602" s="12">
        <v>-104</v>
      </c>
    </row>
    <row r="3603" spans="1:5">
      <c r="A3603" s="15">
        <v>43734</v>
      </c>
      <c r="B3603" s="13">
        <v>2502</v>
      </c>
      <c r="C3603" s="13" t="s">
        <v>7</v>
      </c>
      <c r="D3603" s="13" t="s">
        <v>8</v>
      </c>
      <c r="E3603" s="13">
        <v>-7148</v>
      </c>
    </row>
    <row r="3604" spans="1:5">
      <c r="A3604" s="14">
        <v>43734</v>
      </c>
      <c r="B3604" s="12">
        <v>2508</v>
      </c>
      <c r="C3604" s="12" t="s">
        <v>15</v>
      </c>
      <c r="D3604" s="12" t="s">
        <v>6</v>
      </c>
      <c r="E3604" s="12">
        <v>-71324</v>
      </c>
    </row>
    <row r="3605" spans="1:5">
      <c r="A3605" s="15">
        <v>43734</v>
      </c>
      <c r="B3605" s="13">
        <v>2508</v>
      </c>
      <c r="C3605" s="13" t="s">
        <v>15</v>
      </c>
      <c r="D3605" s="13" t="s">
        <v>8</v>
      </c>
      <c r="E3605" s="13">
        <v>-76390</v>
      </c>
    </row>
    <row r="3606" spans="1:5">
      <c r="A3606" s="14">
        <v>43734</v>
      </c>
      <c r="B3606" s="12">
        <v>2512</v>
      </c>
      <c r="C3606" s="12" t="s">
        <v>16</v>
      </c>
      <c r="D3606" s="12" t="s">
        <v>8</v>
      </c>
      <c r="E3606" s="12">
        <v>-2213</v>
      </c>
    </row>
    <row r="3607" spans="1:5">
      <c r="A3607" s="15">
        <v>43734</v>
      </c>
      <c r="B3607" s="13">
        <v>2513</v>
      </c>
      <c r="C3607" s="13" t="s">
        <v>17</v>
      </c>
      <c r="D3607" s="13" t="s">
        <v>6</v>
      </c>
      <c r="E3607" s="13">
        <v>-812</v>
      </c>
    </row>
    <row r="3608" spans="1:5">
      <c r="A3608" s="14">
        <v>43734</v>
      </c>
      <c r="B3608" s="12">
        <v>2513</v>
      </c>
      <c r="C3608" s="12" t="s">
        <v>17</v>
      </c>
      <c r="D3608" s="12" t="s">
        <v>6</v>
      </c>
      <c r="E3608" s="12">
        <v>-1155</v>
      </c>
    </row>
    <row r="3609" spans="1:5">
      <c r="A3609" s="15">
        <v>43734</v>
      </c>
      <c r="B3609" s="13">
        <v>2513</v>
      </c>
      <c r="C3609" s="13" t="s">
        <v>17</v>
      </c>
      <c r="D3609" s="13" t="s">
        <v>13</v>
      </c>
      <c r="E3609" s="13">
        <v>-649</v>
      </c>
    </row>
    <row r="3610" spans="1:5">
      <c r="A3610" s="14">
        <v>43734</v>
      </c>
      <c r="B3610" s="12">
        <v>2513</v>
      </c>
      <c r="C3610" s="12" t="s">
        <v>17</v>
      </c>
      <c r="D3610" s="12" t="s">
        <v>12</v>
      </c>
      <c r="E3610" s="12">
        <v>-1965</v>
      </c>
    </row>
    <row r="3611" spans="1:5">
      <c r="A3611" s="15">
        <v>43734</v>
      </c>
      <c r="B3611" s="13">
        <v>2510</v>
      </c>
      <c r="C3611" s="13" t="s">
        <v>24</v>
      </c>
      <c r="D3611" s="13" t="s">
        <v>8</v>
      </c>
      <c r="E3611" s="13">
        <v>-1228</v>
      </c>
    </row>
    <row r="3612" spans="1:5">
      <c r="A3612" s="14">
        <v>43734</v>
      </c>
      <c r="B3612" s="12">
        <v>2510</v>
      </c>
      <c r="C3612" s="12" t="s">
        <v>24</v>
      </c>
      <c r="D3612" s="12" t="s">
        <v>13</v>
      </c>
      <c r="E3612" s="12">
        <v>-856</v>
      </c>
    </row>
    <row r="3613" spans="1:5">
      <c r="A3613" s="15">
        <v>43734</v>
      </c>
      <c r="B3613" s="13">
        <v>2501</v>
      </c>
      <c r="C3613" s="13" t="s">
        <v>5</v>
      </c>
      <c r="D3613" s="13" t="s">
        <v>19</v>
      </c>
      <c r="E3613" s="13">
        <v>-85</v>
      </c>
    </row>
    <row r="3614" spans="1:5">
      <c r="A3614" s="14">
        <v>43735</v>
      </c>
      <c r="B3614" s="12">
        <v>1500</v>
      </c>
      <c r="C3614" s="12" t="s">
        <v>26</v>
      </c>
      <c r="D3614" s="12" t="s">
        <v>19</v>
      </c>
      <c r="E3614" s="12">
        <v>-60754</v>
      </c>
    </row>
    <row r="3615" spans="1:5">
      <c r="A3615" s="15">
        <v>43735</v>
      </c>
      <c r="B3615" s="13">
        <v>2500</v>
      </c>
      <c r="C3615" s="13" t="s">
        <v>25</v>
      </c>
      <c r="D3615" s="13" t="s">
        <v>19</v>
      </c>
      <c r="E3615" s="13">
        <v>-29676</v>
      </c>
    </row>
    <row r="3616" spans="1:5">
      <c r="A3616" s="14">
        <v>43735</v>
      </c>
      <c r="B3616" s="12">
        <v>2512</v>
      </c>
      <c r="C3616" s="12" t="s">
        <v>16</v>
      </c>
      <c r="D3616" s="12" t="s">
        <v>19</v>
      </c>
      <c r="E3616" s="12">
        <v>-9645</v>
      </c>
    </row>
    <row r="3617" spans="1:5">
      <c r="A3617" s="15">
        <v>43735</v>
      </c>
      <c r="B3617" s="13">
        <v>2510</v>
      </c>
      <c r="C3617" s="13" t="s">
        <v>24</v>
      </c>
      <c r="D3617" s="13" t="s">
        <v>19</v>
      </c>
      <c r="E3617" s="13">
        <v>-550</v>
      </c>
    </row>
    <row r="3618" spans="1:5">
      <c r="A3618" s="14">
        <v>43735</v>
      </c>
      <c r="B3618" s="12">
        <v>2505</v>
      </c>
      <c r="C3618" s="12" t="s">
        <v>9</v>
      </c>
      <c r="D3618" s="12" t="s">
        <v>19</v>
      </c>
      <c r="E3618" s="12">
        <v>-508</v>
      </c>
    </row>
    <row r="3619" spans="1:5">
      <c r="A3619" s="15">
        <v>43735</v>
      </c>
      <c r="B3619" s="13">
        <v>2503</v>
      </c>
      <c r="C3619" s="13" t="s">
        <v>22</v>
      </c>
      <c r="D3619" s="13" t="s">
        <v>12</v>
      </c>
      <c r="E3619" s="13">
        <v>-472</v>
      </c>
    </row>
    <row r="3620" spans="1:5">
      <c r="A3620" s="14">
        <v>43735</v>
      </c>
      <c r="B3620" s="12">
        <v>2503</v>
      </c>
      <c r="C3620" s="12" t="s">
        <v>22</v>
      </c>
      <c r="D3620" s="12" t="s">
        <v>8</v>
      </c>
      <c r="E3620" s="12">
        <v>-377</v>
      </c>
    </row>
    <row r="3621" spans="1:5">
      <c r="A3621" s="15">
        <v>43735</v>
      </c>
      <c r="B3621" s="13">
        <v>2503</v>
      </c>
      <c r="C3621" s="13" t="s">
        <v>22</v>
      </c>
      <c r="D3621" s="13" t="s">
        <v>13</v>
      </c>
      <c r="E3621" s="13">
        <v>-241</v>
      </c>
    </row>
    <row r="3622" spans="1:5">
      <c r="A3622" s="14">
        <v>43735</v>
      </c>
      <c r="B3622" s="12">
        <v>2512</v>
      </c>
      <c r="C3622" s="12" t="s">
        <v>16</v>
      </c>
      <c r="D3622" s="12" t="s">
        <v>6</v>
      </c>
      <c r="E3622" s="12">
        <v>-4679</v>
      </c>
    </row>
    <row r="3623" spans="1:5">
      <c r="A3623" s="15">
        <v>43735</v>
      </c>
      <c r="B3623" s="13">
        <v>2513</v>
      </c>
      <c r="C3623" s="13" t="s">
        <v>17</v>
      </c>
      <c r="D3623" s="13" t="s">
        <v>10</v>
      </c>
      <c r="E3623" s="13">
        <v>-1058</v>
      </c>
    </row>
    <row r="3624" spans="1:5">
      <c r="A3624" s="14">
        <v>43735</v>
      </c>
      <c r="B3624" s="12">
        <v>2513</v>
      </c>
      <c r="C3624" s="12" t="s">
        <v>17</v>
      </c>
      <c r="D3624" s="12" t="s">
        <v>8</v>
      </c>
      <c r="E3624" s="12">
        <v>-1072</v>
      </c>
    </row>
    <row r="3625" spans="1:5">
      <c r="A3625" s="15">
        <v>43735</v>
      </c>
      <c r="B3625" s="13">
        <v>2501</v>
      </c>
      <c r="C3625" s="13" t="s">
        <v>5</v>
      </c>
      <c r="D3625" s="13" t="s">
        <v>19</v>
      </c>
      <c r="E3625" s="13">
        <v>-148</v>
      </c>
    </row>
    <row r="3626" spans="1:5">
      <c r="A3626" s="14">
        <v>43735</v>
      </c>
      <c r="B3626" s="12">
        <v>1000</v>
      </c>
      <c r="C3626" s="12" t="s">
        <v>23</v>
      </c>
      <c r="D3626" s="12" t="s">
        <v>19</v>
      </c>
      <c r="E3626" s="12">
        <v>1205517</v>
      </c>
    </row>
    <row r="3627" spans="1:5">
      <c r="A3627" s="15">
        <v>43736</v>
      </c>
      <c r="B3627" s="13">
        <v>2508</v>
      </c>
      <c r="C3627" s="13" t="s">
        <v>15</v>
      </c>
      <c r="D3627" s="13" t="s">
        <v>19</v>
      </c>
      <c r="E3627" s="13">
        <v>-43492</v>
      </c>
    </row>
    <row r="3628" spans="1:5">
      <c r="A3628" s="14">
        <v>43736</v>
      </c>
      <c r="B3628" s="12">
        <v>2500</v>
      </c>
      <c r="C3628" s="12" t="s">
        <v>25</v>
      </c>
      <c r="D3628" s="12" t="s">
        <v>19</v>
      </c>
      <c r="E3628" s="12">
        <v>-17405</v>
      </c>
    </row>
    <row r="3629" spans="1:5">
      <c r="A3629" s="15">
        <v>43736</v>
      </c>
      <c r="B3629" s="13">
        <v>2514</v>
      </c>
      <c r="C3629" s="13" t="s">
        <v>20</v>
      </c>
      <c r="D3629" s="13" t="s">
        <v>19</v>
      </c>
      <c r="E3629" s="13">
        <v>-1042</v>
      </c>
    </row>
    <row r="3630" spans="1:5">
      <c r="A3630" s="14">
        <v>43736</v>
      </c>
      <c r="B3630" s="12">
        <v>2502</v>
      </c>
      <c r="C3630" s="12" t="s">
        <v>7</v>
      </c>
      <c r="D3630" s="12" t="s">
        <v>8</v>
      </c>
      <c r="E3630" s="12">
        <v>-2912</v>
      </c>
    </row>
    <row r="3631" spans="1:5">
      <c r="A3631" s="15">
        <v>43736</v>
      </c>
      <c r="B3631" s="13">
        <v>2508</v>
      </c>
      <c r="C3631" s="13" t="s">
        <v>15</v>
      </c>
      <c r="D3631" s="13" t="s">
        <v>10</v>
      </c>
      <c r="E3631" s="13">
        <v>-58373</v>
      </c>
    </row>
    <row r="3632" spans="1:5">
      <c r="A3632" s="14">
        <v>43736</v>
      </c>
      <c r="B3632" s="12">
        <v>2512</v>
      </c>
      <c r="C3632" s="12" t="s">
        <v>16</v>
      </c>
      <c r="D3632" s="12" t="s">
        <v>14</v>
      </c>
      <c r="E3632" s="12">
        <v>-2359</v>
      </c>
    </row>
    <row r="3633" spans="1:5">
      <c r="A3633" s="15">
        <v>43736</v>
      </c>
      <c r="B3633" s="13">
        <v>2512</v>
      </c>
      <c r="C3633" s="13" t="s">
        <v>16</v>
      </c>
      <c r="D3633" s="13" t="s">
        <v>13</v>
      </c>
      <c r="E3633" s="13">
        <v>-527</v>
      </c>
    </row>
    <row r="3634" spans="1:5">
      <c r="A3634" s="14">
        <v>43736</v>
      </c>
      <c r="B3634" s="12">
        <v>2512</v>
      </c>
      <c r="C3634" s="12" t="s">
        <v>16</v>
      </c>
      <c r="D3634" s="12" t="s">
        <v>6</v>
      </c>
      <c r="E3634" s="12">
        <v>-3365</v>
      </c>
    </row>
    <row r="3635" spans="1:5">
      <c r="A3635" s="15">
        <v>43737</v>
      </c>
      <c r="B3635" s="13">
        <v>2512</v>
      </c>
      <c r="C3635" s="13" t="s">
        <v>16</v>
      </c>
      <c r="D3635" s="13" t="s">
        <v>19</v>
      </c>
      <c r="E3635" s="13">
        <v>-8955</v>
      </c>
    </row>
    <row r="3636" spans="1:5">
      <c r="A3636" s="14">
        <v>43737</v>
      </c>
      <c r="B3636" s="12">
        <v>2510</v>
      </c>
      <c r="C3636" s="12" t="s">
        <v>24</v>
      </c>
      <c r="D3636" s="12" t="s">
        <v>19</v>
      </c>
      <c r="E3636" s="12">
        <v>-1391</v>
      </c>
    </row>
    <row r="3637" spans="1:5">
      <c r="A3637" s="15">
        <v>43737</v>
      </c>
      <c r="B3637" s="13">
        <v>2512</v>
      </c>
      <c r="C3637" s="13" t="s">
        <v>16</v>
      </c>
      <c r="D3637" s="13" t="s">
        <v>12</v>
      </c>
      <c r="E3637" s="13">
        <v>-1225</v>
      </c>
    </row>
    <row r="3638" spans="1:5">
      <c r="A3638" s="14">
        <v>43737</v>
      </c>
      <c r="B3638" s="12">
        <v>2505</v>
      </c>
      <c r="C3638" s="12" t="s">
        <v>9</v>
      </c>
      <c r="D3638" s="12" t="s">
        <v>19</v>
      </c>
      <c r="E3638" s="12">
        <v>-378</v>
      </c>
    </row>
    <row r="3639" spans="1:5">
      <c r="A3639" s="15">
        <v>43737</v>
      </c>
      <c r="B3639" s="13">
        <v>2503</v>
      </c>
      <c r="C3639" s="13" t="s">
        <v>22</v>
      </c>
      <c r="D3639" s="13" t="s">
        <v>19</v>
      </c>
      <c r="E3639" s="13">
        <v>-209</v>
      </c>
    </row>
    <row r="3640" spans="1:5">
      <c r="A3640" s="14">
        <v>43738</v>
      </c>
      <c r="B3640" s="12">
        <v>2000</v>
      </c>
      <c r="C3640" s="12" t="s">
        <v>18</v>
      </c>
      <c r="D3640" s="12" t="s">
        <v>19</v>
      </c>
      <c r="E3640" s="12">
        <v>-223294</v>
      </c>
    </row>
    <row r="3641" spans="1:5">
      <c r="A3641" s="15">
        <v>43738</v>
      </c>
      <c r="B3641" s="13">
        <v>2508</v>
      </c>
      <c r="C3641" s="13" t="s">
        <v>15</v>
      </c>
      <c r="D3641" s="13" t="s">
        <v>19</v>
      </c>
      <c r="E3641" s="13">
        <v>-46384</v>
      </c>
    </row>
    <row r="3642" spans="1:5">
      <c r="A3642" s="14">
        <v>43738</v>
      </c>
      <c r="B3642" s="12">
        <v>2500</v>
      </c>
      <c r="C3642" s="12" t="s">
        <v>25</v>
      </c>
      <c r="D3642" s="12" t="s">
        <v>19</v>
      </c>
      <c r="E3642" s="12">
        <v>-33206</v>
      </c>
    </row>
    <row r="3643" spans="1:5">
      <c r="A3643" s="15">
        <v>43738</v>
      </c>
      <c r="B3643" s="13">
        <v>2504</v>
      </c>
      <c r="C3643" s="13" t="s">
        <v>21</v>
      </c>
      <c r="D3643" s="13" t="s">
        <v>19</v>
      </c>
      <c r="E3643" s="13">
        <v>-2423</v>
      </c>
    </row>
    <row r="3644" spans="1:5">
      <c r="A3644" s="14">
        <v>43738</v>
      </c>
      <c r="B3644" s="12">
        <v>2502</v>
      </c>
      <c r="C3644" s="12" t="s">
        <v>7</v>
      </c>
      <c r="D3644" s="12" t="s">
        <v>13</v>
      </c>
      <c r="E3644" s="12">
        <v>-4496</v>
      </c>
    </row>
    <row r="3645" spans="1:5">
      <c r="A3645" s="15">
        <v>43738</v>
      </c>
      <c r="B3645" s="13">
        <v>2506</v>
      </c>
      <c r="C3645" s="13" t="s">
        <v>27</v>
      </c>
      <c r="D3645" s="13" t="s">
        <v>14</v>
      </c>
      <c r="E3645" s="13">
        <v>-501</v>
      </c>
    </row>
    <row r="3646" spans="1:5">
      <c r="A3646" s="14">
        <v>43738</v>
      </c>
      <c r="B3646" s="12">
        <v>2508</v>
      </c>
      <c r="C3646" s="12" t="s">
        <v>15</v>
      </c>
      <c r="D3646" s="12" t="s">
        <v>14</v>
      </c>
      <c r="E3646" s="12">
        <v>-76105</v>
      </c>
    </row>
    <row r="3647" spans="1:5">
      <c r="A3647" s="15">
        <v>43738</v>
      </c>
      <c r="B3647" s="13">
        <v>2514</v>
      </c>
      <c r="C3647" s="13" t="s">
        <v>20</v>
      </c>
      <c r="D3647" s="13" t="s">
        <v>14</v>
      </c>
      <c r="E3647" s="13">
        <v>-1490</v>
      </c>
    </row>
    <row r="3648" spans="1:5">
      <c r="A3648" s="14">
        <v>43738</v>
      </c>
      <c r="B3648" s="12">
        <v>2510</v>
      </c>
      <c r="C3648" s="12" t="s">
        <v>24</v>
      </c>
      <c r="D3648" s="12" t="s">
        <v>8</v>
      </c>
      <c r="E3648" s="12">
        <v>-1153</v>
      </c>
    </row>
    <row r="3649" spans="1:5">
      <c r="A3649" s="15">
        <v>43738</v>
      </c>
      <c r="B3649" s="13">
        <v>2513</v>
      </c>
      <c r="C3649" s="13" t="s">
        <v>17</v>
      </c>
      <c r="D3649" s="13" t="s">
        <v>19</v>
      </c>
      <c r="E3649" s="13">
        <v>-380</v>
      </c>
    </row>
    <row r="3650" spans="1:5">
      <c r="A3650" s="14">
        <v>43738</v>
      </c>
      <c r="B3650" s="12">
        <v>1000</v>
      </c>
      <c r="C3650" s="12" t="s">
        <v>23</v>
      </c>
      <c r="D3650" s="12" t="s">
        <v>19</v>
      </c>
      <c r="E3650" s="12">
        <v>506444</v>
      </c>
    </row>
    <row r="3651" spans="1:5">
      <c r="A3651" s="15">
        <v>43739</v>
      </c>
      <c r="B3651" s="13">
        <v>1500</v>
      </c>
      <c r="C3651" s="13" t="s">
        <v>26</v>
      </c>
      <c r="D3651" s="13" t="s">
        <v>19</v>
      </c>
      <c r="E3651" s="13">
        <v>-26635</v>
      </c>
    </row>
    <row r="3652" spans="1:5">
      <c r="A3652" s="14">
        <v>43739</v>
      </c>
      <c r="B3652" s="12">
        <v>2500</v>
      </c>
      <c r="C3652" s="12" t="s">
        <v>25</v>
      </c>
      <c r="D3652" s="12" t="s">
        <v>19</v>
      </c>
      <c r="E3652" s="12">
        <v>-24312</v>
      </c>
    </row>
    <row r="3653" spans="1:5">
      <c r="A3653" s="15">
        <v>43739</v>
      </c>
      <c r="B3653" s="13">
        <v>1500</v>
      </c>
      <c r="C3653" s="13" t="s">
        <v>26</v>
      </c>
      <c r="D3653" s="13" t="s">
        <v>19</v>
      </c>
      <c r="E3653" s="13">
        <v>-23877</v>
      </c>
    </row>
    <row r="3654" spans="1:5">
      <c r="A3654" s="14">
        <v>43739</v>
      </c>
      <c r="B3654" s="12">
        <v>1500</v>
      </c>
      <c r="C3654" s="12" t="s">
        <v>26</v>
      </c>
      <c r="D3654" s="12" t="s">
        <v>19</v>
      </c>
      <c r="E3654" s="12">
        <v>-4412</v>
      </c>
    </row>
    <row r="3655" spans="1:5">
      <c r="A3655" s="15">
        <v>43739</v>
      </c>
      <c r="B3655" s="13">
        <v>2507</v>
      </c>
      <c r="C3655" s="13" t="s">
        <v>11</v>
      </c>
      <c r="D3655" s="13" t="s">
        <v>19</v>
      </c>
      <c r="E3655" s="13">
        <v>-2120</v>
      </c>
    </row>
    <row r="3656" spans="1:5">
      <c r="A3656" s="14">
        <v>43739</v>
      </c>
      <c r="B3656" s="12">
        <v>2514</v>
      </c>
      <c r="C3656" s="12" t="s">
        <v>20</v>
      </c>
      <c r="D3656" s="12" t="s">
        <v>19</v>
      </c>
      <c r="E3656" s="12">
        <v>-754</v>
      </c>
    </row>
    <row r="3657" spans="1:5">
      <c r="A3657" s="15">
        <v>43739</v>
      </c>
      <c r="B3657" s="13">
        <v>2507</v>
      </c>
      <c r="C3657" s="13" t="s">
        <v>11</v>
      </c>
      <c r="D3657" s="13" t="s">
        <v>12</v>
      </c>
      <c r="E3657" s="13">
        <v>-2320</v>
      </c>
    </row>
    <row r="3658" spans="1:5">
      <c r="A3658" s="14">
        <v>43739</v>
      </c>
      <c r="B3658" s="12">
        <v>2507</v>
      </c>
      <c r="C3658" s="12" t="s">
        <v>11</v>
      </c>
      <c r="D3658" s="12" t="s">
        <v>13</v>
      </c>
      <c r="E3658" s="12">
        <v>-2080</v>
      </c>
    </row>
    <row r="3659" spans="1:5">
      <c r="A3659" s="15">
        <v>43739</v>
      </c>
      <c r="B3659" s="13">
        <v>2507</v>
      </c>
      <c r="C3659" s="13" t="s">
        <v>11</v>
      </c>
      <c r="D3659" s="13" t="s">
        <v>8</v>
      </c>
      <c r="E3659" s="13">
        <v>-1920</v>
      </c>
    </row>
    <row r="3660" spans="1:5">
      <c r="A3660" s="14">
        <v>43739</v>
      </c>
      <c r="B3660" s="12">
        <v>2507</v>
      </c>
      <c r="C3660" s="12" t="s">
        <v>11</v>
      </c>
      <c r="D3660" s="12" t="s">
        <v>10</v>
      </c>
      <c r="E3660" s="12">
        <v>-1550</v>
      </c>
    </row>
    <row r="3661" spans="1:5">
      <c r="A3661" s="15">
        <v>43739</v>
      </c>
      <c r="B3661" s="13">
        <v>2507</v>
      </c>
      <c r="C3661" s="13" t="s">
        <v>11</v>
      </c>
      <c r="D3661" s="13" t="s">
        <v>6</v>
      </c>
      <c r="E3661" s="13">
        <v>-1770</v>
      </c>
    </row>
    <row r="3662" spans="1:5">
      <c r="A3662" s="14">
        <v>43739</v>
      </c>
      <c r="B3662" s="12">
        <v>2507</v>
      </c>
      <c r="C3662" s="12" t="s">
        <v>11</v>
      </c>
      <c r="D3662" s="12" t="s">
        <v>14</v>
      </c>
      <c r="E3662" s="12">
        <v>-1130</v>
      </c>
    </row>
    <row r="3663" spans="1:5">
      <c r="A3663" s="15">
        <v>43739</v>
      </c>
      <c r="B3663" s="13">
        <v>2512</v>
      </c>
      <c r="C3663" s="13" t="s">
        <v>16</v>
      </c>
      <c r="D3663" s="13" t="s">
        <v>14</v>
      </c>
      <c r="E3663" s="13">
        <v>-2418</v>
      </c>
    </row>
    <row r="3664" spans="1:5">
      <c r="A3664" s="14">
        <v>43739</v>
      </c>
      <c r="B3664" s="12">
        <v>2513</v>
      </c>
      <c r="C3664" s="12" t="s">
        <v>17</v>
      </c>
      <c r="D3664" s="12" t="s">
        <v>6</v>
      </c>
      <c r="E3664" s="12">
        <v>-839</v>
      </c>
    </row>
    <row r="3665" spans="1:5">
      <c r="A3665" s="15">
        <v>43739</v>
      </c>
      <c r="B3665" s="13">
        <v>2513</v>
      </c>
      <c r="C3665" s="13" t="s">
        <v>17</v>
      </c>
      <c r="D3665" s="13" t="s">
        <v>10</v>
      </c>
      <c r="E3665" s="13">
        <v>-544</v>
      </c>
    </row>
    <row r="3666" spans="1:5">
      <c r="A3666" s="14">
        <v>43739</v>
      </c>
      <c r="B3666" s="12">
        <v>2510</v>
      </c>
      <c r="C3666" s="12" t="s">
        <v>24</v>
      </c>
      <c r="D3666" s="12" t="s">
        <v>6</v>
      </c>
      <c r="E3666" s="12">
        <v>-897</v>
      </c>
    </row>
    <row r="3667" spans="1:5">
      <c r="A3667" s="15">
        <v>43739</v>
      </c>
      <c r="B3667" s="13">
        <v>1000</v>
      </c>
      <c r="C3667" s="13" t="s">
        <v>23</v>
      </c>
      <c r="D3667" s="13" t="s">
        <v>19</v>
      </c>
      <c r="E3667" s="13">
        <v>743717</v>
      </c>
    </row>
    <row r="3668" spans="1:5">
      <c r="A3668" s="14">
        <v>43739</v>
      </c>
      <c r="B3668" s="12">
        <v>1000</v>
      </c>
      <c r="C3668" s="12" t="s">
        <v>23</v>
      </c>
      <c r="D3668" s="12" t="s">
        <v>19</v>
      </c>
      <c r="E3668" s="12">
        <v>1038205</v>
      </c>
    </row>
    <row r="3669" spans="1:5">
      <c r="A3669" s="15">
        <v>43740</v>
      </c>
      <c r="B3669" s="13">
        <v>2500</v>
      </c>
      <c r="C3669" s="13" t="s">
        <v>25</v>
      </c>
      <c r="D3669" s="13" t="s">
        <v>19</v>
      </c>
      <c r="E3669" s="13">
        <v>-44898</v>
      </c>
    </row>
    <row r="3670" spans="1:5">
      <c r="A3670" s="14">
        <v>43740</v>
      </c>
      <c r="B3670" s="12">
        <v>2504</v>
      </c>
      <c r="C3670" s="12" t="s">
        <v>21</v>
      </c>
      <c r="D3670" s="12" t="s">
        <v>19</v>
      </c>
      <c r="E3670" s="12">
        <v>-2243</v>
      </c>
    </row>
    <row r="3671" spans="1:5">
      <c r="A3671" s="15">
        <v>43740</v>
      </c>
      <c r="B3671" s="13">
        <v>2514</v>
      </c>
      <c r="C3671" s="13" t="s">
        <v>20</v>
      </c>
      <c r="D3671" s="13" t="s">
        <v>19</v>
      </c>
      <c r="E3671" s="13">
        <v>-930</v>
      </c>
    </row>
    <row r="3672" spans="1:5">
      <c r="A3672" s="14">
        <v>43740</v>
      </c>
      <c r="B3672" s="12">
        <v>2505</v>
      </c>
      <c r="C3672" s="12" t="s">
        <v>9</v>
      </c>
      <c r="D3672" s="12" t="s">
        <v>6</v>
      </c>
      <c r="E3672" s="12">
        <v>-805</v>
      </c>
    </row>
    <row r="3673" spans="1:5">
      <c r="A3673" s="15">
        <v>43740</v>
      </c>
      <c r="B3673" s="13">
        <v>2514</v>
      </c>
      <c r="C3673" s="13" t="s">
        <v>20</v>
      </c>
      <c r="D3673" s="13" t="s">
        <v>8</v>
      </c>
      <c r="E3673" s="13">
        <v>-1543</v>
      </c>
    </row>
    <row r="3674" spans="1:5">
      <c r="A3674" s="14">
        <v>43740</v>
      </c>
      <c r="B3674" s="12">
        <v>1000</v>
      </c>
      <c r="C3674" s="12" t="s">
        <v>23</v>
      </c>
      <c r="D3674" s="12" t="s">
        <v>19</v>
      </c>
      <c r="E3674" s="12">
        <v>773198</v>
      </c>
    </row>
    <row r="3675" spans="1:5">
      <c r="A3675" s="15">
        <v>43741</v>
      </c>
      <c r="B3675" s="13">
        <v>2508</v>
      </c>
      <c r="C3675" s="13" t="s">
        <v>15</v>
      </c>
      <c r="D3675" s="13" t="s">
        <v>19</v>
      </c>
      <c r="E3675" s="13">
        <v>-59256</v>
      </c>
    </row>
    <row r="3676" spans="1:5">
      <c r="A3676" s="14">
        <v>43741</v>
      </c>
      <c r="B3676" s="12">
        <v>2504</v>
      </c>
      <c r="C3676" s="12" t="s">
        <v>21</v>
      </c>
      <c r="D3676" s="12" t="s">
        <v>19</v>
      </c>
      <c r="E3676" s="12">
        <v>-1355</v>
      </c>
    </row>
    <row r="3677" spans="1:5">
      <c r="A3677" s="15">
        <v>43741</v>
      </c>
      <c r="B3677" s="13">
        <v>2505</v>
      </c>
      <c r="C3677" s="13" t="s">
        <v>9</v>
      </c>
      <c r="D3677" s="13" t="s">
        <v>19</v>
      </c>
      <c r="E3677" s="13">
        <v>-443</v>
      </c>
    </row>
    <row r="3678" spans="1:5">
      <c r="A3678" s="14">
        <v>43741</v>
      </c>
      <c r="B3678" s="12">
        <v>2501</v>
      </c>
      <c r="C3678" s="12" t="s">
        <v>5</v>
      </c>
      <c r="D3678" s="12" t="s">
        <v>6</v>
      </c>
      <c r="E3678" s="12">
        <v>-89</v>
      </c>
    </row>
    <row r="3679" spans="1:5">
      <c r="A3679" s="15">
        <v>43741</v>
      </c>
      <c r="B3679" s="13">
        <v>2501</v>
      </c>
      <c r="C3679" s="13" t="s">
        <v>5</v>
      </c>
      <c r="D3679" s="13" t="s">
        <v>6</v>
      </c>
      <c r="E3679" s="13">
        <v>-174</v>
      </c>
    </row>
    <row r="3680" spans="1:5">
      <c r="A3680" s="14">
        <v>43741</v>
      </c>
      <c r="B3680" s="12">
        <v>2502</v>
      </c>
      <c r="C3680" s="12" t="s">
        <v>7</v>
      </c>
      <c r="D3680" s="12" t="s">
        <v>10</v>
      </c>
      <c r="E3680" s="12">
        <v>-6279</v>
      </c>
    </row>
    <row r="3681" spans="1:5">
      <c r="A3681" s="15">
        <v>43741</v>
      </c>
      <c r="B3681" s="13">
        <v>2503</v>
      </c>
      <c r="C3681" s="13" t="s">
        <v>22</v>
      </c>
      <c r="D3681" s="13" t="s">
        <v>12</v>
      </c>
      <c r="E3681" s="13">
        <v>-443</v>
      </c>
    </row>
    <row r="3682" spans="1:5">
      <c r="A3682" s="14">
        <v>43741</v>
      </c>
      <c r="B3682" s="12">
        <v>2503</v>
      </c>
      <c r="C3682" s="12" t="s">
        <v>22</v>
      </c>
      <c r="D3682" s="12" t="s">
        <v>10</v>
      </c>
      <c r="E3682" s="12">
        <v>-395</v>
      </c>
    </row>
    <row r="3683" spans="1:5">
      <c r="A3683" s="15">
        <v>43741</v>
      </c>
      <c r="B3683" s="13">
        <v>2503</v>
      </c>
      <c r="C3683" s="13" t="s">
        <v>22</v>
      </c>
      <c r="D3683" s="13" t="s">
        <v>12</v>
      </c>
      <c r="E3683" s="13">
        <v>-570</v>
      </c>
    </row>
    <row r="3684" spans="1:5">
      <c r="A3684" s="14">
        <v>43741</v>
      </c>
      <c r="B3684" s="12">
        <v>2505</v>
      </c>
      <c r="C3684" s="12" t="s">
        <v>9</v>
      </c>
      <c r="D3684" s="12" t="s">
        <v>12</v>
      </c>
      <c r="E3684" s="12">
        <v>-914</v>
      </c>
    </row>
    <row r="3685" spans="1:5">
      <c r="A3685" s="15">
        <v>43741</v>
      </c>
      <c r="B3685" s="13">
        <v>2508</v>
      </c>
      <c r="C3685" s="13" t="s">
        <v>15</v>
      </c>
      <c r="D3685" s="13" t="s">
        <v>12</v>
      </c>
      <c r="E3685" s="13">
        <v>-97035</v>
      </c>
    </row>
    <row r="3686" spans="1:5">
      <c r="A3686" s="14">
        <v>43741</v>
      </c>
      <c r="B3686" s="12">
        <v>2513</v>
      </c>
      <c r="C3686" s="12" t="s">
        <v>17</v>
      </c>
      <c r="D3686" s="12" t="s">
        <v>12</v>
      </c>
      <c r="E3686" s="12">
        <v>-1353</v>
      </c>
    </row>
    <row r="3687" spans="1:5">
      <c r="A3687" s="15">
        <v>43741</v>
      </c>
      <c r="B3687" s="13">
        <v>1000</v>
      </c>
      <c r="C3687" s="13" t="s">
        <v>23</v>
      </c>
      <c r="D3687" s="13" t="s">
        <v>19</v>
      </c>
      <c r="E3687" s="13">
        <v>859300</v>
      </c>
    </row>
    <row r="3688" spans="1:5">
      <c r="A3688" s="14">
        <v>43741</v>
      </c>
      <c r="B3688" s="12">
        <v>1000</v>
      </c>
      <c r="C3688" s="12" t="s">
        <v>23</v>
      </c>
      <c r="D3688" s="12" t="s">
        <v>19</v>
      </c>
      <c r="E3688" s="12">
        <v>872948</v>
      </c>
    </row>
    <row r="3689" spans="1:5">
      <c r="A3689" s="15">
        <v>43742</v>
      </c>
      <c r="B3689" s="13">
        <v>2000</v>
      </c>
      <c r="C3689" s="13" t="s">
        <v>18</v>
      </c>
      <c r="D3689" s="13" t="s">
        <v>19</v>
      </c>
      <c r="E3689" s="13">
        <v>-184394</v>
      </c>
    </row>
    <row r="3690" spans="1:5">
      <c r="A3690" s="14">
        <v>43742</v>
      </c>
      <c r="B3690" s="12">
        <v>2500</v>
      </c>
      <c r="C3690" s="12" t="s">
        <v>25</v>
      </c>
      <c r="D3690" s="12" t="s">
        <v>19</v>
      </c>
      <c r="E3690" s="12">
        <v>-49410</v>
      </c>
    </row>
    <row r="3691" spans="1:5">
      <c r="A3691" s="15">
        <v>43742</v>
      </c>
      <c r="B3691" s="13">
        <v>2512</v>
      </c>
      <c r="C3691" s="13" t="s">
        <v>16</v>
      </c>
      <c r="D3691" s="13" t="s">
        <v>19</v>
      </c>
      <c r="E3691" s="13">
        <v>-9758</v>
      </c>
    </row>
    <row r="3692" spans="1:5">
      <c r="A3692" s="14">
        <v>43742</v>
      </c>
      <c r="B3692" s="12">
        <v>2514</v>
      </c>
      <c r="C3692" s="12" t="s">
        <v>20</v>
      </c>
      <c r="D3692" s="12" t="s">
        <v>19</v>
      </c>
      <c r="E3692" s="12">
        <v>-1034</v>
      </c>
    </row>
    <row r="3693" spans="1:5">
      <c r="A3693" s="15">
        <v>43742</v>
      </c>
      <c r="B3693" s="13">
        <v>2510</v>
      </c>
      <c r="C3693" s="13" t="s">
        <v>24</v>
      </c>
      <c r="D3693" s="13" t="s">
        <v>19</v>
      </c>
      <c r="E3693" s="13">
        <v>-795</v>
      </c>
    </row>
    <row r="3694" spans="1:5">
      <c r="A3694" s="14">
        <v>43742</v>
      </c>
      <c r="B3694" s="12">
        <v>2501</v>
      </c>
      <c r="C3694" s="12" t="s">
        <v>5</v>
      </c>
      <c r="D3694" s="12" t="s">
        <v>13</v>
      </c>
      <c r="E3694" s="12">
        <v>-89</v>
      </c>
    </row>
    <row r="3695" spans="1:5">
      <c r="A3695" s="15">
        <v>43742</v>
      </c>
      <c r="B3695" s="13">
        <v>2505</v>
      </c>
      <c r="C3695" s="13" t="s">
        <v>9</v>
      </c>
      <c r="D3695" s="13" t="s">
        <v>6</v>
      </c>
      <c r="E3695" s="13">
        <v>-653</v>
      </c>
    </row>
    <row r="3696" spans="1:5">
      <c r="A3696" s="14">
        <v>43742</v>
      </c>
      <c r="B3696" s="12">
        <v>2512</v>
      </c>
      <c r="C3696" s="12" t="s">
        <v>16</v>
      </c>
      <c r="D3696" s="12" t="s">
        <v>6</v>
      </c>
      <c r="E3696" s="12">
        <v>-3620</v>
      </c>
    </row>
    <row r="3697" spans="1:5">
      <c r="A3697" s="15">
        <v>43742</v>
      </c>
      <c r="B3697" s="13">
        <v>2512</v>
      </c>
      <c r="C3697" s="13" t="s">
        <v>16</v>
      </c>
      <c r="D3697" s="13" t="s">
        <v>12</v>
      </c>
      <c r="E3697" s="13">
        <v>-925</v>
      </c>
    </row>
    <row r="3698" spans="1:5">
      <c r="A3698" s="14">
        <v>43742</v>
      </c>
      <c r="B3698" s="12">
        <v>2513</v>
      </c>
      <c r="C3698" s="12" t="s">
        <v>17</v>
      </c>
      <c r="D3698" s="12" t="s">
        <v>10</v>
      </c>
      <c r="E3698" s="12">
        <v>-1025</v>
      </c>
    </row>
    <row r="3699" spans="1:5">
      <c r="A3699" s="15">
        <v>43742</v>
      </c>
      <c r="B3699" s="13">
        <v>2503</v>
      </c>
      <c r="C3699" s="13" t="s">
        <v>22</v>
      </c>
      <c r="D3699" s="13" t="s">
        <v>19</v>
      </c>
      <c r="E3699" s="13">
        <v>-277</v>
      </c>
    </row>
    <row r="3700" spans="1:5">
      <c r="A3700" s="14">
        <v>43742</v>
      </c>
      <c r="B3700" s="12">
        <v>2503</v>
      </c>
      <c r="C3700" s="12" t="s">
        <v>22</v>
      </c>
      <c r="D3700" s="12" t="s">
        <v>19</v>
      </c>
      <c r="E3700" s="12">
        <v>-237</v>
      </c>
    </row>
    <row r="3701" spans="1:5">
      <c r="A3701" s="15">
        <v>43742</v>
      </c>
      <c r="B3701" s="13">
        <v>2501</v>
      </c>
      <c r="C3701" s="13" t="s">
        <v>5</v>
      </c>
      <c r="D3701" s="13" t="s">
        <v>19</v>
      </c>
      <c r="E3701" s="13">
        <v>-88</v>
      </c>
    </row>
    <row r="3702" spans="1:5">
      <c r="A3702" s="14">
        <v>43743</v>
      </c>
      <c r="B3702" s="12">
        <v>2000</v>
      </c>
      <c r="C3702" s="12" t="s">
        <v>18</v>
      </c>
      <c r="D3702" s="12" t="s">
        <v>19</v>
      </c>
      <c r="E3702" s="12">
        <v>-223063</v>
      </c>
    </row>
    <row r="3703" spans="1:5">
      <c r="A3703" s="15">
        <v>43743</v>
      </c>
      <c r="B3703" s="13">
        <v>2000</v>
      </c>
      <c r="C3703" s="13" t="s">
        <v>18</v>
      </c>
      <c r="D3703" s="13" t="s">
        <v>19</v>
      </c>
      <c r="E3703" s="13">
        <v>-210279</v>
      </c>
    </row>
    <row r="3704" spans="1:5">
      <c r="A3704" s="14">
        <v>43743</v>
      </c>
      <c r="B3704" s="12">
        <v>1500</v>
      </c>
      <c r="C3704" s="12" t="s">
        <v>26</v>
      </c>
      <c r="D3704" s="12" t="s">
        <v>19</v>
      </c>
      <c r="E3704" s="12">
        <v>-60942</v>
      </c>
    </row>
    <row r="3705" spans="1:5">
      <c r="A3705" s="15">
        <v>43743</v>
      </c>
      <c r="B3705" s="13">
        <v>2502</v>
      </c>
      <c r="C3705" s="13" t="s">
        <v>7</v>
      </c>
      <c r="D3705" s="13" t="s">
        <v>19</v>
      </c>
      <c r="E3705" s="13">
        <v>-4047</v>
      </c>
    </row>
    <row r="3706" spans="1:5">
      <c r="A3706" s="14">
        <v>43743</v>
      </c>
      <c r="B3706" s="12">
        <v>1500</v>
      </c>
      <c r="C3706" s="12" t="s">
        <v>26</v>
      </c>
      <c r="D3706" s="12" t="s">
        <v>19</v>
      </c>
      <c r="E3706" s="12">
        <v>-1647</v>
      </c>
    </row>
    <row r="3707" spans="1:5">
      <c r="A3707" s="15">
        <v>43743</v>
      </c>
      <c r="B3707" s="13">
        <v>2504</v>
      </c>
      <c r="C3707" s="13" t="s">
        <v>21</v>
      </c>
      <c r="D3707" s="13" t="s">
        <v>19</v>
      </c>
      <c r="E3707" s="13">
        <v>-1461</v>
      </c>
    </row>
    <row r="3708" spans="1:5">
      <c r="A3708" s="14">
        <v>43743</v>
      </c>
      <c r="B3708" s="12">
        <v>2514</v>
      </c>
      <c r="C3708" s="12" t="s">
        <v>20</v>
      </c>
      <c r="D3708" s="12" t="s">
        <v>19</v>
      </c>
      <c r="E3708" s="12">
        <v>-1028</v>
      </c>
    </row>
    <row r="3709" spans="1:5">
      <c r="A3709" s="15">
        <v>43743</v>
      </c>
      <c r="B3709" s="13">
        <v>2504</v>
      </c>
      <c r="C3709" s="13" t="s">
        <v>21</v>
      </c>
      <c r="D3709" s="13" t="s">
        <v>19</v>
      </c>
      <c r="E3709" s="13">
        <v>-1011</v>
      </c>
    </row>
    <row r="3710" spans="1:5">
      <c r="A3710" s="14">
        <v>43743</v>
      </c>
      <c r="B3710" s="12">
        <v>2513</v>
      </c>
      <c r="C3710" s="12" t="s">
        <v>17</v>
      </c>
      <c r="D3710" s="12" t="s">
        <v>19</v>
      </c>
      <c r="E3710" s="12">
        <v>-916</v>
      </c>
    </row>
    <row r="3711" spans="1:5">
      <c r="A3711" s="15">
        <v>43743</v>
      </c>
      <c r="B3711" s="13">
        <v>2501</v>
      </c>
      <c r="C3711" s="13" t="s">
        <v>5</v>
      </c>
      <c r="D3711" s="13" t="s">
        <v>12</v>
      </c>
      <c r="E3711" s="13">
        <v>-239</v>
      </c>
    </row>
    <row r="3712" spans="1:5">
      <c r="A3712" s="14">
        <v>43743</v>
      </c>
      <c r="B3712" s="12">
        <v>2513</v>
      </c>
      <c r="C3712" s="12" t="s">
        <v>17</v>
      </c>
      <c r="D3712" s="12" t="s">
        <v>12</v>
      </c>
      <c r="E3712" s="12">
        <v>-1023</v>
      </c>
    </row>
    <row r="3713" spans="1:5">
      <c r="A3713" s="15">
        <v>43743</v>
      </c>
      <c r="B3713" s="13">
        <v>2510</v>
      </c>
      <c r="C3713" s="13" t="s">
        <v>24</v>
      </c>
      <c r="D3713" s="13" t="s">
        <v>6</v>
      </c>
      <c r="E3713" s="13">
        <v>-1811</v>
      </c>
    </row>
    <row r="3714" spans="1:5">
      <c r="A3714" s="14">
        <v>43743</v>
      </c>
      <c r="B3714" s="12">
        <v>2510</v>
      </c>
      <c r="C3714" s="12" t="s">
        <v>24</v>
      </c>
      <c r="D3714" s="12" t="s">
        <v>14</v>
      </c>
      <c r="E3714" s="12">
        <v>-1042</v>
      </c>
    </row>
    <row r="3715" spans="1:5">
      <c r="A3715" s="15">
        <v>43743</v>
      </c>
      <c r="B3715" s="13">
        <v>2510</v>
      </c>
      <c r="C3715" s="13" t="s">
        <v>24</v>
      </c>
      <c r="D3715" s="13" t="s">
        <v>6</v>
      </c>
      <c r="E3715" s="13">
        <v>-1862</v>
      </c>
    </row>
    <row r="3716" spans="1:5">
      <c r="A3716" s="14">
        <v>43744</v>
      </c>
      <c r="B3716" s="12">
        <v>2505</v>
      </c>
      <c r="C3716" s="12" t="s">
        <v>9</v>
      </c>
      <c r="D3716" s="12" t="s">
        <v>19</v>
      </c>
      <c r="E3716" s="12">
        <v>-571</v>
      </c>
    </row>
    <row r="3717" spans="1:5">
      <c r="A3717" s="15">
        <v>43744</v>
      </c>
      <c r="B3717" s="13">
        <v>2505</v>
      </c>
      <c r="C3717" s="13" t="s">
        <v>9</v>
      </c>
      <c r="D3717" s="13" t="s">
        <v>19</v>
      </c>
      <c r="E3717" s="13">
        <v>-444</v>
      </c>
    </row>
    <row r="3718" spans="1:5">
      <c r="A3718" s="14">
        <v>43744</v>
      </c>
      <c r="B3718" s="12">
        <v>2502</v>
      </c>
      <c r="C3718" s="12" t="s">
        <v>7</v>
      </c>
      <c r="D3718" s="12" t="s">
        <v>14</v>
      </c>
      <c r="E3718" s="12">
        <v>-4556</v>
      </c>
    </row>
    <row r="3719" spans="1:5">
      <c r="A3719" s="15">
        <v>43744</v>
      </c>
      <c r="B3719" s="13">
        <v>2503</v>
      </c>
      <c r="C3719" s="13" t="s">
        <v>22</v>
      </c>
      <c r="D3719" s="13" t="s">
        <v>10</v>
      </c>
      <c r="E3719" s="13">
        <v>-347</v>
      </c>
    </row>
    <row r="3720" spans="1:5">
      <c r="A3720" s="14">
        <v>43744</v>
      </c>
      <c r="B3720" s="12">
        <v>2503</v>
      </c>
      <c r="C3720" s="12" t="s">
        <v>22</v>
      </c>
      <c r="D3720" s="12" t="s">
        <v>8</v>
      </c>
      <c r="E3720" s="12">
        <v>-318</v>
      </c>
    </row>
    <row r="3721" spans="1:5">
      <c r="A3721" s="15">
        <v>43744</v>
      </c>
      <c r="B3721" s="13">
        <v>2505</v>
      </c>
      <c r="C3721" s="13" t="s">
        <v>9</v>
      </c>
      <c r="D3721" s="13" t="s">
        <v>14</v>
      </c>
      <c r="E3721" s="13">
        <v>-472</v>
      </c>
    </row>
    <row r="3722" spans="1:5">
      <c r="A3722" s="14">
        <v>43744</v>
      </c>
      <c r="B3722" s="12">
        <v>2505</v>
      </c>
      <c r="C3722" s="12" t="s">
        <v>9</v>
      </c>
      <c r="D3722" s="12" t="s">
        <v>6</v>
      </c>
      <c r="E3722" s="12">
        <v>-596</v>
      </c>
    </row>
    <row r="3723" spans="1:5">
      <c r="A3723" s="15">
        <v>43744</v>
      </c>
      <c r="B3723" s="13">
        <v>2505</v>
      </c>
      <c r="C3723" s="13" t="s">
        <v>9</v>
      </c>
      <c r="D3723" s="13" t="s">
        <v>8</v>
      </c>
      <c r="E3723" s="13">
        <v>-656</v>
      </c>
    </row>
    <row r="3724" spans="1:5">
      <c r="A3724" s="14">
        <v>43744</v>
      </c>
      <c r="B3724" s="12">
        <v>2508</v>
      </c>
      <c r="C3724" s="12" t="s">
        <v>15</v>
      </c>
      <c r="D3724" s="12" t="s">
        <v>8</v>
      </c>
      <c r="E3724" s="12">
        <v>-79020</v>
      </c>
    </row>
    <row r="3725" spans="1:5">
      <c r="A3725" s="15">
        <v>43744</v>
      </c>
      <c r="B3725" s="13">
        <v>2512</v>
      </c>
      <c r="C3725" s="13" t="s">
        <v>16</v>
      </c>
      <c r="D3725" s="13" t="s">
        <v>12</v>
      </c>
      <c r="E3725" s="13">
        <v>-1105</v>
      </c>
    </row>
    <row r="3726" spans="1:5">
      <c r="A3726" s="14">
        <v>43744</v>
      </c>
      <c r="B3726" s="12">
        <v>2512</v>
      </c>
      <c r="C3726" s="12" t="s">
        <v>16</v>
      </c>
      <c r="D3726" s="12" t="s">
        <v>14</v>
      </c>
      <c r="E3726" s="12">
        <v>-3375</v>
      </c>
    </row>
    <row r="3727" spans="1:5">
      <c r="A3727" s="15">
        <v>43744</v>
      </c>
      <c r="B3727" s="13">
        <v>2513</v>
      </c>
      <c r="C3727" s="13" t="s">
        <v>17</v>
      </c>
      <c r="D3727" s="13" t="s">
        <v>10</v>
      </c>
      <c r="E3727" s="13">
        <v>-918</v>
      </c>
    </row>
    <row r="3728" spans="1:5">
      <c r="A3728" s="14">
        <v>43744</v>
      </c>
      <c r="B3728" s="12">
        <v>2513</v>
      </c>
      <c r="C3728" s="12" t="s">
        <v>17</v>
      </c>
      <c r="D3728" s="12" t="s">
        <v>8</v>
      </c>
      <c r="E3728" s="12">
        <v>-550</v>
      </c>
    </row>
    <row r="3729" spans="1:5">
      <c r="A3729" s="15">
        <v>43744</v>
      </c>
      <c r="B3729" s="13">
        <v>2510</v>
      </c>
      <c r="C3729" s="13" t="s">
        <v>24</v>
      </c>
      <c r="D3729" s="13" t="s">
        <v>8</v>
      </c>
      <c r="E3729" s="13">
        <v>-922</v>
      </c>
    </row>
    <row r="3730" spans="1:5">
      <c r="A3730" s="14">
        <v>43744</v>
      </c>
      <c r="B3730" s="12">
        <v>1000</v>
      </c>
      <c r="C3730" s="12" t="s">
        <v>23</v>
      </c>
      <c r="D3730" s="12" t="s">
        <v>19</v>
      </c>
      <c r="E3730" s="12">
        <v>575993</v>
      </c>
    </row>
    <row r="3731" spans="1:5">
      <c r="A3731" s="15">
        <v>43744</v>
      </c>
      <c r="B3731" s="13">
        <v>1000</v>
      </c>
      <c r="C3731" s="13" t="s">
        <v>23</v>
      </c>
      <c r="D3731" s="13" t="s">
        <v>19</v>
      </c>
      <c r="E3731" s="13">
        <v>1329574</v>
      </c>
    </row>
    <row r="3732" spans="1:5">
      <c r="A3732" s="14">
        <v>43745</v>
      </c>
      <c r="B3732" s="12">
        <v>2000</v>
      </c>
      <c r="C3732" s="12" t="s">
        <v>18</v>
      </c>
      <c r="D3732" s="12" t="s">
        <v>19</v>
      </c>
      <c r="E3732" s="12">
        <v>-235840</v>
      </c>
    </row>
    <row r="3733" spans="1:5">
      <c r="A3733" s="15">
        <v>43745</v>
      </c>
      <c r="B3733" s="13">
        <v>2500</v>
      </c>
      <c r="C3733" s="13" t="s">
        <v>25</v>
      </c>
      <c r="D3733" s="13" t="s">
        <v>19</v>
      </c>
      <c r="E3733" s="13">
        <v>-53888</v>
      </c>
    </row>
    <row r="3734" spans="1:5">
      <c r="A3734" s="14">
        <v>43745</v>
      </c>
      <c r="B3734" s="12">
        <v>1500</v>
      </c>
      <c r="C3734" s="12" t="s">
        <v>26</v>
      </c>
      <c r="D3734" s="12" t="s">
        <v>19</v>
      </c>
      <c r="E3734" s="12">
        <v>-34755</v>
      </c>
    </row>
    <row r="3735" spans="1:5">
      <c r="A3735" s="15">
        <v>43745</v>
      </c>
      <c r="B3735" s="13">
        <v>2512</v>
      </c>
      <c r="C3735" s="13" t="s">
        <v>16</v>
      </c>
      <c r="D3735" s="13" t="s">
        <v>19</v>
      </c>
      <c r="E3735" s="13">
        <v>-9297</v>
      </c>
    </row>
    <row r="3736" spans="1:5">
      <c r="A3736" s="14">
        <v>43745</v>
      </c>
      <c r="B3736" s="12">
        <v>2502</v>
      </c>
      <c r="C3736" s="12" t="s">
        <v>7</v>
      </c>
      <c r="D3736" s="12" t="s">
        <v>19</v>
      </c>
      <c r="E3736" s="12">
        <v>-5927</v>
      </c>
    </row>
    <row r="3737" spans="1:5">
      <c r="A3737" s="15">
        <v>43745</v>
      </c>
      <c r="B3737" s="13">
        <v>2504</v>
      </c>
      <c r="C3737" s="13" t="s">
        <v>21</v>
      </c>
      <c r="D3737" s="13" t="s">
        <v>19</v>
      </c>
      <c r="E3737" s="13">
        <v>-1757</v>
      </c>
    </row>
    <row r="3738" spans="1:5">
      <c r="A3738" s="14">
        <v>43745</v>
      </c>
      <c r="B3738" s="12">
        <v>2514</v>
      </c>
      <c r="C3738" s="12" t="s">
        <v>20</v>
      </c>
      <c r="D3738" s="12" t="s">
        <v>19</v>
      </c>
      <c r="E3738" s="12">
        <v>-1215</v>
      </c>
    </row>
    <row r="3739" spans="1:5">
      <c r="A3739" s="15">
        <v>43745</v>
      </c>
      <c r="B3739" s="13">
        <v>2510</v>
      </c>
      <c r="C3739" s="13" t="s">
        <v>24</v>
      </c>
      <c r="D3739" s="13" t="s">
        <v>19</v>
      </c>
      <c r="E3739" s="13">
        <v>-922</v>
      </c>
    </row>
    <row r="3740" spans="1:5">
      <c r="A3740" s="14">
        <v>43745</v>
      </c>
      <c r="B3740" s="12">
        <v>2513</v>
      </c>
      <c r="C3740" s="12" t="s">
        <v>17</v>
      </c>
      <c r="D3740" s="12" t="s">
        <v>19</v>
      </c>
      <c r="E3740" s="12">
        <v>-710</v>
      </c>
    </row>
    <row r="3741" spans="1:5">
      <c r="A3741" s="15">
        <v>43745</v>
      </c>
      <c r="B3741" s="13">
        <v>2505</v>
      </c>
      <c r="C3741" s="13" t="s">
        <v>9</v>
      </c>
      <c r="D3741" s="13" t="s">
        <v>19</v>
      </c>
      <c r="E3741" s="13">
        <v>-364</v>
      </c>
    </row>
    <row r="3742" spans="1:5">
      <c r="A3742" s="14">
        <v>43745</v>
      </c>
      <c r="B3742" s="12">
        <v>2502</v>
      </c>
      <c r="C3742" s="12" t="s">
        <v>7</v>
      </c>
      <c r="D3742" s="12" t="s">
        <v>8</v>
      </c>
      <c r="E3742" s="12">
        <v>-5763</v>
      </c>
    </row>
    <row r="3743" spans="1:5">
      <c r="A3743" s="15">
        <v>43745</v>
      </c>
      <c r="B3743" s="13">
        <v>2503</v>
      </c>
      <c r="C3743" s="13" t="s">
        <v>22</v>
      </c>
      <c r="D3743" s="13" t="s">
        <v>8</v>
      </c>
      <c r="E3743" s="13">
        <v>-341</v>
      </c>
    </row>
    <row r="3744" spans="1:5">
      <c r="A3744" s="14">
        <v>43745</v>
      </c>
      <c r="B3744" s="12">
        <v>2505</v>
      </c>
      <c r="C3744" s="12" t="s">
        <v>9</v>
      </c>
      <c r="D3744" s="12" t="s">
        <v>14</v>
      </c>
      <c r="E3744" s="12">
        <v>-564</v>
      </c>
    </row>
    <row r="3745" spans="1:5">
      <c r="A3745" s="15">
        <v>43745</v>
      </c>
      <c r="B3745" s="13">
        <v>2512</v>
      </c>
      <c r="C3745" s="13" t="s">
        <v>16</v>
      </c>
      <c r="D3745" s="13" t="s">
        <v>6</v>
      </c>
      <c r="E3745" s="13">
        <v>-3248</v>
      </c>
    </row>
    <row r="3746" spans="1:5">
      <c r="A3746" s="14">
        <v>43745</v>
      </c>
      <c r="B3746" s="12">
        <v>2512</v>
      </c>
      <c r="C3746" s="12" t="s">
        <v>16</v>
      </c>
      <c r="D3746" s="12" t="s">
        <v>8</v>
      </c>
      <c r="E3746" s="12">
        <v>-3866</v>
      </c>
    </row>
    <row r="3747" spans="1:5">
      <c r="A3747" s="15">
        <v>43745</v>
      </c>
      <c r="B3747" s="13">
        <v>2513</v>
      </c>
      <c r="C3747" s="13" t="s">
        <v>17</v>
      </c>
      <c r="D3747" s="13" t="s">
        <v>13</v>
      </c>
      <c r="E3747" s="13">
        <v>-871</v>
      </c>
    </row>
    <row r="3748" spans="1:5">
      <c r="A3748" s="14">
        <v>43745</v>
      </c>
      <c r="B3748" s="12">
        <v>2514</v>
      </c>
      <c r="C3748" s="12" t="s">
        <v>20</v>
      </c>
      <c r="D3748" s="12" t="s">
        <v>14</v>
      </c>
      <c r="E3748" s="12">
        <v>-1181</v>
      </c>
    </row>
    <row r="3749" spans="1:5">
      <c r="A3749" s="15">
        <v>43745</v>
      </c>
      <c r="B3749" s="13">
        <v>2501</v>
      </c>
      <c r="C3749" s="13" t="s">
        <v>5</v>
      </c>
      <c r="D3749" s="13" t="s">
        <v>19</v>
      </c>
      <c r="E3749" s="13">
        <v>-116</v>
      </c>
    </row>
    <row r="3750" spans="1:5">
      <c r="A3750" s="14">
        <v>43745</v>
      </c>
      <c r="B3750" s="12">
        <v>2501</v>
      </c>
      <c r="C3750" s="12" t="s">
        <v>5</v>
      </c>
      <c r="D3750" s="12" t="s">
        <v>19</v>
      </c>
      <c r="E3750" s="12">
        <v>-116</v>
      </c>
    </row>
    <row r="3751" spans="1:5">
      <c r="A3751" s="15">
        <v>43745</v>
      </c>
      <c r="B3751" s="13">
        <v>2501</v>
      </c>
      <c r="C3751" s="13" t="s">
        <v>5</v>
      </c>
      <c r="D3751" s="13" t="s">
        <v>19</v>
      </c>
      <c r="E3751" s="13">
        <v>-78</v>
      </c>
    </row>
    <row r="3752" spans="1:5">
      <c r="A3752" s="14">
        <v>43745</v>
      </c>
      <c r="B3752" s="12">
        <v>2501</v>
      </c>
      <c r="C3752" s="12" t="s">
        <v>5</v>
      </c>
      <c r="D3752" s="12" t="s">
        <v>19</v>
      </c>
      <c r="E3752" s="12">
        <v>-67</v>
      </c>
    </row>
    <row r="3753" spans="1:5">
      <c r="A3753" s="15">
        <v>43745</v>
      </c>
      <c r="B3753" s="13">
        <v>2501</v>
      </c>
      <c r="C3753" s="13" t="s">
        <v>5</v>
      </c>
      <c r="D3753" s="13" t="s">
        <v>19</v>
      </c>
      <c r="E3753" s="13">
        <v>-58</v>
      </c>
    </row>
    <row r="3754" spans="1:5">
      <c r="A3754" s="14">
        <v>43745</v>
      </c>
      <c r="B3754" s="12">
        <v>1000</v>
      </c>
      <c r="C3754" s="12" t="s">
        <v>23</v>
      </c>
      <c r="D3754" s="12" t="s">
        <v>19</v>
      </c>
      <c r="E3754" s="12">
        <v>535488</v>
      </c>
    </row>
    <row r="3755" spans="1:5">
      <c r="A3755" s="15">
        <v>43745</v>
      </c>
      <c r="B3755" s="13">
        <v>1000</v>
      </c>
      <c r="C3755" s="13" t="s">
        <v>23</v>
      </c>
      <c r="D3755" s="13" t="s">
        <v>19</v>
      </c>
      <c r="E3755" s="13">
        <v>848781</v>
      </c>
    </row>
    <row r="3756" spans="1:5">
      <c r="A3756" s="14">
        <v>43746</v>
      </c>
      <c r="B3756" s="12">
        <v>2000</v>
      </c>
      <c r="C3756" s="12" t="s">
        <v>18</v>
      </c>
      <c r="D3756" s="12" t="s">
        <v>19</v>
      </c>
      <c r="E3756" s="12">
        <v>-256150</v>
      </c>
    </row>
    <row r="3757" spans="1:5">
      <c r="A3757" s="15">
        <v>43746</v>
      </c>
      <c r="B3757" s="13">
        <v>2000</v>
      </c>
      <c r="C3757" s="13" t="s">
        <v>18</v>
      </c>
      <c r="D3757" s="13" t="s">
        <v>19</v>
      </c>
      <c r="E3757" s="13">
        <v>-207336</v>
      </c>
    </row>
    <row r="3758" spans="1:5">
      <c r="A3758" s="14">
        <v>43746</v>
      </c>
      <c r="B3758" s="12">
        <v>1500</v>
      </c>
      <c r="C3758" s="12" t="s">
        <v>26</v>
      </c>
      <c r="D3758" s="12" t="s">
        <v>19</v>
      </c>
      <c r="E3758" s="12">
        <v>-58226</v>
      </c>
    </row>
    <row r="3759" spans="1:5">
      <c r="A3759" s="15">
        <v>43746</v>
      </c>
      <c r="B3759" s="13">
        <v>1500</v>
      </c>
      <c r="C3759" s="13" t="s">
        <v>26</v>
      </c>
      <c r="D3759" s="13" t="s">
        <v>19</v>
      </c>
      <c r="E3759" s="13">
        <v>-49228</v>
      </c>
    </row>
    <row r="3760" spans="1:5">
      <c r="A3760" s="14">
        <v>43746</v>
      </c>
      <c r="B3760" s="12">
        <v>2504</v>
      </c>
      <c r="C3760" s="12" t="s">
        <v>21</v>
      </c>
      <c r="D3760" s="12" t="s">
        <v>19</v>
      </c>
      <c r="E3760" s="12">
        <v>-1402</v>
      </c>
    </row>
    <row r="3761" spans="1:5">
      <c r="A3761" s="15">
        <v>43746</v>
      </c>
      <c r="B3761" s="13">
        <v>2514</v>
      </c>
      <c r="C3761" s="13" t="s">
        <v>20</v>
      </c>
      <c r="D3761" s="13" t="s">
        <v>19</v>
      </c>
      <c r="E3761" s="13">
        <v>-963</v>
      </c>
    </row>
    <row r="3762" spans="1:5">
      <c r="A3762" s="14">
        <v>43746</v>
      </c>
      <c r="B3762" s="12">
        <v>2505</v>
      </c>
      <c r="C3762" s="12" t="s">
        <v>9</v>
      </c>
      <c r="D3762" s="12" t="s">
        <v>19</v>
      </c>
      <c r="E3762" s="12">
        <v>-565</v>
      </c>
    </row>
    <row r="3763" spans="1:5">
      <c r="A3763" s="15">
        <v>43746</v>
      </c>
      <c r="B3763" s="13">
        <v>2505</v>
      </c>
      <c r="C3763" s="13" t="s">
        <v>9</v>
      </c>
      <c r="D3763" s="13" t="s">
        <v>19</v>
      </c>
      <c r="E3763" s="13">
        <v>-550</v>
      </c>
    </row>
    <row r="3764" spans="1:5">
      <c r="A3764" s="14">
        <v>43746</v>
      </c>
      <c r="B3764" s="12">
        <v>2501</v>
      </c>
      <c r="C3764" s="12" t="s">
        <v>5</v>
      </c>
      <c r="D3764" s="12" t="s">
        <v>12</v>
      </c>
      <c r="E3764" s="12">
        <v>-294</v>
      </c>
    </row>
    <row r="3765" spans="1:5">
      <c r="A3765" s="15">
        <v>43746</v>
      </c>
      <c r="B3765" s="13">
        <v>2503</v>
      </c>
      <c r="C3765" s="13" t="s">
        <v>22</v>
      </c>
      <c r="D3765" s="13" t="s">
        <v>12</v>
      </c>
      <c r="E3765" s="13">
        <v>-527</v>
      </c>
    </row>
    <row r="3766" spans="1:5">
      <c r="A3766" s="14">
        <v>43746</v>
      </c>
      <c r="B3766" s="12">
        <v>2508</v>
      </c>
      <c r="C3766" s="12" t="s">
        <v>15</v>
      </c>
      <c r="D3766" s="12" t="s">
        <v>8</v>
      </c>
      <c r="E3766" s="12">
        <v>-60253</v>
      </c>
    </row>
    <row r="3767" spans="1:5">
      <c r="A3767" s="15">
        <v>43746</v>
      </c>
      <c r="B3767" s="13">
        <v>2512</v>
      </c>
      <c r="C3767" s="13" t="s">
        <v>16</v>
      </c>
      <c r="D3767" s="13" t="s">
        <v>10</v>
      </c>
      <c r="E3767" s="13">
        <v>-2018</v>
      </c>
    </row>
    <row r="3768" spans="1:5">
      <c r="A3768" s="14">
        <v>43746</v>
      </c>
      <c r="B3768" s="12">
        <v>2513</v>
      </c>
      <c r="C3768" s="12" t="s">
        <v>17</v>
      </c>
      <c r="D3768" s="12" t="s">
        <v>10</v>
      </c>
      <c r="E3768" s="12">
        <v>-584</v>
      </c>
    </row>
    <row r="3769" spans="1:5">
      <c r="A3769" s="15">
        <v>43746</v>
      </c>
      <c r="B3769" s="13">
        <v>2513</v>
      </c>
      <c r="C3769" s="13" t="s">
        <v>17</v>
      </c>
      <c r="D3769" s="13" t="s">
        <v>14</v>
      </c>
      <c r="E3769" s="13">
        <v>-1243</v>
      </c>
    </row>
    <row r="3770" spans="1:5">
      <c r="A3770" s="14">
        <v>43746</v>
      </c>
      <c r="B3770" s="12">
        <v>2505</v>
      </c>
      <c r="C3770" s="12" t="s">
        <v>9</v>
      </c>
      <c r="D3770" s="12" t="s">
        <v>19</v>
      </c>
      <c r="E3770" s="12">
        <v>-294</v>
      </c>
    </row>
    <row r="3771" spans="1:5">
      <c r="A3771" s="15">
        <v>43746</v>
      </c>
      <c r="B3771" s="13">
        <v>2503</v>
      </c>
      <c r="C3771" s="13" t="s">
        <v>22</v>
      </c>
      <c r="D3771" s="13" t="s">
        <v>19</v>
      </c>
      <c r="E3771" s="13">
        <v>-253</v>
      </c>
    </row>
    <row r="3772" spans="1:5">
      <c r="A3772" s="14">
        <v>43746</v>
      </c>
      <c r="B3772" s="12">
        <v>2501</v>
      </c>
      <c r="C3772" s="12" t="s">
        <v>5</v>
      </c>
      <c r="D3772" s="12" t="s">
        <v>19</v>
      </c>
      <c r="E3772" s="12">
        <v>-108</v>
      </c>
    </row>
    <row r="3773" spans="1:5">
      <c r="A3773" s="15">
        <v>43746</v>
      </c>
      <c r="B3773" s="13">
        <v>1000</v>
      </c>
      <c r="C3773" s="13" t="s">
        <v>23</v>
      </c>
      <c r="D3773" s="13" t="s">
        <v>19</v>
      </c>
      <c r="E3773" s="13">
        <v>1162494</v>
      </c>
    </row>
    <row r="3774" spans="1:5">
      <c r="A3774" s="14">
        <v>43747</v>
      </c>
      <c r="B3774" s="12">
        <v>2504</v>
      </c>
      <c r="C3774" s="12" t="s">
        <v>21</v>
      </c>
      <c r="D3774" s="12" t="s">
        <v>19</v>
      </c>
      <c r="E3774" s="12">
        <v>-2011</v>
      </c>
    </row>
    <row r="3775" spans="1:5">
      <c r="A3775" s="15">
        <v>43747</v>
      </c>
      <c r="B3775" s="13">
        <v>2504</v>
      </c>
      <c r="C3775" s="13" t="s">
        <v>21</v>
      </c>
      <c r="D3775" s="13" t="s">
        <v>19</v>
      </c>
      <c r="E3775" s="13">
        <v>-1197</v>
      </c>
    </row>
    <row r="3776" spans="1:5">
      <c r="A3776" s="14">
        <v>43747</v>
      </c>
      <c r="B3776" s="12">
        <v>2502</v>
      </c>
      <c r="C3776" s="12" t="s">
        <v>7</v>
      </c>
      <c r="D3776" s="12" t="s">
        <v>10</v>
      </c>
      <c r="E3776" s="12">
        <v>-4338</v>
      </c>
    </row>
    <row r="3777" spans="1:5">
      <c r="A3777" s="15">
        <v>43747</v>
      </c>
      <c r="B3777" s="13">
        <v>2503</v>
      </c>
      <c r="C3777" s="13" t="s">
        <v>22</v>
      </c>
      <c r="D3777" s="13" t="s">
        <v>6</v>
      </c>
      <c r="E3777" s="13">
        <v>-307</v>
      </c>
    </row>
    <row r="3778" spans="1:5">
      <c r="A3778" s="14">
        <v>43747</v>
      </c>
      <c r="B3778" s="12">
        <v>2503</v>
      </c>
      <c r="C3778" s="12" t="s">
        <v>22</v>
      </c>
      <c r="D3778" s="12" t="s">
        <v>12</v>
      </c>
      <c r="E3778" s="12">
        <v>-450</v>
      </c>
    </row>
    <row r="3779" spans="1:5">
      <c r="A3779" s="15">
        <v>43747</v>
      </c>
      <c r="B3779" s="13">
        <v>2505</v>
      </c>
      <c r="C3779" s="13" t="s">
        <v>9</v>
      </c>
      <c r="D3779" s="13" t="s">
        <v>10</v>
      </c>
      <c r="E3779" s="13">
        <v>-793</v>
      </c>
    </row>
    <row r="3780" spans="1:5">
      <c r="A3780" s="14">
        <v>43747</v>
      </c>
      <c r="B3780" s="12">
        <v>2508</v>
      </c>
      <c r="C3780" s="12" t="s">
        <v>15</v>
      </c>
      <c r="D3780" s="12" t="s">
        <v>10</v>
      </c>
      <c r="E3780" s="12">
        <v>-58585</v>
      </c>
    </row>
    <row r="3781" spans="1:5">
      <c r="A3781" s="15">
        <v>43747</v>
      </c>
      <c r="B3781" s="13">
        <v>2508</v>
      </c>
      <c r="C3781" s="13" t="s">
        <v>15</v>
      </c>
      <c r="D3781" s="13" t="s">
        <v>10</v>
      </c>
      <c r="E3781" s="13">
        <v>-74266</v>
      </c>
    </row>
    <row r="3782" spans="1:5">
      <c r="A3782" s="14">
        <v>43747</v>
      </c>
      <c r="B3782" s="12">
        <v>2513</v>
      </c>
      <c r="C3782" s="12" t="s">
        <v>17</v>
      </c>
      <c r="D3782" s="12" t="s">
        <v>8</v>
      </c>
      <c r="E3782" s="12">
        <v>-549</v>
      </c>
    </row>
    <row r="3783" spans="1:5">
      <c r="A3783" s="15">
        <v>43747</v>
      </c>
      <c r="B3783" s="13">
        <v>2514</v>
      </c>
      <c r="C3783" s="13" t="s">
        <v>20</v>
      </c>
      <c r="D3783" s="13" t="s">
        <v>6</v>
      </c>
      <c r="E3783" s="13">
        <v>-1470</v>
      </c>
    </row>
    <row r="3784" spans="1:5">
      <c r="A3784" s="14">
        <v>43747</v>
      </c>
      <c r="B3784" s="12">
        <v>2510</v>
      </c>
      <c r="C3784" s="12" t="s">
        <v>24</v>
      </c>
      <c r="D3784" s="12" t="s">
        <v>6</v>
      </c>
      <c r="E3784" s="12">
        <v>-1902</v>
      </c>
    </row>
    <row r="3785" spans="1:5">
      <c r="A3785" s="15">
        <v>43747</v>
      </c>
      <c r="B3785" s="13">
        <v>2503</v>
      </c>
      <c r="C3785" s="13" t="s">
        <v>22</v>
      </c>
      <c r="D3785" s="13" t="s">
        <v>19</v>
      </c>
      <c r="E3785" s="13">
        <v>-275</v>
      </c>
    </row>
    <row r="3786" spans="1:5">
      <c r="A3786" s="14">
        <v>43747</v>
      </c>
      <c r="B3786" s="12">
        <v>2503</v>
      </c>
      <c r="C3786" s="12" t="s">
        <v>22</v>
      </c>
      <c r="D3786" s="12" t="s">
        <v>19</v>
      </c>
      <c r="E3786" s="12">
        <v>-228</v>
      </c>
    </row>
    <row r="3787" spans="1:5">
      <c r="A3787" s="15">
        <v>43748</v>
      </c>
      <c r="B3787" s="13">
        <v>2508</v>
      </c>
      <c r="C3787" s="13" t="s">
        <v>15</v>
      </c>
      <c r="D3787" s="13" t="s">
        <v>19</v>
      </c>
      <c r="E3787" s="13">
        <v>-57795</v>
      </c>
    </row>
    <row r="3788" spans="1:5">
      <c r="A3788" s="14">
        <v>43748</v>
      </c>
      <c r="B3788" s="12">
        <v>2500</v>
      </c>
      <c r="C3788" s="12" t="s">
        <v>25</v>
      </c>
      <c r="D3788" s="12" t="s">
        <v>19</v>
      </c>
      <c r="E3788" s="12">
        <v>-43627</v>
      </c>
    </row>
    <row r="3789" spans="1:5">
      <c r="A3789" s="15">
        <v>43748</v>
      </c>
      <c r="B3789" s="13">
        <v>2512</v>
      </c>
      <c r="C3789" s="13" t="s">
        <v>16</v>
      </c>
      <c r="D3789" s="13" t="s">
        <v>19</v>
      </c>
      <c r="E3789" s="13">
        <v>-5204</v>
      </c>
    </row>
    <row r="3790" spans="1:5">
      <c r="A3790" s="14">
        <v>43748</v>
      </c>
      <c r="B3790" s="12">
        <v>2510</v>
      </c>
      <c r="C3790" s="12" t="s">
        <v>24</v>
      </c>
      <c r="D3790" s="12" t="s">
        <v>19</v>
      </c>
      <c r="E3790" s="12">
        <v>-1274</v>
      </c>
    </row>
    <row r="3791" spans="1:5">
      <c r="A3791" s="15">
        <v>43748</v>
      </c>
      <c r="B3791" s="13">
        <v>2510</v>
      </c>
      <c r="C3791" s="13" t="s">
        <v>24</v>
      </c>
      <c r="D3791" s="13" t="s">
        <v>19</v>
      </c>
      <c r="E3791" s="13">
        <v>-1096</v>
      </c>
    </row>
    <row r="3792" spans="1:5">
      <c r="A3792" s="14">
        <v>43748</v>
      </c>
      <c r="B3792" s="12">
        <v>2513</v>
      </c>
      <c r="C3792" s="12" t="s">
        <v>17</v>
      </c>
      <c r="D3792" s="12" t="s">
        <v>19</v>
      </c>
      <c r="E3792" s="12">
        <v>-830</v>
      </c>
    </row>
    <row r="3793" spans="1:5">
      <c r="A3793" s="15">
        <v>43748</v>
      </c>
      <c r="B3793" s="13">
        <v>2501</v>
      </c>
      <c r="C3793" s="13" t="s">
        <v>5</v>
      </c>
      <c r="D3793" s="13" t="s">
        <v>13</v>
      </c>
      <c r="E3793" s="13">
        <v>-95</v>
      </c>
    </row>
    <row r="3794" spans="1:5">
      <c r="A3794" s="14">
        <v>43748</v>
      </c>
      <c r="B3794" s="12">
        <v>2505</v>
      </c>
      <c r="C3794" s="12" t="s">
        <v>9</v>
      </c>
      <c r="D3794" s="12" t="s">
        <v>6</v>
      </c>
      <c r="E3794" s="12">
        <v>-536</v>
      </c>
    </row>
    <row r="3795" spans="1:5">
      <c r="A3795" s="15">
        <v>43748</v>
      </c>
      <c r="B3795" s="13">
        <v>2512</v>
      </c>
      <c r="C3795" s="13" t="s">
        <v>16</v>
      </c>
      <c r="D3795" s="13" t="s">
        <v>8</v>
      </c>
      <c r="E3795" s="13">
        <v>-3984</v>
      </c>
    </row>
    <row r="3796" spans="1:5">
      <c r="A3796" s="14">
        <v>43748</v>
      </c>
      <c r="B3796" s="12">
        <v>2501</v>
      </c>
      <c r="C3796" s="12" t="s">
        <v>5</v>
      </c>
      <c r="D3796" s="12" t="s">
        <v>19</v>
      </c>
      <c r="E3796" s="12">
        <v>-111</v>
      </c>
    </row>
    <row r="3797" spans="1:5">
      <c r="A3797" s="15">
        <v>43748</v>
      </c>
      <c r="B3797" s="13">
        <v>2501</v>
      </c>
      <c r="C3797" s="13" t="s">
        <v>5</v>
      </c>
      <c r="D3797" s="13" t="s">
        <v>19</v>
      </c>
      <c r="E3797" s="13">
        <v>-69</v>
      </c>
    </row>
    <row r="3798" spans="1:5">
      <c r="A3798" s="14">
        <v>43749</v>
      </c>
      <c r="B3798" s="12">
        <v>2500</v>
      </c>
      <c r="C3798" s="12" t="s">
        <v>25</v>
      </c>
      <c r="D3798" s="12" t="s">
        <v>19</v>
      </c>
      <c r="E3798" s="12">
        <v>-51368</v>
      </c>
    </row>
    <row r="3799" spans="1:5">
      <c r="A3799" s="15">
        <v>43749</v>
      </c>
      <c r="B3799" s="13">
        <v>2500</v>
      </c>
      <c r="C3799" s="13" t="s">
        <v>25</v>
      </c>
      <c r="D3799" s="13" t="s">
        <v>19</v>
      </c>
      <c r="E3799" s="13">
        <v>-30762</v>
      </c>
    </row>
    <row r="3800" spans="1:5">
      <c r="A3800" s="14">
        <v>43749</v>
      </c>
      <c r="B3800" s="12">
        <v>2500</v>
      </c>
      <c r="C3800" s="12" t="s">
        <v>25</v>
      </c>
      <c r="D3800" s="12" t="s">
        <v>19</v>
      </c>
      <c r="E3800" s="12">
        <v>-27764</v>
      </c>
    </row>
    <row r="3801" spans="1:5">
      <c r="A3801" s="15">
        <v>43749</v>
      </c>
      <c r="B3801" s="13">
        <v>2500</v>
      </c>
      <c r="C3801" s="13" t="s">
        <v>25</v>
      </c>
      <c r="D3801" s="13" t="s">
        <v>19</v>
      </c>
      <c r="E3801" s="13">
        <v>-16037</v>
      </c>
    </row>
    <row r="3802" spans="1:5">
      <c r="A3802" s="14">
        <v>43749</v>
      </c>
      <c r="B3802" s="12">
        <v>2512</v>
      </c>
      <c r="C3802" s="12" t="s">
        <v>16</v>
      </c>
      <c r="D3802" s="12" t="s">
        <v>19</v>
      </c>
      <c r="E3802" s="12">
        <v>-11837</v>
      </c>
    </row>
    <row r="3803" spans="1:5">
      <c r="A3803" s="15">
        <v>43749</v>
      </c>
      <c r="B3803" s="13">
        <v>2510</v>
      </c>
      <c r="C3803" s="13" t="s">
        <v>24</v>
      </c>
      <c r="D3803" s="13" t="s">
        <v>19</v>
      </c>
      <c r="E3803" s="13">
        <v>-1349</v>
      </c>
    </row>
    <row r="3804" spans="1:5">
      <c r="A3804" s="14">
        <v>43749</v>
      </c>
      <c r="B3804" s="12">
        <v>2510</v>
      </c>
      <c r="C3804" s="12" t="s">
        <v>24</v>
      </c>
      <c r="D3804" s="12" t="s">
        <v>19</v>
      </c>
      <c r="E3804" s="12">
        <v>-838</v>
      </c>
    </row>
    <row r="3805" spans="1:5">
      <c r="A3805" s="15">
        <v>43749</v>
      </c>
      <c r="B3805" s="13">
        <v>2514</v>
      </c>
      <c r="C3805" s="13" t="s">
        <v>20</v>
      </c>
      <c r="D3805" s="13" t="s">
        <v>19</v>
      </c>
      <c r="E3805" s="13">
        <v>-820</v>
      </c>
    </row>
    <row r="3806" spans="1:5">
      <c r="A3806" s="14">
        <v>43749</v>
      </c>
      <c r="B3806" s="12">
        <v>2505</v>
      </c>
      <c r="C3806" s="12" t="s">
        <v>9</v>
      </c>
      <c r="D3806" s="12" t="s">
        <v>19</v>
      </c>
      <c r="E3806" s="12">
        <v>-560</v>
      </c>
    </row>
    <row r="3807" spans="1:5">
      <c r="A3807" s="15">
        <v>43749</v>
      </c>
      <c r="B3807" s="13">
        <v>2501</v>
      </c>
      <c r="C3807" s="13" t="s">
        <v>5</v>
      </c>
      <c r="D3807" s="13" t="s">
        <v>8</v>
      </c>
      <c r="E3807" s="13">
        <v>-90</v>
      </c>
    </row>
    <row r="3808" spans="1:5">
      <c r="A3808" s="14">
        <v>43749</v>
      </c>
      <c r="B3808" s="12">
        <v>2502</v>
      </c>
      <c r="C3808" s="12" t="s">
        <v>7</v>
      </c>
      <c r="D3808" s="12" t="s">
        <v>13</v>
      </c>
      <c r="E3808" s="12">
        <v>-4299</v>
      </c>
    </row>
    <row r="3809" spans="1:5">
      <c r="A3809" s="15">
        <v>43749</v>
      </c>
      <c r="B3809" s="13">
        <v>2502</v>
      </c>
      <c r="C3809" s="13" t="s">
        <v>7</v>
      </c>
      <c r="D3809" s="13" t="s">
        <v>13</v>
      </c>
      <c r="E3809" s="13">
        <v>-3295</v>
      </c>
    </row>
    <row r="3810" spans="1:5">
      <c r="A3810" s="14">
        <v>43749</v>
      </c>
      <c r="B3810" s="12">
        <v>2503</v>
      </c>
      <c r="C3810" s="12" t="s">
        <v>22</v>
      </c>
      <c r="D3810" s="12" t="s">
        <v>6</v>
      </c>
      <c r="E3810" s="12">
        <v>-418</v>
      </c>
    </row>
    <row r="3811" spans="1:5">
      <c r="A3811" s="15">
        <v>43749</v>
      </c>
      <c r="B3811" s="13">
        <v>2505</v>
      </c>
      <c r="C3811" s="13" t="s">
        <v>9</v>
      </c>
      <c r="D3811" s="13" t="s">
        <v>13</v>
      </c>
      <c r="E3811" s="13">
        <v>-379</v>
      </c>
    </row>
    <row r="3812" spans="1:5">
      <c r="A3812" s="14">
        <v>43749</v>
      </c>
      <c r="B3812" s="12">
        <v>2505</v>
      </c>
      <c r="C3812" s="12" t="s">
        <v>9</v>
      </c>
      <c r="D3812" s="12" t="s">
        <v>14</v>
      </c>
      <c r="E3812" s="12">
        <v>-467</v>
      </c>
    </row>
    <row r="3813" spans="1:5">
      <c r="A3813" s="15">
        <v>43749</v>
      </c>
      <c r="B3813" s="13">
        <v>2508</v>
      </c>
      <c r="C3813" s="13" t="s">
        <v>15</v>
      </c>
      <c r="D3813" s="13" t="s">
        <v>6</v>
      </c>
      <c r="E3813" s="13">
        <v>-58713</v>
      </c>
    </row>
    <row r="3814" spans="1:5">
      <c r="A3814" s="14">
        <v>43749</v>
      </c>
      <c r="B3814" s="12">
        <v>2508</v>
      </c>
      <c r="C3814" s="12" t="s">
        <v>15</v>
      </c>
      <c r="D3814" s="12" t="s">
        <v>6</v>
      </c>
      <c r="E3814" s="12">
        <v>-55387</v>
      </c>
    </row>
    <row r="3815" spans="1:5">
      <c r="A3815" s="15">
        <v>43749</v>
      </c>
      <c r="B3815" s="13">
        <v>2512</v>
      </c>
      <c r="C3815" s="13" t="s">
        <v>16</v>
      </c>
      <c r="D3815" s="13" t="s">
        <v>14</v>
      </c>
      <c r="E3815" s="13">
        <v>-2241</v>
      </c>
    </row>
    <row r="3816" spans="1:5">
      <c r="A3816" s="14">
        <v>43749</v>
      </c>
      <c r="B3816" s="12">
        <v>2514</v>
      </c>
      <c r="C3816" s="12" t="s">
        <v>20</v>
      </c>
      <c r="D3816" s="12" t="s">
        <v>8</v>
      </c>
      <c r="E3816" s="12">
        <v>-1046</v>
      </c>
    </row>
    <row r="3817" spans="1:5">
      <c r="A3817" s="15">
        <v>43749</v>
      </c>
      <c r="B3817" s="13">
        <v>2503</v>
      </c>
      <c r="C3817" s="13" t="s">
        <v>22</v>
      </c>
      <c r="D3817" s="13" t="s">
        <v>19</v>
      </c>
      <c r="E3817" s="13">
        <v>-229</v>
      </c>
    </row>
    <row r="3818" spans="1:5">
      <c r="A3818" s="14">
        <v>43749</v>
      </c>
      <c r="B3818" s="12">
        <v>2501</v>
      </c>
      <c r="C3818" s="12" t="s">
        <v>5</v>
      </c>
      <c r="D3818" s="12" t="s">
        <v>19</v>
      </c>
      <c r="E3818" s="12">
        <v>-114</v>
      </c>
    </row>
    <row r="3819" spans="1:5">
      <c r="A3819" s="15">
        <v>43749</v>
      </c>
      <c r="B3819" s="13">
        <v>2501</v>
      </c>
      <c r="C3819" s="13" t="s">
        <v>5</v>
      </c>
      <c r="D3819" s="13" t="s">
        <v>19</v>
      </c>
      <c r="E3819" s="13">
        <v>-105</v>
      </c>
    </row>
    <row r="3820" spans="1:5">
      <c r="A3820" s="14">
        <v>43749</v>
      </c>
      <c r="B3820" s="12">
        <v>1000</v>
      </c>
      <c r="C3820" s="12" t="s">
        <v>23</v>
      </c>
      <c r="D3820" s="12" t="s">
        <v>19</v>
      </c>
      <c r="E3820" s="12">
        <v>728336</v>
      </c>
    </row>
    <row r="3821" spans="1:5">
      <c r="A3821" s="15">
        <v>43750</v>
      </c>
      <c r="B3821" s="13">
        <v>2508</v>
      </c>
      <c r="C3821" s="13" t="s">
        <v>15</v>
      </c>
      <c r="D3821" s="13" t="s">
        <v>19</v>
      </c>
      <c r="E3821" s="13">
        <v>-63628</v>
      </c>
    </row>
    <row r="3822" spans="1:5">
      <c r="A3822" s="14">
        <v>43750</v>
      </c>
      <c r="B3822" s="12">
        <v>2512</v>
      </c>
      <c r="C3822" s="12" t="s">
        <v>16</v>
      </c>
      <c r="D3822" s="12" t="s">
        <v>19</v>
      </c>
      <c r="E3822" s="12">
        <v>-11887</v>
      </c>
    </row>
    <row r="3823" spans="1:5">
      <c r="A3823" s="15">
        <v>43750</v>
      </c>
      <c r="B3823" s="13">
        <v>2504</v>
      </c>
      <c r="C3823" s="13" t="s">
        <v>21</v>
      </c>
      <c r="D3823" s="13" t="s">
        <v>19</v>
      </c>
      <c r="E3823" s="13">
        <v>-1284</v>
      </c>
    </row>
    <row r="3824" spans="1:5">
      <c r="A3824" s="14">
        <v>43750</v>
      </c>
      <c r="B3824" s="12">
        <v>2510</v>
      </c>
      <c r="C3824" s="12" t="s">
        <v>24</v>
      </c>
      <c r="D3824" s="12" t="s">
        <v>19</v>
      </c>
      <c r="E3824" s="12">
        <v>-1244</v>
      </c>
    </row>
    <row r="3825" spans="1:5">
      <c r="A3825" s="15">
        <v>43750</v>
      </c>
      <c r="B3825" s="13">
        <v>2513</v>
      </c>
      <c r="C3825" s="13" t="s">
        <v>17</v>
      </c>
      <c r="D3825" s="13" t="s">
        <v>19</v>
      </c>
      <c r="E3825" s="13">
        <v>-791</v>
      </c>
    </row>
    <row r="3826" spans="1:5">
      <c r="A3826" s="14">
        <v>43750</v>
      </c>
      <c r="B3826" s="12">
        <v>2505</v>
      </c>
      <c r="C3826" s="12" t="s">
        <v>9</v>
      </c>
      <c r="D3826" s="12" t="s">
        <v>19</v>
      </c>
      <c r="E3826" s="12">
        <v>-410</v>
      </c>
    </row>
    <row r="3827" spans="1:5">
      <c r="A3827" s="15">
        <v>43750</v>
      </c>
      <c r="B3827" s="13">
        <v>2503</v>
      </c>
      <c r="C3827" s="13" t="s">
        <v>22</v>
      </c>
      <c r="D3827" s="13" t="s">
        <v>19</v>
      </c>
      <c r="E3827" s="13">
        <v>-326</v>
      </c>
    </row>
    <row r="3828" spans="1:5">
      <c r="A3828" s="14">
        <v>43750</v>
      </c>
      <c r="B3828" s="12">
        <v>2513</v>
      </c>
      <c r="C3828" s="12" t="s">
        <v>17</v>
      </c>
      <c r="D3828" s="12" t="s">
        <v>8</v>
      </c>
      <c r="E3828" s="12">
        <v>-1035</v>
      </c>
    </row>
    <row r="3829" spans="1:5">
      <c r="A3829" s="15">
        <v>43750</v>
      </c>
      <c r="B3829" s="13">
        <v>2513</v>
      </c>
      <c r="C3829" s="13" t="s">
        <v>17</v>
      </c>
      <c r="D3829" s="13" t="s">
        <v>14</v>
      </c>
      <c r="E3829" s="13">
        <v>-1104</v>
      </c>
    </row>
    <row r="3830" spans="1:5">
      <c r="A3830" s="14">
        <v>43750</v>
      </c>
      <c r="B3830" s="12">
        <v>2510</v>
      </c>
      <c r="C3830" s="12" t="s">
        <v>24</v>
      </c>
      <c r="D3830" s="12" t="s">
        <v>12</v>
      </c>
      <c r="E3830" s="12">
        <v>-2915</v>
      </c>
    </row>
    <row r="3831" spans="1:5">
      <c r="A3831" s="15">
        <v>43750</v>
      </c>
      <c r="B3831" s="13">
        <v>2503</v>
      </c>
      <c r="C3831" s="13" t="s">
        <v>22</v>
      </c>
      <c r="D3831" s="13" t="s">
        <v>19</v>
      </c>
      <c r="E3831" s="13">
        <v>-227</v>
      </c>
    </row>
    <row r="3832" spans="1:5">
      <c r="A3832" s="14">
        <v>43750</v>
      </c>
      <c r="B3832" s="12">
        <v>2501</v>
      </c>
      <c r="C3832" s="12" t="s">
        <v>5</v>
      </c>
      <c r="D3832" s="12" t="s">
        <v>19</v>
      </c>
      <c r="E3832" s="12">
        <v>-141</v>
      </c>
    </row>
    <row r="3833" spans="1:5">
      <c r="A3833" s="15">
        <v>43750</v>
      </c>
      <c r="B3833" s="13">
        <v>2501</v>
      </c>
      <c r="C3833" s="13" t="s">
        <v>5</v>
      </c>
      <c r="D3833" s="13" t="s">
        <v>19</v>
      </c>
      <c r="E3833" s="13">
        <v>-79</v>
      </c>
    </row>
    <row r="3834" spans="1:5">
      <c r="A3834" s="14">
        <v>43750</v>
      </c>
      <c r="B3834" s="12">
        <v>1000</v>
      </c>
      <c r="C3834" s="12" t="s">
        <v>23</v>
      </c>
      <c r="D3834" s="12" t="s">
        <v>19</v>
      </c>
      <c r="E3834" s="12">
        <v>456735</v>
      </c>
    </row>
    <row r="3835" spans="1:5">
      <c r="A3835" s="15">
        <v>43751</v>
      </c>
      <c r="B3835" s="13">
        <v>2500</v>
      </c>
      <c r="C3835" s="13" t="s">
        <v>25</v>
      </c>
      <c r="D3835" s="13" t="s">
        <v>19</v>
      </c>
      <c r="E3835" s="13">
        <v>-49651</v>
      </c>
    </row>
    <row r="3836" spans="1:5">
      <c r="A3836" s="14">
        <v>43751</v>
      </c>
      <c r="B3836" s="12">
        <v>2502</v>
      </c>
      <c r="C3836" s="12" t="s">
        <v>7</v>
      </c>
      <c r="D3836" s="12" t="s">
        <v>19</v>
      </c>
      <c r="E3836" s="12">
        <v>-4854</v>
      </c>
    </row>
    <row r="3837" spans="1:5">
      <c r="A3837" s="15">
        <v>43751</v>
      </c>
      <c r="B3837" s="13">
        <v>2501</v>
      </c>
      <c r="C3837" s="13" t="s">
        <v>5</v>
      </c>
      <c r="D3837" s="13" t="s">
        <v>14</v>
      </c>
      <c r="E3837" s="13">
        <v>-198</v>
      </c>
    </row>
    <row r="3838" spans="1:5">
      <c r="A3838" s="14">
        <v>43751</v>
      </c>
      <c r="B3838" s="12">
        <v>2502</v>
      </c>
      <c r="C3838" s="12" t="s">
        <v>7</v>
      </c>
      <c r="D3838" s="12" t="s">
        <v>13</v>
      </c>
      <c r="E3838" s="12">
        <v>-4803</v>
      </c>
    </row>
    <row r="3839" spans="1:5">
      <c r="A3839" s="15">
        <v>43751</v>
      </c>
      <c r="B3839" s="13">
        <v>2503</v>
      </c>
      <c r="C3839" s="13" t="s">
        <v>22</v>
      </c>
      <c r="D3839" s="13" t="s">
        <v>13</v>
      </c>
      <c r="E3839" s="13">
        <v>-210</v>
      </c>
    </row>
    <row r="3840" spans="1:5">
      <c r="A3840" s="14">
        <v>43751</v>
      </c>
      <c r="B3840" s="12">
        <v>2505</v>
      </c>
      <c r="C3840" s="12" t="s">
        <v>9</v>
      </c>
      <c r="D3840" s="12" t="s">
        <v>8</v>
      </c>
      <c r="E3840" s="12">
        <v>-538</v>
      </c>
    </row>
    <row r="3841" spans="1:5">
      <c r="A3841" s="15">
        <v>43751</v>
      </c>
      <c r="B3841" s="13">
        <v>2505</v>
      </c>
      <c r="C3841" s="13" t="s">
        <v>9</v>
      </c>
      <c r="D3841" s="13" t="s">
        <v>14</v>
      </c>
      <c r="E3841" s="13">
        <v>-774</v>
      </c>
    </row>
    <row r="3842" spans="1:5">
      <c r="A3842" s="14">
        <v>43751</v>
      </c>
      <c r="B3842" s="12">
        <v>2505</v>
      </c>
      <c r="C3842" s="12" t="s">
        <v>9</v>
      </c>
      <c r="D3842" s="12" t="s">
        <v>10</v>
      </c>
      <c r="E3842" s="12">
        <v>-643</v>
      </c>
    </row>
    <row r="3843" spans="1:5">
      <c r="A3843" s="15">
        <v>43751</v>
      </c>
      <c r="B3843" s="13">
        <v>2508</v>
      </c>
      <c r="C3843" s="13" t="s">
        <v>15</v>
      </c>
      <c r="D3843" s="13" t="s">
        <v>12</v>
      </c>
      <c r="E3843" s="13">
        <v>-111352</v>
      </c>
    </row>
    <row r="3844" spans="1:5">
      <c r="A3844" s="14">
        <v>43751</v>
      </c>
      <c r="B3844" s="12">
        <v>2508</v>
      </c>
      <c r="C3844" s="12" t="s">
        <v>15</v>
      </c>
      <c r="D3844" s="12" t="s">
        <v>10</v>
      </c>
      <c r="E3844" s="12">
        <v>-56461</v>
      </c>
    </row>
    <row r="3845" spans="1:5">
      <c r="A3845" s="15">
        <v>43751</v>
      </c>
      <c r="B3845" s="13">
        <v>2513</v>
      </c>
      <c r="C3845" s="13" t="s">
        <v>17</v>
      </c>
      <c r="D3845" s="13" t="s">
        <v>8</v>
      </c>
      <c r="E3845" s="13">
        <v>-1139</v>
      </c>
    </row>
    <row r="3846" spans="1:5">
      <c r="A3846" s="14">
        <v>43751</v>
      </c>
      <c r="B3846" s="12">
        <v>2514</v>
      </c>
      <c r="C3846" s="12" t="s">
        <v>20</v>
      </c>
      <c r="D3846" s="12" t="s">
        <v>13</v>
      </c>
      <c r="E3846" s="12">
        <v>-757</v>
      </c>
    </row>
    <row r="3847" spans="1:5">
      <c r="A3847" s="15">
        <v>43751</v>
      </c>
      <c r="B3847" s="13">
        <v>2510</v>
      </c>
      <c r="C3847" s="13" t="s">
        <v>24</v>
      </c>
      <c r="D3847" s="13" t="s">
        <v>6</v>
      </c>
      <c r="E3847" s="13">
        <v>-1049</v>
      </c>
    </row>
    <row r="3848" spans="1:5">
      <c r="A3848" s="14">
        <v>43751</v>
      </c>
      <c r="B3848" s="12">
        <v>2510</v>
      </c>
      <c r="C3848" s="12" t="s">
        <v>24</v>
      </c>
      <c r="D3848" s="12" t="s">
        <v>14</v>
      </c>
      <c r="E3848" s="12">
        <v>-955</v>
      </c>
    </row>
    <row r="3849" spans="1:5">
      <c r="A3849" s="15">
        <v>43751</v>
      </c>
      <c r="B3849" s="13">
        <v>2503</v>
      </c>
      <c r="C3849" s="13" t="s">
        <v>22</v>
      </c>
      <c r="D3849" s="13" t="s">
        <v>19</v>
      </c>
      <c r="E3849" s="13">
        <v>-263</v>
      </c>
    </row>
    <row r="3850" spans="1:5">
      <c r="A3850" s="14">
        <v>43751</v>
      </c>
      <c r="B3850" s="12">
        <v>2503</v>
      </c>
      <c r="C3850" s="12" t="s">
        <v>22</v>
      </c>
      <c r="D3850" s="12" t="s">
        <v>19</v>
      </c>
      <c r="E3850" s="12">
        <v>-212</v>
      </c>
    </row>
    <row r="3851" spans="1:5">
      <c r="A3851" s="15">
        <v>43751</v>
      </c>
      <c r="B3851" s="13">
        <v>2501</v>
      </c>
      <c r="C3851" s="13" t="s">
        <v>5</v>
      </c>
      <c r="D3851" s="13" t="s">
        <v>19</v>
      </c>
      <c r="E3851" s="13">
        <v>-89</v>
      </c>
    </row>
    <row r="3852" spans="1:5">
      <c r="A3852" s="14">
        <v>43752</v>
      </c>
      <c r="B3852" s="12">
        <v>2000</v>
      </c>
      <c r="C3852" s="12" t="s">
        <v>18</v>
      </c>
      <c r="D3852" s="12" t="s">
        <v>19</v>
      </c>
      <c r="E3852" s="12">
        <v>-292322</v>
      </c>
    </row>
    <row r="3853" spans="1:5">
      <c r="A3853" s="15">
        <v>43752</v>
      </c>
      <c r="B3853" s="13">
        <v>2508</v>
      </c>
      <c r="C3853" s="13" t="s">
        <v>15</v>
      </c>
      <c r="D3853" s="13" t="s">
        <v>19</v>
      </c>
      <c r="E3853" s="13">
        <v>-64908</v>
      </c>
    </row>
    <row r="3854" spans="1:5">
      <c r="A3854" s="14">
        <v>43752</v>
      </c>
      <c r="B3854" s="12">
        <v>2500</v>
      </c>
      <c r="C3854" s="12" t="s">
        <v>25</v>
      </c>
      <c r="D3854" s="12" t="s">
        <v>19</v>
      </c>
      <c r="E3854" s="12">
        <v>-23368</v>
      </c>
    </row>
    <row r="3855" spans="1:5">
      <c r="A3855" s="15">
        <v>43752</v>
      </c>
      <c r="B3855" s="13">
        <v>2514</v>
      </c>
      <c r="C3855" s="13" t="s">
        <v>20</v>
      </c>
      <c r="D3855" s="13" t="s">
        <v>19</v>
      </c>
      <c r="E3855" s="13">
        <v>-927</v>
      </c>
    </row>
    <row r="3856" spans="1:5">
      <c r="A3856" s="14">
        <v>43752</v>
      </c>
      <c r="B3856" s="12">
        <v>2501</v>
      </c>
      <c r="C3856" s="12" t="s">
        <v>5</v>
      </c>
      <c r="D3856" s="12" t="s">
        <v>8</v>
      </c>
      <c r="E3856" s="12">
        <v>-95</v>
      </c>
    </row>
    <row r="3857" spans="1:5">
      <c r="A3857" s="15">
        <v>43752</v>
      </c>
      <c r="B3857" s="13">
        <v>2505</v>
      </c>
      <c r="C3857" s="13" t="s">
        <v>9</v>
      </c>
      <c r="D3857" s="13" t="s">
        <v>13</v>
      </c>
      <c r="E3857" s="13">
        <v>-482</v>
      </c>
    </row>
    <row r="3858" spans="1:5">
      <c r="A3858" s="14">
        <v>43752</v>
      </c>
      <c r="B3858" s="12">
        <v>2505</v>
      </c>
      <c r="C3858" s="12" t="s">
        <v>9</v>
      </c>
      <c r="D3858" s="12" t="s">
        <v>14</v>
      </c>
      <c r="E3858" s="12">
        <v>-738</v>
      </c>
    </row>
    <row r="3859" spans="1:5">
      <c r="A3859" s="15">
        <v>43752</v>
      </c>
      <c r="B3859" s="13">
        <v>2506</v>
      </c>
      <c r="C3859" s="13" t="s">
        <v>27</v>
      </c>
      <c r="D3859" s="13" t="s">
        <v>14</v>
      </c>
      <c r="E3859" s="13">
        <v>-509</v>
      </c>
    </row>
    <row r="3860" spans="1:5">
      <c r="A3860" s="14">
        <v>43752</v>
      </c>
      <c r="B3860" s="12">
        <v>2512</v>
      </c>
      <c r="C3860" s="12" t="s">
        <v>16</v>
      </c>
      <c r="D3860" s="12" t="s">
        <v>8</v>
      </c>
      <c r="E3860" s="12">
        <v>-2213</v>
      </c>
    </row>
    <row r="3861" spans="1:5">
      <c r="A3861" s="15">
        <v>43752</v>
      </c>
      <c r="B3861" s="13">
        <v>2513</v>
      </c>
      <c r="C3861" s="13" t="s">
        <v>17</v>
      </c>
      <c r="D3861" s="13" t="s">
        <v>10</v>
      </c>
      <c r="E3861" s="13">
        <v>-758</v>
      </c>
    </row>
    <row r="3862" spans="1:5">
      <c r="A3862" s="14">
        <v>43752</v>
      </c>
      <c r="B3862" s="12">
        <v>2513</v>
      </c>
      <c r="C3862" s="12" t="s">
        <v>17</v>
      </c>
      <c r="D3862" s="12" t="s">
        <v>6</v>
      </c>
      <c r="E3862" s="12">
        <v>-828</v>
      </c>
    </row>
    <row r="3863" spans="1:5">
      <c r="A3863" s="15">
        <v>43752</v>
      </c>
      <c r="B3863" s="13">
        <v>2514</v>
      </c>
      <c r="C3863" s="13" t="s">
        <v>20</v>
      </c>
      <c r="D3863" s="13" t="s">
        <v>10</v>
      </c>
      <c r="E3863" s="13">
        <v>-1602</v>
      </c>
    </row>
    <row r="3864" spans="1:5">
      <c r="A3864" s="14">
        <v>43752</v>
      </c>
      <c r="B3864" s="12">
        <v>2503</v>
      </c>
      <c r="C3864" s="12" t="s">
        <v>22</v>
      </c>
      <c r="D3864" s="12" t="s">
        <v>19</v>
      </c>
      <c r="E3864" s="12">
        <v>-277</v>
      </c>
    </row>
    <row r="3865" spans="1:5">
      <c r="A3865" s="15">
        <v>43752</v>
      </c>
      <c r="B3865" s="13">
        <v>2503</v>
      </c>
      <c r="C3865" s="13" t="s">
        <v>22</v>
      </c>
      <c r="D3865" s="13" t="s">
        <v>19</v>
      </c>
      <c r="E3865" s="13">
        <v>-200</v>
      </c>
    </row>
    <row r="3866" spans="1:5">
      <c r="A3866" s="14">
        <v>43752</v>
      </c>
      <c r="B3866" s="12">
        <v>2501</v>
      </c>
      <c r="C3866" s="12" t="s">
        <v>5</v>
      </c>
      <c r="D3866" s="12" t="s">
        <v>19</v>
      </c>
      <c r="E3866" s="12">
        <v>-91</v>
      </c>
    </row>
    <row r="3867" spans="1:5">
      <c r="A3867" s="15">
        <v>43753</v>
      </c>
      <c r="B3867" s="13">
        <v>2510</v>
      </c>
      <c r="C3867" s="13" t="s">
        <v>24</v>
      </c>
      <c r="D3867" s="13" t="s">
        <v>19</v>
      </c>
      <c r="E3867" s="13">
        <v>-1441</v>
      </c>
    </row>
    <row r="3868" spans="1:5">
      <c r="A3868" s="14">
        <v>43753</v>
      </c>
      <c r="B3868" s="12">
        <v>2501</v>
      </c>
      <c r="C3868" s="12" t="s">
        <v>5</v>
      </c>
      <c r="D3868" s="12" t="s">
        <v>6</v>
      </c>
      <c r="E3868" s="12">
        <v>-91</v>
      </c>
    </row>
    <row r="3869" spans="1:5">
      <c r="A3869" s="15">
        <v>43753</v>
      </c>
      <c r="B3869" s="13">
        <v>2501</v>
      </c>
      <c r="C3869" s="13" t="s">
        <v>5</v>
      </c>
      <c r="D3869" s="13" t="s">
        <v>6</v>
      </c>
      <c r="E3869" s="13">
        <v>-180</v>
      </c>
    </row>
    <row r="3870" spans="1:5">
      <c r="A3870" s="14">
        <v>43753</v>
      </c>
      <c r="B3870" s="12">
        <v>2501</v>
      </c>
      <c r="C3870" s="12" t="s">
        <v>5</v>
      </c>
      <c r="D3870" s="12" t="s">
        <v>6</v>
      </c>
      <c r="E3870" s="12">
        <v>-185</v>
      </c>
    </row>
    <row r="3871" spans="1:5">
      <c r="A3871" s="15">
        <v>43753</v>
      </c>
      <c r="B3871" s="13">
        <v>2503</v>
      </c>
      <c r="C3871" s="13" t="s">
        <v>22</v>
      </c>
      <c r="D3871" s="13" t="s">
        <v>14</v>
      </c>
      <c r="E3871" s="13">
        <v>-314</v>
      </c>
    </row>
    <row r="3872" spans="1:5">
      <c r="A3872" s="14">
        <v>43753</v>
      </c>
      <c r="B3872" s="12">
        <v>2514</v>
      </c>
      <c r="C3872" s="12" t="s">
        <v>20</v>
      </c>
      <c r="D3872" s="12" t="s">
        <v>12</v>
      </c>
      <c r="E3872" s="12">
        <v>-1752</v>
      </c>
    </row>
    <row r="3873" spans="1:5">
      <c r="A3873" s="15">
        <v>43753</v>
      </c>
      <c r="B3873" s="13">
        <v>2501</v>
      </c>
      <c r="C3873" s="13" t="s">
        <v>5</v>
      </c>
      <c r="D3873" s="13" t="s">
        <v>19</v>
      </c>
      <c r="E3873" s="13">
        <v>-57</v>
      </c>
    </row>
    <row r="3874" spans="1:5">
      <c r="A3874" s="14">
        <v>43754</v>
      </c>
      <c r="B3874" s="12">
        <v>2508</v>
      </c>
      <c r="C3874" s="12" t="s">
        <v>15</v>
      </c>
      <c r="D3874" s="12" t="s">
        <v>19</v>
      </c>
      <c r="E3874" s="12">
        <v>-51825</v>
      </c>
    </row>
    <row r="3875" spans="1:5">
      <c r="A3875" s="15">
        <v>43754</v>
      </c>
      <c r="B3875" s="13">
        <v>2500</v>
      </c>
      <c r="C3875" s="13" t="s">
        <v>25</v>
      </c>
      <c r="D3875" s="13" t="s">
        <v>19</v>
      </c>
      <c r="E3875" s="13">
        <v>-39340</v>
      </c>
    </row>
    <row r="3876" spans="1:5">
      <c r="A3876" s="14">
        <v>43754</v>
      </c>
      <c r="B3876" s="12">
        <v>1500</v>
      </c>
      <c r="C3876" s="12" t="s">
        <v>26</v>
      </c>
      <c r="D3876" s="12" t="s">
        <v>19</v>
      </c>
      <c r="E3876" s="12">
        <v>-25914</v>
      </c>
    </row>
    <row r="3877" spans="1:5">
      <c r="A3877" s="15">
        <v>43754</v>
      </c>
      <c r="B3877" s="13">
        <v>2512</v>
      </c>
      <c r="C3877" s="13" t="s">
        <v>16</v>
      </c>
      <c r="D3877" s="13" t="s">
        <v>19</v>
      </c>
      <c r="E3877" s="13">
        <v>-7063</v>
      </c>
    </row>
    <row r="3878" spans="1:5">
      <c r="A3878" s="14">
        <v>43754</v>
      </c>
      <c r="B3878" s="12">
        <v>2512</v>
      </c>
      <c r="C3878" s="12" t="s">
        <v>16</v>
      </c>
      <c r="D3878" s="12" t="s">
        <v>19</v>
      </c>
      <c r="E3878" s="12">
        <v>-4579</v>
      </c>
    </row>
    <row r="3879" spans="1:5">
      <c r="A3879" s="15">
        <v>43754</v>
      </c>
      <c r="B3879" s="13">
        <v>2514</v>
      </c>
      <c r="C3879" s="13" t="s">
        <v>20</v>
      </c>
      <c r="D3879" s="13" t="s">
        <v>19</v>
      </c>
      <c r="E3879" s="13">
        <v>-1044</v>
      </c>
    </row>
    <row r="3880" spans="1:5">
      <c r="A3880" s="14">
        <v>43754</v>
      </c>
      <c r="B3880" s="12">
        <v>2514</v>
      </c>
      <c r="C3880" s="12" t="s">
        <v>20</v>
      </c>
      <c r="D3880" s="12" t="s">
        <v>19</v>
      </c>
      <c r="E3880" s="12">
        <v>-982</v>
      </c>
    </row>
    <row r="3881" spans="1:5">
      <c r="A3881" s="15">
        <v>43754</v>
      </c>
      <c r="B3881" s="13">
        <v>2505</v>
      </c>
      <c r="C3881" s="13" t="s">
        <v>9</v>
      </c>
      <c r="D3881" s="13" t="s">
        <v>19</v>
      </c>
      <c r="E3881" s="13">
        <v>-443</v>
      </c>
    </row>
    <row r="3882" spans="1:5">
      <c r="A3882" s="14">
        <v>43754</v>
      </c>
      <c r="B3882" s="12">
        <v>2501</v>
      </c>
      <c r="C3882" s="12" t="s">
        <v>5</v>
      </c>
      <c r="D3882" s="12" t="s">
        <v>10</v>
      </c>
      <c r="E3882" s="12">
        <v>-123</v>
      </c>
    </row>
    <row r="3883" spans="1:5">
      <c r="A3883" s="15">
        <v>43754</v>
      </c>
      <c r="B3883" s="13">
        <v>2501</v>
      </c>
      <c r="C3883" s="13" t="s">
        <v>5</v>
      </c>
      <c r="D3883" s="13" t="s">
        <v>6</v>
      </c>
      <c r="E3883" s="13">
        <v>-163</v>
      </c>
    </row>
    <row r="3884" spans="1:5">
      <c r="A3884" s="14">
        <v>43754</v>
      </c>
      <c r="B3884" s="12">
        <v>2505</v>
      </c>
      <c r="C3884" s="12" t="s">
        <v>9</v>
      </c>
      <c r="D3884" s="12" t="s">
        <v>14</v>
      </c>
      <c r="E3884" s="12">
        <v>-474</v>
      </c>
    </row>
    <row r="3885" spans="1:5">
      <c r="A3885" s="15">
        <v>43754</v>
      </c>
      <c r="B3885" s="13">
        <v>2512</v>
      </c>
      <c r="C3885" s="13" t="s">
        <v>16</v>
      </c>
      <c r="D3885" s="13" t="s">
        <v>12</v>
      </c>
      <c r="E3885" s="13">
        <v>-1116</v>
      </c>
    </row>
    <row r="3886" spans="1:5">
      <c r="A3886" s="14">
        <v>43754</v>
      </c>
      <c r="B3886" s="12">
        <v>2510</v>
      </c>
      <c r="C3886" s="12" t="s">
        <v>24</v>
      </c>
      <c r="D3886" s="12" t="s">
        <v>8</v>
      </c>
      <c r="E3886" s="12">
        <v>-1104</v>
      </c>
    </row>
    <row r="3887" spans="1:5">
      <c r="A3887" s="15">
        <v>43754</v>
      </c>
      <c r="B3887" s="13">
        <v>2501</v>
      </c>
      <c r="C3887" s="13" t="s">
        <v>5</v>
      </c>
      <c r="D3887" s="13" t="s">
        <v>19</v>
      </c>
      <c r="E3887" s="13">
        <v>-63</v>
      </c>
    </row>
    <row r="3888" spans="1:5">
      <c r="A3888" s="14">
        <v>43755</v>
      </c>
      <c r="B3888" s="12">
        <v>2000</v>
      </c>
      <c r="C3888" s="12" t="s">
        <v>18</v>
      </c>
      <c r="D3888" s="12" t="s">
        <v>19</v>
      </c>
      <c r="E3888" s="12">
        <v>-188187</v>
      </c>
    </row>
    <row r="3889" spans="1:5">
      <c r="A3889" s="15">
        <v>43755</v>
      </c>
      <c r="B3889" s="13">
        <v>2500</v>
      </c>
      <c r="C3889" s="13" t="s">
        <v>25</v>
      </c>
      <c r="D3889" s="13" t="s">
        <v>19</v>
      </c>
      <c r="E3889" s="13">
        <v>-13433</v>
      </c>
    </row>
    <row r="3890" spans="1:5">
      <c r="A3890" s="14">
        <v>43755</v>
      </c>
      <c r="B3890" s="12">
        <v>2502</v>
      </c>
      <c r="C3890" s="12" t="s">
        <v>7</v>
      </c>
      <c r="D3890" s="12" t="s">
        <v>19</v>
      </c>
      <c r="E3890" s="12">
        <v>-5438</v>
      </c>
    </row>
    <row r="3891" spans="1:5">
      <c r="A3891" s="15">
        <v>43755</v>
      </c>
      <c r="B3891" s="13">
        <v>2503</v>
      </c>
      <c r="C3891" s="13" t="s">
        <v>22</v>
      </c>
      <c r="D3891" s="13" t="s">
        <v>19</v>
      </c>
      <c r="E3891" s="13">
        <v>-327</v>
      </c>
    </row>
    <row r="3892" spans="1:5">
      <c r="A3892" s="14">
        <v>43755</v>
      </c>
      <c r="B3892" s="12">
        <v>2501</v>
      </c>
      <c r="C3892" s="12" t="s">
        <v>5</v>
      </c>
      <c r="D3892" s="12" t="s">
        <v>8</v>
      </c>
      <c r="E3892" s="12">
        <v>-124</v>
      </c>
    </row>
    <row r="3893" spans="1:5">
      <c r="A3893" s="15">
        <v>43755</v>
      </c>
      <c r="B3893" s="13">
        <v>2506</v>
      </c>
      <c r="C3893" s="13" t="s">
        <v>27</v>
      </c>
      <c r="D3893" s="13" t="s">
        <v>14</v>
      </c>
      <c r="E3893" s="13">
        <v>-569</v>
      </c>
    </row>
    <row r="3894" spans="1:5">
      <c r="A3894" s="14">
        <v>43755</v>
      </c>
      <c r="B3894" s="12">
        <v>2508</v>
      </c>
      <c r="C3894" s="12" t="s">
        <v>15</v>
      </c>
      <c r="D3894" s="12" t="s">
        <v>13</v>
      </c>
      <c r="E3894" s="12">
        <v>-54644</v>
      </c>
    </row>
    <row r="3895" spans="1:5">
      <c r="A3895" s="15">
        <v>43756</v>
      </c>
      <c r="B3895" s="13">
        <v>2500</v>
      </c>
      <c r="C3895" s="13" t="s">
        <v>25</v>
      </c>
      <c r="D3895" s="13" t="s">
        <v>19</v>
      </c>
      <c r="E3895" s="13">
        <v>-24981</v>
      </c>
    </row>
    <row r="3896" spans="1:5">
      <c r="A3896" s="14">
        <v>43756</v>
      </c>
      <c r="B3896" s="12">
        <v>2500</v>
      </c>
      <c r="C3896" s="12" t="s">
        <v>25</v>
      </c>
      <c r="D3896" s="12" t="s">
        <v>19</v>
      </c>
      <c r="E3896" s="12">
        <v>-24505</v>
      </c>
    </row>
    <row r="3897" spans="1:5">
      <c r="A3897" s="15">
        <v>43756</v>
      </c>
      <c r="B3897" s="13">
        <v>2500</v>
      </c>
      <c r="C3897" s="13" t="s">
        <v>25</v>
      </c>
      <c r="D3897" s="13" t="s">
        <v>19</v>
      </c>
      <c r="E3897" s="13">
        <v>-14611</v>
      </c>
    </row>
    <row r="3898" spans="1:5">
      <c r="A3898" s="14">
        <v>43756</v>
      </c>
      <c r="B3898" s="12">
        <v>2512</v>
      </c>
      <c r="C3898" s="12" t="s">
        <v>16</v>
      </c>
      <c r="D3898" s="12" t="s">
        <v>19</v>
      </c>
      <c r="E3898" s="12">
        <v>-7096</v>
      </c>
    </row>
    <row r="3899" spans="1:5">
      <c r="A3899" s="15">
        <v>43756</v>
      </c>
      <c r="B3899" s="13">
        <v>2502</v>
      </c>
      <c r="C3899" s="13" t="s">
        <v>7</v>
      </c>
      <c r="D3899" s="13" t="s">
        <v>19</v>
      </c>
      <c r="E3899" s="13">
        <v>-5668</v>
      </c>
    </row>
    <row r="3900" spans="1:5">
      <c r="A3900" s="14">
        <v>43756</v>
      </c>
      <c r="B3900" s="12">
        <v>2502</v>
      </c>
      <c r="C3900" s="12" t="s">
        <v>7</v>
      </c>
      <c r="D3900" s="12" t="s">
        <v>19</v>
      </c>
      <c r="E3900" s="12">
        <v>-3442</v>
      </c>
    </row>
    <row r="3901" spans="1:5">
      <c r="A3901" s="15">
        <v>43756</v>
      </c>
      <c r="B3901" s="13">
        <v>2510</v>
      </c>
      <c r="C3901" s="13" t="s">
        <v>24</v>
      </c>
      <c r="D3901" s="13" t="s">
        <v>19</v>
      </c>
      <c r="E3901" s="13">
        <v>-1253</v>
      </c>
    </row>
    <row r="3902" spans="1:5">
      <c r="A3902" s="14">
        <v>43756</v>
      </c>
      <c r="B3902" s="12">
        <v>2510</v>
      </c>
      <c r="C3902" s="12" t="s">
        <v>24</v>
      </c>
      <c r="D3902" s="12" t="s">
        <v>19</v>
      </c>
      <c r="E3902" s="12">
        <v>-600</v>
      </c>
    </row>
    <row r="3903" spans="1:5">
      <c r="A3903" s="15">
        <v>43756</v>
      </c>
      <c r="B3903" s="13">
        <v>2505</v>
      </c>
      <c r="C3903" s="13" t="s">
        <v>9</v>
      </c>
      <c r="D3903" s="13" t="s">
        <v>13</v>
      </c>
      <c r="E3903" s="13">
        <v>-512</v>
      </c>
    </row>
    <row r="3904" spans="1:5">
      <c r="A3904" s="14">
        <v>43756</v>
      </c>
      <c r="B3904" s="12">
        <v>2505</v>
      </c>
      <c r="C3904" s="12" t="s">
        <v>9</v>
      </c>
      <c r="D3904" s="12" t="s">
        <v>14</v>
      </c>
      <c r="E3904" s="12">
        <v>-501</v>
      </c>
    </row>
    <row r="3905" spans="1:5">
      <c r="A3905" s="15">
        <v>43756</v>
      </c>
      <c r="B3905" s="13">
        <v>2512</v>
      </c>
      <c r="C3905" s="13" t="s">
        <v>16</v>
      </c>
      <c r="D3905" s="13" t="s">
        <v>14</v>
      </c>
      <c r="E3905" s="13">
        <v>-2149</v>
      </c>
    </row>
    <row r="3906" spans="1:5">
      <c r="A3906" s="14">
        <v>43756</v>
      </c>
      <c r="B3906" s="12">
        <v>2512</v>
      </c>
      <c r="C3906" s="12" t="s">
        <v>16</v>
      </c>
      <c r="D3906" s="12" t="s">
        <v>14</v>
      </c>
      <c r="E3906" s="12">
        <v>-4497</v>
      </c>
    </row>
    <row r="3907" spans="1:5">
      <c r="A3907" s="15">
        <v>43756</v>
      </c>
      <c r="B3907" s="13">
        <v>2512</v>
      </c>
      <c r="C3907" s="13" t="s">
        <v>16</v>
      </c>
      <c r="D3907" s="13" t="s">
        <v>8</v>
      </c>
      <c r="E3907" s="13">
        <v>-2218</v>
      </c>
    </row>
    <row r="3908" spans="1:5">
      <c r="A3908" s="14">
        <v>43756</v>
      </c>
      <c r="B3908" s="12">
        <v>2513</v>
      </c>
      <c r="C3908" s="12" t="s">
        <v>17</v>
      </c>
      <c r="D3908" s="12" t="s">
        <v>12</v>
      </c>
      <c r="E3908" s="12">
        <v>-1551</v>
      </c>
    </row>
    <row r="3909" spans="1:5">
      <c r="A3909" s="15">
        <v>43756</v>
      </c>
      <c r="B3909" s="13">
        <v>2501</v>
      </c>
      <c r="C3909" s="13" t="s">
        <v>5</v>
      </c>
      <c r="D3909" s="13" t="s">
        <v>19</v>
      </c>
      <c r="E3909" s="13">
        <v>-125</v>
      </c>
    </row>
    <row r="3910" spans="1:5">
      <c r="A3910" s="14">
        <v>43757</v>
      </c>
      <c r="B3910" s="12">
        <v>2508</v>
      </c>
      <c r="C3910" s="12" t="s">
        <v>15</v>
      </c>
      <c r="D3910" s="12" t="s">
        <v>19</v>
      </c>
      <c r="E3910" s="12">
        <v>-46591</v>
      </c>
    </row>
    <row r="3911" spans="1:5">
      <c r="A3911" s="15">
        <v>43757</v>
      </c>
      <c r="B3911" s="13">
        <v>2512</v>
      </c>
      <c r="C3911" s="13" t="s">
        <v>16</v>
      </c>
      <c r="D3911" s="13" t="s">
        <v>19</v>
      </c>
      <c r="E3911" s="13">
        <v>-11615</v>
      </c>
    </row>
    <row r="3912" spans="1:5">
      <c r="A3912" s="14">
        <v>43757</v>
      </c>
      <c r="B3912" s="12">
        <v>2504</v>
      </c>
      <c r="C3912" s="12" t="s">
        <v>21</v>
      </c>
      <c r="D3912" s="12" t="s">
        <v>19</v>
      </c>
      <c r="E3912" s="12">
        <v>-1594</v>
      </c>
    </row>
    <row r="3913" spans="1:5">
      <c r="A3913" s="15">
        <v>43757</v>
      </c>
      <c r="B3913" s="13">
        <v>2514</v>
      </c>
      <c r="C3913" s="13" t="s">
        <v>20</v>
      </c>
      <c r="D3913" s="13" t="s">
        <v>19</v>
      </c>
      <c r="E3913" s="13">
        <v>-1023</v>
      </c>
    </row>
    <row r="3914" spans="1:5">
      <c r="A3914" s="14">
        <v>43757</v>
      </c>
      <c r="B3914" s="12">
        <v>2513</v>
      </c>
      <c r="C3914" s="12" t="s">
        <v>17</v>
      </c>
      <c r="D3914" s="12" t="s">
        <v>19</v>
      </c>
      <c r="E3914" s="12">
        <v>-753</v>
      </c>
    </row>
    <row r="3915" spans="1:5">
      <c r="A3915" s="15">
        <v>43757</v>
      </c>
      <c r="B3915" s="13">
        <v>2513</v>
      </c>
      <c r="C3915" s="13" t="s">
        <v>17</v>
      </c>
      <c r="D3915" s="13" t="s">
        <v>19</v>
      </c>
      <c r="E3915" s="13">
        <v>-662</v>
      </c>
    </row>
    <row r="3916" spans="1:5">
      <c r="A3916" s="14">
        <v>43757</v>
      </c>
      <c r="B3916" s="12">
        <v>2501</v>
      </c>
      <c r="C3916" s="12" t="s">
        <v>5</v>
      </c>
      <c r="D3916" s="12" t="s">
        <v>6</v>
      </c>
      <c r="E3916" s="12">
        <v>-114</v>
      </c>
    </row>
    <row r="3917" spans="1:5">
      <c r="A3917" s="15">
        <v>43757</v>
      </c>
      <c r="B3917" s="13">
        <v>2502</v>
      </c>
      <c r="C3917" s="13" t="s">
        <v>7</v>
      </c>
      <c r="D3917" s="13" t="s">
        <v>13</v>
      </c>
      <c r="E3917" s="13">
        <v>-2365</v>
      </c>
    </row>
    <row r="3918" spans="1:5">
      <c r="A3918" s="14">
        <v>43757</v>
      </c>
      <c r="B3918" s="12">
        <v>2503</v>
      </c>
      <c r="C3918" s="12" t="s">
        <v>22</v>
      </c>
      <c r="D3918" s="12" t="s">
        <v>14</v>
      </c>
      <c r="E3918" s="12">
        <v>-271</v>
      </c>
    </row>
    <row r="3919" spans="1:5">
      <c r="A3919" s="15">
        <v>43757</v>
      </c>
      <c r="B3919" s="13">
        <v>2503</v>
      </c>
      <c r="C3919" s="13" t="s">
        <v>22</v>
      </c>
      <c r="D3919" s="13" t="s">
        <v>12</v>
      </c>
      <c r="E3919" s="13">
        <v>-528</v>
      </c>
    </row>
    <row r="3920" spans="1:5">
      <c r="A3920" s="14">
        <v>43757</v>
      </c>
      <c r="B3920" s="12">
        <v>2508</v>
      </c>
      <c r="C3920" s="12" t="s">
        <v>15</v>
      </c>
      <c r="D3920" s="12" t="s">
        <v>10</v>
      </c>
      <c r="E3920" s="12">
        <v>-53529</v>
      </c>
    </row>
    <row r="3921" spans="1:5">
      <c r="A3921" s="15">
        <v>43757</v>
      </c>
      <c r="B3921" s="13">
        <v>2508</v>
      </c>
      <c r="C3921" s="13" t="s">
        <v>15</v>
      </c>
      <c r="D3921" s="13" t="s">
        <v>8</v>
      </c>
      <c r="E3921" s="13">
        <v>-74776</v>
      </c>
    </row>
    <row r="3922" spans="1:5">
      <c r="A3922" s="14">
        <v>43757</v>
      </c>
      <c r="B3922" s="12">
        <v>2512</v>
      </c>
      <c r="C3922" s="12" t="s">
        <v>16</v>
      </c>
      <c r="D3922" s="12" t="s">
        <v>6</v>
      </c>
      <c r="E3922" s="12">
        <v>-2282</v>
      </c>
    </row>
    <row r="3923" spans="1:5">
      <c r="A3923" s="15">
        <v>43757</v>
      </c>
      <c r="B3923" s="13">
        <v>2513</v>
      </c>
      <c r="C3923" s="13" t="s">
        <v>17</v>
      </c>
      <c r="D3923" s="13" t="s">
        <v>14</v>
      </c>
      <c r="E3923" s="13">
        <v>-1227</v>
      </c>
    </row>
    <row r="3924" spans="1:5">
      <c r="A3924" s="14">
        <v>43757</v>
      </c>
      <c r="B3924" s="12">
        <v>1000</v>
      </c>
      <c r="C3924" s="12" t="s">
        <v>23</v>
      </c>
      <c r="D3924" s="12" t="s">
        <v>19</v>
      </c>
      <c r="E3924" s="12">
        <v>677816</v>
      </c>
    </row>
    <row r="3925" spans="1:5">
      <c r="A3925" s="15">
        <v>43757</v>
      </c>
      <c r="B3925" s="13">
        <v>1000</v>
      </c>
      <c r="C3925" s="13" t="s">
        <v>23</v>
      </c>
      <c r="D3925" s="13" t="s">
        <v>19</v>
      </c>
      <c r="E3925" s="13">
        <v>996475</v>
      </c>
    </row>
    <row r="3926" spans="1:5">
      <c r="A3926" s="14">
        <v>43758</v>
      </c>
      <c r="B3926" s="12">
        <v>2508</v>
      </c>
      <c r="C3926" s="12" t="s">
        <v>15</v>
      </c>
      <c r="D3926" s="12" t="s">
        <v>19</v>
      </c>
      <c r="E3926" s="12">
        <v>-57637</v>
      </c>
    </row>
    <row r="3927" spans="1:5">
      <c r="A3927" s="15">
        <v>43758</v>
      </c>
      <c r="B3927" s="13">
        <v>2500</v>
      </c>
      <c r="C3927" s="13" t="s">
        <v>25</v>
      </c>
      <c r="D3927" s="13" t="s">
        <v>19</v>
      </c>
      <c r="E3927" s="13">
        <v>-46122</v>
      </c>
    </row>
    <row r="3928" spans="1:5">
      <c r="A3928" s="14">
        <v>43758</v>
      </c>
      <c r="B3928" s="12">
        <v>1500</v>
      </c>
      <c r="C3928" s="12" t="s">
        <v>26</v>
      </c>
      <c r="D3928" s="12" t="s">
        <v>19</v>
      </c>
      <c r="E3928" s="12">
        <v>-41301</v>
      </c>
    </row>
    <row r="3929" spans="1:5">
      <c r="A3929" s="15">
        <v>43758</v>
      </c>
      <c r="B3929" s="13">
        <v>2508</v>
      </c>
      <c r="C3929" s="13" t="s">
        <v>15</v>
      </c>
      <c r="D3929" s="13" t="s">
        <v>10</v>
      </c>
      <c r="E3929" s="13">
        <v>-72577</v>
      </c>
    </row>
    <row r="3930" spans="1:5">
      <c r="A3930" s="14">
        <v>43758</v>
      </c>
      <c r="B3930" s="12">
        <v>2512</v>
      </c>
      <c r="C3930" s="12" t="s">
        <v>16</v>
      </c>
      <c r="D3930" s="12" t="s">
        <v>10</v>
      </c>
      <c r="E3930" s="12">
        <v>-2869</v>
      </c>
    </row>
    <row r="3931" spans="1:5">
      <c r="A3931" s="15">
        <v>43758</v>
      </c>
      <c r="B3931" s="13">
        <v>2514</v>
      </c>
      <c r="C3931" s="13" t="s">
        <v>20</v>
      </c>
      <c r="D3931" s="13" t="s">
        <v>6</v>
      </c>
      <c r="E3931" s="13">
        <v>-1245</v>
      </c>
    </row>
    <row r="3932" spans="1:5">
      <c r="A3932" s="14">
        <v>43758</v>
      </c>
      <c r="B3932" s="12">
        <v>1000</v>
      </c>
      <c r="C3932" s="12" t="s">
        <v>23</v>
      </c>
      <c r="D3932" s="12" t="s">
        <v>19</v>
      </c>
      <c r="E3932" s="12">
        <v>571517</v>
      </c>
    </row>
    <row r="3933" spans="1:5">
      <c r="A3933" s="15">
        <v>43758</v>
      </c>
      <c r="B3933" s="13">
        <v>1000</v>
      </c>
      <c r="C3933" s="13" t="s">
        <v>23</v>
      </c>
      <c r="D3933" s="13" t="s">
        <v>19</v>
      </c>
      <c r="E3933" s="13">
        <v>1349894</v>
      </c>
    </row>
    <row r="3934" spans="1:5">
      <c r="A3934" s="14">
        <v>43759</v>
      </c>
      <c r="B3934" s="12">
        <v>2502</v>
      </c>
      <c r="C3934" s="12" t="s">
        <v>7</v>
      </c>
      <c r="D3934" s="12" t="s">
        <v>8</v>
      </c>
      <c r="E3934" s="12">
        <v>-3992</v>
      </c>
    </row>
    <row r="3935" spans="1:5">
      <c r="A3935" s="15">
        <v>43759</v>
      </c>
      <c r="B3935" s="13">
        <v>2502</v>
      </c>
      <c r="C3935" s="13" t="s">
        <v>7</v>
      </c>
      <c r="D3935" s="13" t="s">
        <v>8</v>
      </c>
      <c r="E3935" s="13">
        <v>-5054</v>
      </c>
    </row>
    <row r="3936" spans="1:5">
      <c r="A3936" s="14">
        <v>43759</v>
      </c>
      <c r="B3936" s="12">
        <v>2502</v>
      </c>
      <c r="C3936" s="12" t="s">
        <v>7</v>
      </c>
      <c r="D3936" s="12" t="s">
        <v>6</v>
      </c>
      <c r="E3936" s="12">
        <v>-7576</v>
      </c>
    </row>
    <row r="3937" spans="1:5">
      <c r="A3937" s="15">
        <v>43759</v>
      </c>
      <c r="B3937" s="13">
        <v>2503</v>
      </c>
      <c r="C3937" s="13" t="s">
        <v>22</v>
      </c>
      <c r="D3937" s="13" t="s">
        <v>10</v>
      </c>
      <c r="E3937" s="13">
        <v>-426</v>
      </c>
    </row>
    <row r="3938" spans="1:5">
      <c r="A3938" s="14">
        <v>43759</v>
      </c>
      <c r="B3938" s="12">
        <v>2505</v>
      </c>
      <c r="C3938" s="12" t="s">
        <v>9</v>
      </c>
      <c r="D3938" s="12" t="s">
        <v>14</v>
      </c>
      <c r="E3938" s="12">
        <v>-642</v>
      </c>
    </row>
    <row r="3939" spans="1:5">
      <c r="A3939" s="15">
        <v>43760</v>
      </c>
      <c r="B3939" s="13">
        <v>1500</v>
      </c>
      <c r="C3939" s="13" t="s">
        <v>26</v>
      </c>
      <c r="D3939" s="13" t="s">
        <v>19</v>
      </c>
      <c r="E3939" s="13">
        <v>-54923</v>
      </c>
    </row>
    <row r="3940" spans="1:5">
      <c r="A3940" s="14">
        <v>43760</v>
      </c>
      <c r="B3940" s="12">
        <v>2500</v>
      </c>
      <c r="C3940" s="12" t="s">
        <v>25</v>
      </c>
      <c r="D3940" s="12" t="s">
        <v>19</v>
      </c>
      <c r="E3940" s="12">
        <v>-52706</v>
      </c>
    </row>
    <row r="3941" spans="1:5">
      <c r="A3941" s="15">
        <v>43760</v>
      </c>
      <c r="B3941" s="13">
        <v>1500</v>
      </c>
      <c r="C3941" s="13" t="s">
        <v>26</v>
      </c>
      <c r="D3941" s="13" t="s">
        <v>19</v>
      </c>
      <c r="E3941" s="13">
        <v>-2710</v>
      </c>
    </row>
    <row r="3942" spans="1:5">
      <c r="A3942" s="14">
        <v>43760</v>
      </c>
      <c r="B3942" s="12">
        <v>2504</v>
      </c>
      <c r="C3942" s="12" t="s">
        <v>21</v>
      </c>
      <c r="D3942" s="12" t="s">
        <v>19</v>
      </c>
      <c r="E3942" s="12">
        <v>-2015</v>
      </c>
    </row>
    <row r="3943" spans="1:5">
      <c r="A3943" s="15">
        <v>43760</v>
      </c>
      <c r="B3943" s="13">
        <v>2514</v>
      </c>
      <c r="C3943" s="13" t="s">
        <v>20</v>
      </c>
      <c r="D3943" s="13" t="s">
        <v>19</v>
      </c>
      <c r="E3943" s="13">
        <v>-1057</v>
      </c>
    </row>
    <row r="3944" spans="1:5">
      <c r="A3944" s="14">
        <v>43760</v>
      </c>
      <c r="B3944" s="12">
        <v>2510</v>
      </c>
      <c r="C3944" s="12" t="s">
        <v>24</v>
      </c>
      <c r="D3944" s="12" t="s">
        <v>19</v>
      </c>
      <c r="E3944" s="12">
        <v>-1020</v>
      </c>
    </row>
    <row r="3945" spans="1:5">
      <c r="A3945" s="15">
        <v>43760</v>
      </c>
      <c r="B3945" s="13">
        <v>2510</v>
      </c>
      <c r="C3945" s="13" t="s">
        <v>24</v>
      </c>
      <c r="D3945" s="13" t="s">
        <v>19</v>
      </c>
      <c r="E3945" s="13">
        <v>-751</v>
      </c>
    </row>
    <row r="3946" spans="1:5">
      <c r="A3946" s="14">
        <v>43760</v>
      </c>
      <c r="B3946" s="12">
        <v>2513</v>
      </c>
      <c r="C3946" s="12" t="s">
        <v>17</v>
      </c>
      <c r="D3946" s="12" t="s">
        <v>19</v>
      </c>
      <c r="E3946" s="12">
        <v>-578</v>
      </c>
    </row>
    <row r="3947" spans="1:5">
      <c r="A3947" s="15">
        <v>43760</v>
      </c>
      <c r="B3947" s="13">
        <v>2513</v>
      </c>
      <c r="C3947" s="13" t="s">
        <v>17</v>
      </c>
      <c r="D3947" s="13" t="s">
        <v>19</v>
      </c>
      <c r="E3947" s="13">
        <v>-561</v>
      </c>
    </row>
    <row r="3948" spans="1:5">
      <c r="A3948" s="14">
        <v>43760</v>
      </c>
      <c r="B3948" s="12">
        <v>2503</v>
      </c>
      <c r="C3948" s="12" t="s">
        <v>22</v>
      </c>
      <c r="D3948" s="12" t="s">
        <v>19</v>
      </c>
      <c r="E3948" s="12">
        <v>-306</v>
      </c>
    </row>
    <row r="3949" spans="1:5">
      <c r="A3949" s="15">
        <v>43760</v>
      </c>
      <c r="B3949" s="13">
        <v>2501</v>
      </c>
      <c r="C3949" s="13" t="s">
        <v>5</v>
      </c>
      <c r="D3949" s="13" t="s">
        <v>13</v>
      </c>
      <c r="E3949" s="13">
        <v>-69</v>
      </c>
    </row>
    <row r="3950" spans="1:5">
      <c r="A3950" s="14">
        <v>43760</v>
      </c>
      <c r="B3950" s="12">
        <v>2503</v>
      </c>
      <c r="C3950" s="12" t="s">
        <v>22</v>
      </c>
      <c r="D3950" s="12" t="s">
        <v>10</v>
      </c>
      <c r="E3950" s="12">
        <v>-359</v>
      </c>
    </row>
    <row r="3951" spans="1:5">
      <c r="A3951" s="15">
        <v>43760</v>
      </c>
      <c r="B3951" s="13">
        <v>2503</v>
      </c>
      <c r="C3951" s="13" t="s">
        <v>22</v>
      </c>
      <c r="D3951" s="13" t="s">
        <v>6</v>
      </c>
      <c r="E3951" s="13">
        <v>-416</v>
      </c>
    </row>
    <row r="3952" spans="1:5">
      <c r="A3952" s="14">
        <v>43760</v>
      </c>
      <c r="B3952" s="12">
        <v>2512</v>
      </c>
      <c r="C3952" s="12" t="s">
        <v>16</v>
      </c>
      <c r="D3952" s="12" t="s">
        <v>6</v>
      </c>
      <c r="E3952" s="12">
        <v>-2732</v>
      </c>
    </row>
    <row r="3953" spans="1:5">
      <c r="A3953" s="15">
        <v>43760</v>
      </c>
      <c r="B3953" s="13">
        <v>2513</v>
      </c>
      <c r="C3953" s="13" t="s">
        <v>17</v>
      </c>
      <c r="D3953" s="13" t="s">
        <v>12</v>
      </c>
      <c r="E3953" s="13">
        <v>-1209</v>
      </c>
    </row>
    <row r="3954" spans="1:5">
      <c r="A3954" s="14">
        <v>43760</v>
      </c>
      <c r="B3954" s="12">
        <v>2514</v>
      </c>
      <c r="C3954" s="12" t="s">
        <v>20</v>
      </c>
      <c r="D3954" s="12" t="s">
        <v>6</v>
      </c>
      <c r="E3954" s="12">
        <v>-1324</v>
      </c>
    </row>
    <row r="3955" spans="1:5">
      <c r="A3955" s="15">
        <v>43760</v>
      </c>
      <c r="B3955" s="13">
        <v>2510</v>
      </c>
      <c r="C3955" s="13" t="s">
        <v>24</v>
      </c>
      <c r="D3955" s="13" t="s">
        <v>13</v>
      </c>
      <c r="E3955" s="13">
        <v>-1250</v>
      </c>
    </row>
    <row r="3956" spans="1:5">
      <c r="A3956" s="14">
        <v>43761</v>
      </c>
      <c r="B3956" s="12">
        <v>2510</v>
      </c>
      <c r="C3956" s="12" t="s">
        <v>24</v>
      </c>
      <c r="D3956" s="12" t="s">
        <v>19</v>
      </c>
      <c r="E3956" s="12">
        <v>-584</v>
      </c>
    </row>
    <row r="3957" spans="1:5">
      <c r="A3957" s="15">
        <v>43761</v>
      </c>
      <c r="B3957" s="13">
        <v>2505</v>
      </c>
      <c r="C3957" s="13" t="s">
        <v>9</v>
      </c>
      <c r="D3957" s="13" t="s">
        <v>19</v>
      </c>
      <c r="E3957" s="13">
        <v>-541</v>
      </c>
    </row>
    <row r="3958" spans="1:5">
      <c r="A3958" s="14">
        <v>43761</v>
      </c>
      <c r="B3958" s="12">
        <v>2503</v>
      </c>
      <c r="C3958" s="12" t="s">
        <v>22</v>
      </c>
      <c r="D3958" s="12" t="s">
        <v>19</v>
      </c>
      <c r="E3958" s="12">
        <v>-331</v>
      </c>
    </row>
    <row r="3959" spans="1:5">
      <c r="A3959" s="15">
        <v>43761</v>
      </c>
      <c r="B3959" s="13">
        <v>2501</v>
      </c>
      <c r="C3959" s="13" t="s">
        <v>5</v>
      </c>
      <c r="D3959" s="13" t="s">
        <v>10</v>
      </c>
      <c r="E3959" s="13">
        <v>-175</v>
      </c>
    </row>
    <row r="3960" spans="1:5">
      <c r="A3960" s="14">
        <v>43761</v>
      </c>
      <c r="B3960" s="12">
        <v>2501</v>
      </c>
      <c r="C3960" s="12" t="s">
        <v>5</v>
      </c>
      <c r="D3960" s="12" t="s">
        <v>12</v>
      </c>
      <c r="E3960" s="12">
        <v>-176</v>
      </c>
    </row>
    <row r="3961" spans="1:5">
      <c r="A3961" s="15">
        <v>43761</v>
      </c>
      <c r="B3961" s="13">
        <v>2501</v>
      </c>
      <c r="C3961" s="13" t="s">
        <v>5</v>
      </c>
      <c r="D3961" s="13" t="s">
        <v>12</v>
      </c>
      <c r="E3961" s="13">
        <v>-175</v>
      </c>
    </row>
    <row r="3962" spans="1:5">
      <c r="A3962" s="14">
        <v>43761</v>
      </c>
      <c r="B3962" s="12">
        <v>2502</v>
      </c>
      <c r="C3962" s="12" t="s">
        <v>7</v>
      </c>
      <c r="D3962" s="12" t="s">
        <v>12</v>
      </c>
      <c r="E3962" s="12">
        <v>-4608</v>
      </c>
    </row>
    <row r="3963" spans="1:5">
      <c r="A3963" s="15">
        <v>43761</v>
      </c>
      <c r="B3963" s="13">
        <v>2503</v>
      </c>
      <c r="C3963" s="13" t="s">
        <v>22</v>
      </c>
      <c r="D3963" s="13" t="s">
        <v>14</v>
      </c>
      <c r="E3963" s="13">
        <v>-360</v>
      </c>
    </row>
    <row r="3964" spans="1:5">
      <c r="A3964" s="14">
        <v>43761</v>
      </c>
      <c r="B3964" s="12">
        <v>2505</v>
      </c>
      <c r="C3964" s="12" t="s">
        <v>9</v>
      </c>
      <c r="D3964" s="12" t="s">
        <v>8</v>
      </c>
      <c r="E3964" s="12">
        <v>-632</v>
      </c>
    </row>
    <row r="3965" spans="1:5">
      <c r="A3965" s="15">
        <v>43761</v>
      </c>
      <c r="B3965" s="13">
        <v>2505</v>
      </c>
      <c r="C3965" s="13" t="s">
        <v>9</v>
      </c>
      <c r="D3965" s="13" t="s">
        <v>8</v>
      </c>
      <c r="E3965" s="13">
        <v>-547</v>
      </c>
    </row>
    <row r="3966" spans="1:5">
      <c r="A3966" s="14">
        <v>43761</v>
      </c>
      <c r="B3966" s="12">
        <v>2512</v>
      </c>
      <c r="C3966" s="12" t="s">
        <v>16</v>
      </c>
      <c r="D3966" s="12" t="s">
        <v>14</v>
      </c>
      <c r="E3966" s="12">
        <v>-4020</v>
      </c>
    </row>
    <row r="3967" spans="1:5">
      <c r="A3967" s="15">
        <v>43761</v>
      </c>
      <c r="B3967" s="13">
        <v>2514</v>
      </c>
      <c r="C3967" s="13" t="s">
        <v>20</v>
      </c>
      <c r="D3967" s="13" t="s">
        <v>6</v>
      </c>
      <c r="E3967" s="13">
        <v>-1349</v>
      </c>
    </row>
    <row r="3968" spans="1:5">
      <c r="A3968" s="14">
        <v>43762</v>
      </c>
      <c r="B3968" s="12">
        <v>1500</v>
      </c>
      <c r="C3968" s="12" t="s">
        <v>26</v>
      </c>
      <c r="D3968" s="12" t="s">
        <v>19</v>
      </c>
      <c r="E3968" s="12">
        <v>-30848</v>
      </c>
    </row>
    <row r="3969" spans="1:5">
      <c r="A3969" s="15">
        <v>43762</v>
      </c>
      <c r="B3969" s="13">
        <v>1500</v>
      </c>
      <c r="C3969" s="13" t="s">
        <v>26</v>
      </c>
      <c r="D3969" s="13" t="s">
        <v>19</v>
      </c>
      <c r="E3969" s="13">
        <v>-30261</v>
      </c>
    </row>
    <row r="3970" spans="1:5">
      <c r="A3970" s="14">
        <v>43762</v>
      </c>
      <c r="B3970" s="12">
        <v>2513</v>
      </c>
      <c r="C3970" s="12" t="s">
        <v>17</v>
      </c>
      <c r="D3970" s="12" t="s">
        <v>19</v>
      </c>
      <c r="E3970" s="12">
        <v>-534</v>
      </c>
    </row>
    <row r="3971" spans="1:5">
      <c r="A3971" s="15">
        <v>43762</v>
      </c>
      <c r="B3971" s="13">
        <v>2501</v>
      </c>
      <c r="C3971" s="13" t="s">
        <v>5</v>
      </c>
      <c r="D3971" s="13" t="s">
        <v>10</v>
      </c>
      <c r="E3971" s="13">
        <v>-141</v>
      </c>
    </row>
    <row r="3972" spans="1:5">
      <c r="A3972" s="14">
        <v>43762</v>
      </c>
      <c r="B3972" s="12">
        <v>2502</v>
      </c>
      <c r="C3972" s="12" t="s">
        <v>7</v>
      </c>
      <c r="D3972" s="12" t="s">
        <v>10</v>
      </c>
      <c r="E3972" s="12">
        <v>-6593</v>
      </c>
    </row>
    <row r="3973" spans="1:5">
      <c r="A3973" s="15">
        <v>43762</v>
      </c>
      <c r="B3973" s="13">
        <v>2506</v>
      </c>
      <c r="C3973" s="13" t="s">
        <v>27</v>
      </c>
      <c r="D3973" s="13" t="s">
        <v>14</v>
      </c>
      <c r="E3973" s="13">
        <v>-538</v>
      </c>
    </row>
    <row r="3974" spans="1:5">
      <c r="A3974" s="14">
        <v>43762</v>
      </c>
      <c r="B3974" s="12">
        <v>2508</v>
      </c>
      <c r="C3974" s="12" t="s">
        <v>15</v>
      </c>
      <c r="D3974" s="12" t="s">
        <v>14</v>
      </c>
      <c r="E3974" s="12">
        <v>-75954</v>
      </c>
    </row>
    <row r="3975" spans="1:5">
      <c r="A3975" s="15">
        <v>43762</v>
      </c>
      <c r="B3975" s="13">
        <v>2508</v>
      </c>
      <c r="C3975" s="13" t="s">
        <v>15</v>
      </c>
      <c r="D3975" s="13" t="s">
        <v>14</v>
      </c>
      <c r="E3975" s="13">
        <v>-77524</v>
      </c>
    </row>
    <row r="3976" spans="1:5">
      <c r="A3976" s="14">
        <v>43762</v>
      </c>
      <c r="B3976" s="12">
        <v>2514</v>
      </c>
      <c r="C3976" s="12" t="s">
        <v>20</v>
      </c>
      <c r="D3976" s="12" t="s">
        <v>14</v>
      </c>
      <c r="E3976" s="12">
        <v>-1372</v>
      </c>
    </row>
    <row r="3977" spans="1:5">
      <c r="A3977" s="15">
        <v>43762</v>
      </c>
      <c r="B3977" s="13">
        <v>2510</v>
      </c>
      <c r="C3977" s="13" t="s">
        <v>24</v>
      </c>
      <c r="D3977" s="13" t="s">
        <v>13</v>
      </c>
      <c r="E3977" s="13">
        <v>-1008</v>
      </c>
    </row>
    <row r="3978" spans="1:5">
      <c r="A3978" s="14">
        <v>43762</v>
      </c>
      <c r="B3978" s="12">
        <v>1000</v>
      </c>
      <c r="C3978" s="12" t="s">
        <v>23</v>
      </c>
      <c r="D3978" s="12" t="s">
        <v>19</v>
      </c>
      <c r="E3978" s="12">
        <v>1087066</v>
      </c>
    </row>
    <row r="3979" spans="1:5">
      <c r="A3979" s="15">
        <v>43763</v>
      </c>
      <c r="B3979" s="13">
        <v>2502</v>
      </c>
      <c r="C3979" s="13" t="s">
        <v>7</v>
      </c>
      <c r="D3979" s="13" t="s">
        <v>19</v>
      </c>
      <c r="E3979" s="13">
        <v>-4810</v>
      </c>
    </row>
    <row r="3980" spans="1:5">
      <c r="A3980" s="14">
        <v>43763</v>
      </c>
      <c r="B3980" s="12">
        <v>2502</v>
      </c>
      <c r="C3980" s="12" t="s">
        <v>7</v>
      </c>
      <c r="D3980" s="12" t="s">
        <v>19</v>
      </c>
      <c r="E3980" s="12">
        <v>-4804</v>
      </c>
    </row>
    <row r="3981" spans="1:5">
      <c r="A3981" s="15">
        <v>43763</v>
      </c>
      <c r="B3981" s="13">
        <v>2504</v>
      </c>
      <c r="C3981" s="13" t="s">
        <v>21</v>
      </c>
      <c r="D3981" s="13" t="s">
        <v>19</v>
      </c>
      <c r="E3981" s="13">
        <v>-2493</v>
      </c>
    </row>
    <row r="3982" spans="1:5">
      <c r="A3982" s="14">
        <v>43763</v>
      </c>
      <c r="B3982" s="12">
        <v>2514</v>
      </c>
      <c r="C3982" s="12" t="s">
        <v>20</v>
      </c>
      <c r="D3982" s="12" t="s">
        <v>19</v>
      </c>
      <c r="E3982" s="12">
        <v>-1172</v>
      </c>
    </row>
    <row r="3983" spans="1:5">
      <c r="A3983" s="15">
        <v>43763</v>
      </c>
      <c r="B3983" s="13">
        <v>2501</v>
      </c>
      <c r="C3983" s="13" t="s">
        <v>5</v>
      </c>
      <c r="D3983" s="13" t="s">
        <v>8</v>
      </c>
      <c r="E3983" s="13">
        <v>-192</v>
      </c>
    </row>
    <row r="3984" spans="1:5">
      <c r="A3984" s="14">
        <v>43763</v>
      </c>
      <c r="B3984" s="12">
        <v>2502</v>
      </c>
      <c r="C3984" s="12" t="s">
        <v>7</v>
      </c>
      <c r="D3984" s="12" t="s">
        <v>8</v>
      </c>
      <c r="E3984" s="12">
        <v>-5028</v>
      </c>
    </row>
    <row r="3985" spans="1:5">
      <c r="A3985" s="15">
        <v>43763</v>
      </c>
      <c r="B3985" s="13">
        <v>2505</v>
      </c>
      <c r="C3985" s="13" t="s">
        <v>9</v>
      </c>
      <c r="D3985" s="13" t="s">
        <v>13</v>
      </c>
      <c r="E3985" s="13">
        <v>-358</v>
      </c>
    </row>
    <row r="3986" spans="1:5">
      <c r="A3986" s="14">
        <v>43763</v>
      </c>
      <c r="B3986" s="12">
        <v>2512</v>
      </c>
      <c r="C3986" s="12" t="s">
        <v>16</v>
      </c>
      <c r="D3986" s="12" t="s">
        <v>6</v>
      </c>
      <c r="E3986" s="12">
        <v>-1917</v>
      </c>
    </row>
    <row r="3987" spans="1:5">
      <c r="A3987" s="15">
        <v>43763</v>
      </c>
      <c r="B3987" s="13">
        <v>2514</v>
      </c>
      <c r="C3987" s="13" t="s">
        <v>20</v>
      </c>
      <c r="D3987" s="13" t="s">
        <v>13</v>
      </c>
      <c r="E3987" s="13">
        <v>-1165</v>
      </c>
    </row>
    <row r="3988" spans="1:5">
      <c r="A3988" s="14">
        <v>43763</v>
      </c>
      <c r="B3988" s="12">
        <v>1000</v>
      </c>
      <c r="C3988" s="12" t="s">
        <v>23</v>
      </c>
      <c r="D3988" s="12" t="s">
        <v>19</v>
      </c>
      <c r="E3988" s="12">
        <v>916477</v>
      </c>
    </row>
    <row r="3989" spans="1:5">
      <c r="A3989" s="15">
        <v>43763</v>
      </c>
      <c r="B3989" s="13">
        <v>1000</v>
      </c>
      <c r="C3989" s="13" t="s">
        <v>23</v>
      </c>
      <c r="D3989" s="13" t="s">
        <v>19</v>
      </c>
      <c r="E3989" s="13">
        <v>1298811</v>
      </c>
    </row>
    <row r="3990" spans="1:5">
      <c r="A3990" s="14">
        <v>43764</v>
      </c>
      <c r="B3990" s="12">
        <v>2512</v>
      </c>
      <c r="C3990" s="12" t="s">
        <v>16</v>
      </c>
      <c r="D3990" s="12" t="s">
        <v>19</v>
      </c>
      <c r="E3990" s="12">
        <v>-3523</v>
      </c>
    </row>
    <row r="3991" spans="1:5">
      <c r="A3991" s="15">
        <v>43764</v>
      </c>
      <c r="B3991" s="13">
        <v>2502</v>
      </c>
      <c r="C3991" s="13" t="s">
        <v>7</v>
      </c>
      <c r="D3991" s="13" t="s">
        <v>19</v>
      </c>
      <c r="E3991" s="13">
        <v>-3292</v>
      </c>
    </row>
    <row r="3992" spans="1:5">
      <c r="A3992" s="14">
        <v>43764</v>
      </c>
      <c r="B3992" s="12">
        <v>1500</v>
      </c>
      <c r="C3992" s="12" t="s">
        <v>26</v>
      </c>
      <c r="D3992" s="12" t="s">
        <v>19</v>
      </c>
      <c r="E3992" s="12">
        <v>-2876</v>
      </c>
    </row>
    <row r="3993" spans="1:5">
      <c r="A3993" s="15">
        <v>43764</v>
      </c>
      <c r="B3993" s="13">
        <v>2514</v>
      </c>
      <c r="C3993" s="13" t="s">
        <v>20</v>
      </c>
      <c r="D3993" s="13" t="s">
        <v>19</v>
      </c>
      <c r="E3993" s="13">
        <v>-1144</v>
      </c>
    </row>
    <row r="3994" spans="1:5">
      <c r="A3994" s="14">
        <v>43764</v>
      </c>
      <c r="B3994" s="12">
        <v>2514</v>
      </c>
      <c r="C3994" s="12" t="s">
        <v>20</v>
      </c>
      <c r="D3994" s="12" t="s">
        <v>19</v>
      </c>
      <c r="E3994" s="12">
        <v>-755</v>
      </c>
    </row>
    <row r="3995" spans="1:5">
      <c r="A3995" s="15">
        <v>43764</v>
      </c>
      <c r="B3995" s="13">
        <v>2505</v>
      </c>
      <c r="C3995" s="13" t="s">
        <v>9</v>
      </c>
      <c r="D3995" s="13" t="s">
        <v>19</v>
      </c>
      <c r="E3995" s="13">
        <v>-308</v>
      </c>
    </row>
    <row r="3996" spans="1:5">
      <c r="A3996" s="14">
        <v>43764</v>
      </c>
      <c r="B3996" s="12">
        <v>2501</v>
      </c>
      <c r="C3996" s="12" t="s">
        <v>5</v>
      </c>
      <c r="D3996" s="12" t="s">
        <v>6</v>
      </c>
      <c r="E3996" s="12">
        <v>-92</v>
      </c>
    </row>
    <row r="3997" spans="1:5">
      <c r="A3997" s="15">
        <v>43764</v>
      </c>
      <c r="B3997" s="13">
        <v>2501</v>
      </c>
      <c r="C3997" s="13" t="s">
        <v>5</v>
      </c>
      <c r="D3997" s="13" t="s">
        <v>10</v>
      </c>
      <c r="E3997" s="13">
        <v>-159</v>
      </c>
    </row>
    <row r="3998" spans="1:5">
      <c r="A3998" s="14">
        <v>43764</v>
      </c>
      <c r="B3998" s="12">
        <v>2501</v>
      </c>
      <c r="C3998" s="12" t="s">
        <v>5</v>
      </c>
      <c r="D3998" s="12" t="s">
        <v>13</v>
      </c>
      <c r="E3998" s="12">
        <v>-120</v>
      </c>
    </row>
    <row r="3999" spans="1:5">
      <c r="A3999" s="15">
        <v>43764</v>
      </c>
      <c r="B3999" s="13">
        <v>2502</v>
      </c>
      <c r="C3999" s="13" t="s">
        <v>7</v>
      </c>
      <c r="D3999" s="13" t="s">
        <v>12</v>
      </c>
      <c r="E3999" s="13">
        <v>-5863</v>
      </c>
    </row>
    <row r="4000" spans="1:5">
      <c r="A4000" s="14">
        <v>43764</v>
      </c>
      <c r="B4000" s="12">
        <v>2502</v>
      </c>
      <c r="C4000" s="12" t="s">
        <v>7</v>
      </c>
      <c r="D4000" s="12" t="s">
        <v>13</v>
      </c>
      <c r="E4000" s="12">
        <v>-3209</v>
      </c>
    </row>
    <row r="4001" spans="1:5">
      <c r="A4001" s="15">
        <v>43764</v>
      </c>
      <c r="B4001" s="13">
        <v>2502</v>
      </c>
      <c r="C4001" s="13" t="s">
        <v>7</v>
      </c>
      <c r="D4001" s="13" t="s">
        <v>13</v>
      </c>
      <c r="E4001" s="13">
        <v>-3704</v>
      </c>
    </row>
    <row r="4002" spans="1:5">
      <c r="A4002" s="14">
        <v>43764</v>
      </c>
      <c r="B4002" s="12">
        <v>2508</v>
      </c>
      <c r="C4002" s="12" t="s">
        <v>15</v>
      </c>
      <c r="D4002" s="12" t="s">
        <v>14</v>
      </c>
      <c r="E4002" s="12">
        <v>-72450</v>
      </c>
    </row>
    <row r="4003" spans="1:5">
      <c r="A4003" s="15">
        <v>43764</v>
      </c>
      <c r="B4003" s="13">
        <v>2512</v>
      </c>
      <c r="C4003" s="13" t="s">
        <v>16</v>
      </c>
      <c r="D4003" s="13" t="s">
        <v>12</v>
      </c>
      <c r="E4003" s="13">
        <v>-1043</v>
      </c>
    </row>
    <row r="4004" spans="1:5">
      <c r="A4004" s="14">
        <v>43764</v>
      </c>
      <c r="B4004" s="12">
        <v>2512</v>
      </c>
      <c r="C4004" s="12" t="s">
        <v>16</v>
      </c>
      <c r="D4004" s="12" t="s">
        <v>13</v>
      </c>
      <c r="E4004" s="12">
        <v>-467</v>
      </c>
    </row>
    <row r="4005" spans="1:5">
      <c r="A4005" s="15">
        <v>43764</v>
      </c>
      <c r="B4005" s="13">
        <v>2514</v>
      </c>
      <c r="C4005" s="13" t="s">
        <v>20</v>
      </c>
      <c r="D4005" s="13" t="s">
        <v>6</v>
      </c>
      <c r="E4005" s="13">
        <v>-1429</v>
      </c>
    </row>
    <row r="4006" spans="1:5">
      <c r="A4006" s="14">
        <v>43764</v>
      </c>
      <c r="B4006" s="12">
        <v>2501</v>
      </c>
      <c r="C4006" s="12" t="s">
        <v>5</v>
      </c>
      <c r="D4006" s="12" t="s">
        <v>19</v>
      </c>
      <c r="E4006" s="12">
        <v>-153</v>
      </c>
    </row>
    <row r="4007" spans="1:5">
      <c r="A4007" s="15">
        <v>43764</v>
      </c>
      <c r="B4007" s="13">
        <v>2501</v>
      </c>
      <c r="C4007" s="13" t="s">
        <v>5</v>
      </c>
      <c r="D4007" s="13" t="s">
        <v>19</v>
      </c>
      <c r="E4007" s="13">
        <v>-100</v>
      </c>
    </row>
    <row r="4008" spans="1:5">
      <c r="A4008" s="14">
        <v>43765</v>
      </c>
      <c r="B4008" s="12">
        <v>2502</v>
      </c>
      <c r="C4008" s="12" t="s">
        <v>7</v>
      </c>
      <c r="D4008" s="12" t="s">
        <v>19</v>
      </c>
      <c r="E4008" s="12">
        <v>-2776</v>
      </c>
    </row>
    <row r="4009" spans="1:5">
      <c r="A4009" s="15">
        <v>43765</v>
      </c>
      <c r="B4009" s="13">
        <v>2510</v>
      </c>
      <c r="C4009" s="13" t="s">
        <v>24</v>
      </c>
      <c r="D4009" s="13" t="s">
        <v>19</v>
      </c>
      <c r="E4009" s="13">
        <v>-1053</v>
      </c>
    </row>
    <row r="4010" spans="1:5">
      <c r="A4010" s="14">
        <v>43765</v>
      </c>
      <c r="B4010" s="12">
        <v>2510</v>
      </c>
      <c r="C4010" s="12" t="s">
        <v>24</v>
      </c>
      <c r="D4010" s="12" t="s">
        <v>19</v>
      </c>
      <c r="E4010" s="12">
        <v>-807</v>
      </c>
    </row>
    <row r="4011" spans="1:5">
      <c r="A4011" s="15">
        <v>43765</v>
      </c>
      <c r="B4011" s="13">
        <v>2514</v>
      </c>
      <c r="C4011" s="13" t="s">
        <v>20</v>
      </c>
      <c r="D4011" s="13" t="s">
        <v>19</v>
      </c>
      <c r="E4011" s="13">
        <v>-730</v>
      </c>
    </row>
    <row r="4012" spans="1:5">
      <c r="A4012" s="14">
        <v>43765</v>
      </c>
      <c r="B4012" s="12">
        <v>2513</v>
      </c>
      <c r="C4012" s="12" t="s">
        <v>17</v>
      </c>
      <c r="D4012" s="12" t="s">
        <v>19</v>
      </c>
      <c r="E4012" s="12">
        <v>-408</v>
      </c>
    </row>
    <row r="4013" spans="1:5">
      <c r="A4013" s="15">
        <v>43765</v>
      </c>
      <c r="B4013" s="13">
        <v>2503</v>
      </c>
      <c r="C4013" s="13" t="s">
        <v>22</v>
      </c>
      <c r="D4013" s="13" t="s">
        <v>19</v>
      </c>
      <c r="E4013" s="13">
        <v>-296</v>
      </c>
    </row>
    <row r="4014" spans="1:5">
      <c r="A4014" s="14">
        <v>43765</v>
      </c>
      <c r="B4014" s="12">
        <v>2502</v>
      </c>
      <c r="C4014" s="12" t="s">
        <v>7</v>
      </c>
      <c r="D4014" s="12" t="s">
        <v>8</v>
      </c>
      <c r="E4014" s="12">
        <v>-4414</v>
      </c>
    </row>
    <row r="4015" spans="1:5">
      <c r="A4015" s="15">
        <v>43765</v>
      </c>
      <c r="B4015" s="13">
        <v>2502</v>
      </c>
      <c r="C4015" s="13" t="s">
        <v>7</v>
      </c>
      <c r="D4015" s="13" t="s">
        <v>8</v>
      </c>
      <c r="E4015" s="13">
        <v>-3021</v>
      </c>
    </row>
    <row r="4016" spans="1:5">
      <c r="A4016" s="14">
        <v>43765</v>
      </c>
      <c r="B4016" s="12">
        <v>2502</v>
      </c>
      <c r="C4016" s="12" t="s">
        <v>7</v>
      </c>
      <c r="D4016" s="12" t="s">
        <v>12</v>
      </c>
      <c r="E4016" s="12">
        <v>-8221</v>
      </c>
    </row>
    <row r="4017" spans="1:5">
      <c r="A4017" s="15">
        <v>43765</v>
      </c>
      <c r="B4017" s="13">
        <v>2508</v>
      </c>
      <c r="C4017" s="13" t="s">
        <v>15</v>
      </c>
      <c r="D4017" s="13" t="s">
        <v>6</v>
      </c>
      <c r="E4017" s="13">
        <v>-60803</v>
      </c>
    </row>
    <row r="4018" spans="1:5">
      <c r="A4018" s="14">
        <v>43765</v>
      </c>
      <c r="B4018" s="12">
        <v>2512</v>
      </c>
      <c r="C4018" s="12" t="s">
        <v>16</v>
      </c>
      <c r="D4018" s="12" t="s">
        <v>12</v>
      </c>
      <c r="E4018" s="12">
        <v>-961</v>
      </c>
    </row>
    <row r="4019" spans="1:5">
      <c r="A4019" s="15">
        <v>43765</v>
      </c>
      <c r="B4019" s="13">
        <v>2512</v>
      </c>
      <c r="C4019" s="13" t="s">
        <v>16</v>
      </c>
      <c r="D4019" s="13" t="s">
        <v>6</v>
      </c>
      <c r="E4019" s="13">
        <v>-3502</v>
      </c>
    </row>
    <row r="4020" spans="1:5">
      <c r="A4020" s="14">
        <v>43765</v>
      </c>
      <c r="B4020" s="12">
        <v>2503</v>
      </c>
      <c r="C4020" s="12" t="s">
        <v>22</v>
      </c>
      <c r="D4020" s="12" t="s">
        <v>19</v>
      </c>
      <c r="E4020" s="12">
        <v>-199</v>
      </c>
    </row>
    <row r="4021" spans="1:5">
      <c r="A4021" s="15">
        <v>43766</v>
      </c>
      <c r="B4021" s="13">
        <v>1500</v>
      </c>
      <c r="C4021" s="13" t="s">
        <v>26</v>
      </c>
      <c r="D4021" s="13" t="s">
        <v>19</v>
      </c>
      <c r="E4021" s="13">
        <v>-43480</v>
      </c>
    </row>
    <row r="4022" spans="1:5">
      <c r="A4022" s="14">
        <v>43766</v>
      </c>
      <c r="B4022" s="12">
        <v>1500</v>
      </c>
      <c r="C4022" s="12" t="s">
        <v>26</v>
      </c>
      <c r="D4022" s="12" t="s">
        <v>19</v>
      </c>
      <c r="E4022" s="12">
        <v>-6261</v>
      </c>
    </row>
    <row r="4023" spans="1:5">
      <c r="A4023" s="15">
        <v>43766</v>
      </c>
      <c r="B4023" s="13">
        <v>2502</v>
      </c>
      <c r="C4023" s="13" t="s">
        <v>7</v>
      </c>
      <c r="D4023" s="13" t="s">
        <v>19</v>
      </c>
      <c r="E4023" s="13">
        <v>-5783</v>
      </c>
    </row>
    <row r="4024" spans="1:5">
      <c r="A4024" s="14">
        <v>43766</v>
      </c>
      <c r="B4024" s="12">
        <v>2513</v>
      </c>
      <c r="C4024" s="12" t="s">
        <v>17</v>
      </c>
      <c r="D4024" s="12" t="s">
        <v>19</v>
      </c>
      <c r="E4024" s="12">
        <v>-583</v>
      </c>
    </row>
    <row r="4025" spans="1:5">
      <c r="A4025" s="15">
        <v>43766</v>
      </c>
      <c r="B4025" s="13">
        <v>2501</v>
      </c>
      <c r="C4025" s="13" t="s">
        <v>5</v>
      </c>
      <c r="D4025" s="13" t="s">
        <v>12</v>
      </c>
      <c r="E4025" s="13">
        <v>-225</v>
      </c>
    </row>
    <row r="4026" spans="1:5">
      <c r="A4026" s="14">
        <v>43766</v>
      </c>
      <c r="B4026" s="12">
        <v>2502</v>
      </c>
      <c r="C4026" s="12" t="s">
        <v>7</v>
      </c>
      <c r="D4026" s="12" t="s">
        <v>13</v>
      </c>
      <c r="E4026" s="12">
        <v>-3150</v>
      </c>
    </row>
    <row r="4027" spans="1:5">
      <c r="A4027" s="15">
        <v>43766</v>
      </c>
      <c r="B4027" s="13">
        <v>2503</v>
      </c>
      <c r="C4027" s="13" t="s">
        <v>22</v>
      </c>
      <c r="D4027" s="13" t="s">
        <v>12</v>
      </c>
      <c r="E4027" s="13">
        <v>-552</v>
      </c>
    </row>
    <row r="4028" spans="1:5">
      <c r="A4028" s="14">
        <v>43766</v>
      </c>
      <c r="B4028" s="12">
        <v>2505</v>
      </c>
      <c r="C4028" s="12" t="s">
        <v>9</v>
      </c>
      <c r="D4028" s="12" t="s">
        <v>10</v>
      </c>
      <c r="E4028" s="12">
        <v>-676</v>
      </c>
    </row>
    <row r="4029" spans="1:5">
      <c r="A4029" s="15">
        <v>43766</v>
      </c>
      <c r="B4029" s="13">
        <v>2508</v>
      </c>
      <c r="C4029" s="13" t="s">
        <v>15</v>
      </c>
      <c r="D4029" s="13" t="s">
        <v>14</v>
      </c>
      <c r="E4029" s="13">
        <v>-78794</v>
      </c>
    </row>
    <row r="4030" spans="1:5">
      <c r="A4030" s="14">
        <v>43766</v>
      </c>
      <c r="B4030" s="12">
        <v>2513</v>
      </c>
      <c r="C4030" s="12" t="s">
        <v>17</v>
      </c>
      <c r="D4030" s="12" t="s">
        <v>6</v>
      </c>
      <c r="E4030" s="12">
        <v>-990</v>
      </c>
    </row>
    <row r="4031" spans="1:5">
      <c r="A4031" s="15">
        <v>43766</v>
      </c>
      <c r="B4031" s="13">
        <v>2513</v>
      </c>
      <c r="C4031" s="13" t="s">
        <v>17</v>
      </c>
      <c r="D4031" s="13" t="s">
        <v>14</v>
      </c>
      <c r="E4031" s="13">
        <v>-1145</v>
      </c>
    </row>
    <row r="4032" spans="1:5">
      <c r="A4032" s="14">
        <v>43766</v>
      </c>
      <c r="B4032" s="12">
        <v>2514</v>
      </c>
      <c r="C4032" s="12" t="s">
        <v>20</v>
      </c>
      <c r="D4032" s="12" t="s">
        <v>6</v>
      </c>
      <c r="E4032" s="12">
        <v>-1141</v>
      </c>
    </row>
    <row r="4033" spans="1:5">
      <c r="A4033" s="15">
        <v>43766</v>
      </c>
      <c r="B4033" s="13">
        <v>2514</v>
      </c>
      <c r="C4033" s="13" t="s">
        <v>20</v>
      </c>
      <c r="D4033" s="13" t="s">
        <v>13</v>
      </c>
      <c r="E4033" s="13">
        <v>-1011</v>
      </c>
    </row>
    <row r="4034" spans="1:5">
      <c r="A4034" s="14">
        <v>43766</v>
      </c>
      <c r="B4034" s="12">
        <v>2514</v>
      </c>
      <c r="C4034" s="12" t="s">
        <v>20</v>
      </c>
      <c r="D4034" s="12" t="s">
        <v>6</v>
      </c>
      <c r="E4034" s="12">
        <v>-1566</v>
      </c>
    </row>
    <row r="4035" spans="1:5">
      <c r="A4035" s="15">
        <v>43766</v>
      </c>
      <c r="B4035" s="13">
        <v>2501</v>
      </c>
      <c r="C4035" s="13" t="s">
        <v>5</v>
      </c>
      <c r="D4035" s="13" t="s">
        <v>19</v>
      </c>
      <c r="E4035" s="13">
        <v>-67</v>
      </c>
    </row>
    <row r="4036" spans="1:5">
      <c r="A4036" s="14">
        <v>43766</v>
      </c>
      <c r="B4036" s="12">
        <v>1000</v>
      </c>
      <c r="C4036" s="12" t="s">
        <v>23</v>
      </c>
      <c r="D4036" s="12" t="s">
        <v>19</v>
      </c>
      <c r="E4036" s="12">
        <v>528109</v>
      </c>
    </row>
    <row r="4037" spans="1:5">
      <c r="A4037" s="15">
        <v>43766</v>
      </c>
      <c r="B4037" s="13">
        <v>1000</v>
      </c>
      <c r="C4037" s="13" t="s">
        <v>23</v>
      </c>
      <c r="D4037" s="13" t="s">
        <v>19</v>
      </c>
      <c r="E4037" s="13">
        <v>617959</v>
      </c>
    </row>
    <row r="4038" spans="1:5">
      <c r="A4038" s="14">
        <v>43767</v>
      </c>
      <c r="B4038" s="12">
        <v>2000</v>
      </c>
      <c r="C4038" s="12" t="s">
        <v>18</v>
      </c>
      <c r="D4038" s="12" t="s">
        <v>19</v>
      </c>
      <c r="E4038" s="12">
        <v>-155577</v>
      </c>
    </row>
    <row r="4039" spans="1:5">
      <c r="A4039" s="15">
        <v>43767</v>
      </c>
      <c r="B4039" s="13">
        <v>2508</v>
      </c>
      <c r="C4039" s="13" t="s">
        <v>15</v>
      </c>
      <c r="D4039" s="13" t="s">
        <v>19</v>
      </c>
      <c r="E4039" s="13">
        <v>-52162</v>
      </c>
    </row>
    <row r="4040" spans="1:5">
      <c r="A4040" s="14">
        <v>43767</v>
      </c>
      <c r="B4040" s="12">
        <v>2500</v>
      </c>
      <c r="C4040" s="12" t="s">
        <v>25</v>
      </c>
      <c r="D4040" s="12" t="s">
        <v>19</v>
      </c>
      <c r="E4040" s="12">
        <v>-13456</v>
      </c>
    </row>
    <row r="4041" spans="1:5">
      <c r="A4041" s="15">
        <v>43767</v>
      </c>
      <c r="B4041" s="13">
        <v>2502</v>
      </c>
      <c r="C4041" s="13" t="s">
        <v>7</v>
      </c>
      <c r="D4041" s="13" t="s">
        <v>19</v>
      </c>
      <c r="E4041" s="13">
        <v>-4581</v>
      </c>
    </row>
    <row r="4042" spans="1:5">
      <c r="A4042" s="14">
        <v>43767</v>
      </c>
      <c r="B4042" s="12">
        <v>2502</v>
      </c>
      <c r="C4042" s="12" t="s">
        <v>7</v>
      </c>
      <c r="D4042" s="12" t="s">
        <v>19</v>
      </c>
      <c r="E4042" s="12">
        <v>-4173</v>
      </c>
    </row>
    <row r="4043" spans="1:5">
      <c r="A4043" s="15">
        <v>43767</v>
      </c>
      <c r="B4043" s="13">
        <v>2502</v>
      </c>
      <c r="C4043" s="13" t="s">
        <v>7</v>
      </c>
      <c r="D4043" s="13" t="s">
        <v>19</v>
      </c>
      <c r="E4043" s="13">
        <v>-3307</v>
      </c>
    </row>
    <row r="4044" spans="1:5">
      <c r="A4044" s="14">
        <v>43767</v>
      </c>
      <c r="B4044" s="12">
        <v>2514</v>
      </c>
      <c r="C4044" s="12" t="s">
        <v>20</v>
      </c>
      <c r="D4044" s="12" t="s">
        <v>19</v>
      </c>
      <c r="E4044" s="12">
        <v>-889</v>
      </c>
    </row>
    <row r="4045" spans="1:5">
      <c r="A4045" s="15">
        <v>43767</v>
      </c>
      <c r="B4045" s="13">
        <v>2505</v>
      </c>
      <c r="C4045" s="13" t="s">
        <v>9</v>
      </c>
      <c r="D4045" s="13" t="s">
        <v>19</v>
      </c>
      <c r="E4045" s="13">
        <v>-573</v>
      </c>
    </row>
    <row r="4046" spans="1:5">
      <c r="A4046" s="14">
        <v>43767</v>
      </c>
      <c r="B4046" s="12">
        <v>2505</v>
      </c>
      <c r="C4046" s="12" t="s">
        <v>9</v>
      </c>
      <c r="D4046" s="12" t="s">
        <v>19</v>
      </c>
      <c r="E4046" s="12">
        <v>-506</v>
      </c>
    </row>
    <row r="4047" spans="1:5">
      <c r="A4047" s="15">
        <v>43767</v>
      </c>
      <c r="B4047" s="13">
        <v>2501</v>
      </c>
      <c r="C4047" s="13" t="s">
        <v>5</v>
      </c>
      <c r="D4047" s="13" t="s">
        <v>19</v>
      </c>
      <c r="E4047" s="13">
        <v>-137</v>
      </c>
    </row>
    <row r="4048" spans="1:5">
      <c r="A4048" s="14">
        <v>43767</v>
      </c>
      <c r="B4048" s="12">
        <v>1000</v>
      </c>
      <c r="C4048" s="12" t="s">
        <v>23</v>
      </c>
      <c r="D4048" s="12" t="s">
        <v>19</v>
      </c>
      <c r="E4048" s="12">
        <v>1154119</v>
      </c>
    </row>
    <row r="4049" spans="1:5">
      <c r="A4049" s="15">
        <v>43768</v>
      </c>
      <c r="B4049" s="13">
        <v>2508</v>
      </c>
      <c r="C4049" s="13" t="s">
        <v>15</v>
      </c>
      <c r="D4049" s="13" t="s">
        <v>19</v>
      </c>
      <c r="E4049" s="13">
        <v>-52375</v>
      </c>
    </row>
    <row r="4050" spans="1:5">
      <c r="A4050" s="14">
        <v>43768</v>
      </c>
      <c r="B4050" s="12">
        <v>2514</v>
      </c>
      <c r="C4050" s="12" t="s">
        <v>20</v>
      </c>
      <c r="D4050" s="12" t="s">
        <v>19</v>
      </c>
      <c r="E4050" s="12">
        <v>-1155</v>
      </c>
    </row>
    <row r="4051" spans="1:5">
      <c r="A4051" s="15">
        <v>43768</v>
      </c>
      <c r="B4051" s="13">
        <v>2513</v>
      </c>
      <c r="C4051" s="13" t="s">
        <v>17</v>
      </c>
      <c r="D4051" s="13" t="s">
        <v>19</v>
      </c>
      <c r="E4051" s="13">
        <v>-539</v>
      </c>
    </row>
    <row r="4052" spans="1:5">
      <c r="A4052" s="14">
        <v>43768</v>
      </c>
      <c r="B4052" s="12">
        <v>2503</v>
      </c>
      <c r="C4052" s="12" t="s">
        <v>22</v>
      </c>
      <c r="D4052" s="12" t="s">
        <v>19</v>
      </c>
      <c r="E4052" s="12">
        <v>-285</v>
      </c>
    </row>
    <row r="4053" spans="1:5">
      <c r="A4053" s="15">
        <v>43768</v>
      </c>
      <c r="B4053" s="13">
        <v>2501</v>
      </c>
      <c r="C4053" s="13" t="s">
        <v>5</v>
      </c>
      <c r="D4053" s="13" t="s">
        <v>12</v>
      </c>
      <c r="E4053" s="13">
        <v>-127</v>
      </c>
    </row>
    <row r="4054" spans="1:5">
      <c r="A4054" s="14">
        <v>43768</v>
      </c>
      <c r="B4054" s="12">
        <v>2501</v>
      </c>
      <c r="C4054" s="12" t="s">
        <v>5</v>
      </c>
      <c r="D4054" s="12" t="s">
        <v>13</v>
      </c>
      <c r="E4054" s="12">
        <v>-89</v>
      </c>
    </row>
    <row r="4055" spans="1:5">
      <c r="A4055" s="15">
        <v>43768</v>
      </c>
      <c r="B4055" s="13">
        <v>2503</v>
      </c>
      <c r="C4055" s="13" t="s">
        <v>22</v>
      </c>
      <c r="D4055" s="13" t="s">
        <v>14</v>
      </c>
      <c r="E4055" s="13">
        <v>-391</v>
      </c>
    </row>
    <row r="4056" spans="1:5">
      <c r="A4056" s="14">
        <v>43768</v>
      </c>
      <c r="B4056" s="12">
        <v>2508</v>
      </c>
      <c r="C4056" s="12" t="s">
        <v>15</v>
      </c>
      <c r="D4056" s="12" t="s">
        <v>10</v>
      </c>
      <c r="E4056" s="12">
        <v>-77405</v>
      </c>
    </row>
    <row r="4057" spans="1:5">
      <c r="A4057" s="15">
        <v>43768</v>
      </c>
      <c r="B4057" s="13">
        <v>2514</v>
      </c>
      <c r="C4057" s="13" t="s">
        <v>20</v>
      </c>
      <c r="D4057" s="13" t="s">
        <v>14</v>
      </c>
      <c r="E4057" s="13">
        <v>-1442</v>
      </c>
    </row>
    <row r="4058" spans="1:5">
      <c r="A4058" s="14">
        <v>43768</v>
      </c>
      <c r="B4058" s="12">
        <v>2510</v>
      </c>
      <c r="C4058" s="12" t="s">
        <v>24</v>
      </c>
      <c r="D4058" s="12" t="s">
        <v>12</v>
      </c>
      <c r="E4058" s="12">
        <v>-1443</v>
      </c>
    </row>
    <row r="4059" spans="1:5">
      <c r="A4059" s="15">
        <v>43768</v>
      </c>
      <c r="B4059" s="13">
        <v>2510</v>
      </c>
      <c r="C4059" s="13" t="s">
        <v>24</v>
      </c>
      <c r="D4059" s="13" t="s">
        <v>14</v>
      </c>
      <c r="E4059" s="13">
        <v>-1606</v>
      </c>
    </row>
    <row r="4060" spans="1:5">
      <c r="A4060" s="14">
        <v>43768</v>
      </c>
      <c r="B4060" s="12">
        <v>1000</v>
      </c>
      <c r="C4060" s="12" t="s">
        <v>23</v>
      </c>
      <c r="D4060" s="12" t="s">
        <v>19</v>
      </c>
      <c r="E4060" s="12">
        <v>1279667</v>
      </c>
    </row>
    <row r="4061" spans="1:5">
      <c r="A4061" s="15">
        <v>43769</v>
      </c>
      <c r="B4061" s="13">
        <v>2500</v>
      </c>
      <c r="C4061" s="13" t="s">
        <v>25</v>
      </c>
      <c r="D4061" s="13" t="s">
        <v>19</v>
      </c>
      <c r="E4061" s="13">
        <v>-32084</v>
      </c>
    </row>
    <row r="4062" spans="1:5">
      <c r="A4062" s="14">
        <v>43769</v>
      </c>
      <c r="B4062" s="12">
        <v>2500</v>
      </c>
      <c r="C4062" s="12" t="s">
        <v>25</v>
      </c>
      <c r="D4062" s="12" t="s">
        <v>19</v>
      </c>
      <c r="E4062" s="12">
        <v>-29022</v>
      </c>
    </row>
    <row r="4063" spans="1:5">
      <c r="A4063" s="15">
        <v>43769</v>
      </c>
      <c r="B4063" s="13">
        <v>2501</v>
      </c>
      <c r="C4063" s="13" t="s">
        <v>5</v>
      </c>
      <c r="D4063" s="13" t="s">
        <v>10</v>
      </c>
      <c r="E4063" s="13">
        <v>-157</v>
      </c>
    </row>
    <row r="4064" spans="1:5">
      <c r="A4064" s="14">
        <v>43769</v>
      </c>
      <c r="B4064" s="12">
        <v>2503</v>
      </c>
      <c r="C4064" s="12" t="s">
        <v>22</v>
      </c>
      <c r="D4064" s="12" t="s">
        <v>10</v>
      </c>
      <c r="E4064" s="12">
        <v>-378</v>
      </c>
    </row>
    <row r="4065" spans="1:5">
      <c r="A4065" s="15">
        <v>43769</v>
      </c>
      <c r="B4065" s="13">
        <v>2505</v>
      </c>
      <c r="C4065" s="13" t="s">
        <v>9</v>
      </c>
      <c r="D4065" s="13" t="s">
        <v>10</v>
      </c>
      <c r="E4065" s="13">
        <v>-655</v>
      </c>
    </row>
    <row r="4066" spans="1:5">
      <c r="A4066" s="14">
        <v>43769</v>
      </c>
      <c r="B4066" s="12">
        <v>2506</v>
      </c>
      <c r="C4066" s="12" t="s">
        <v>27</v>
      </c>
      <c r="D4066" s="12" t="s">
        <v>8</v>
      </c>
      <c r="E4066" s="12">
        <v>-630</v>
      </c>
    </row>
    <row r="4067" spans="1:5">
      <c r="A4067" s="15">
        <v>43769</v>
      </c>
      <c r="B4067" s="13">
        <v>2508</v>
      </c>
      <c r="C4067" s="13" t="s">
        <v>15</v>
      </c>
      <c r="D4067" s="13" t="s">
        <v>14</v>
      </c>
      <c r="E4067" s="13">
        <v>-73916</v>
      </c>
    </row>
    <row r="4068" spans="1:5">
      <c r="A4068" s="14">
        <v>43769</v>
      </c>
      <c r="B4068" s="12">
        <v>2513</v>
      </c>
      <c r="C4068" s="12" t="s">
        <v>17</v>
      </c>
      <c r="D4068" s="12" t="s">
        <v>12</v>
      </c>
      <c r="E4068" s="12">
        <v>-1949</v>
      </c>
    </row>
    <row r="4069" spans="1:5">
      <c r="A4069" s="15">
        <v>43769</v>
      </c>
      <c r="B4069" s="13">
        <v>2513</v>
      </c>
      <c r="C4069" s="13" t="s">
        <v>17</v>
      </c>
      <c r="D4069" s="13" t="s">
        <v>6</v>
      </c>
      <c r="E4069" s="13">
        <v>-847</v>
      </c>
    </row>
    <row r="4070" spans="1:5">
      <c r="A4070" s="14">
        <v>43770</v>
      </c>
      <c r="B4070" s="12">
        <v>2500</v>
      </c>
      <c r="C4070" s="12" t="s">
        <v>25</v>
      </c>
      <c r="D4070" s="12" t="s">
        <v>19</v>
      </c>
      <c r="E4070" s="12">
        <v>-44499</v>
      </c>
    </row>
    <row r="4071" spans="1:5">
      <c r="A4071" s="15">
        <v>43770</v>
      </c>
      <c r="B4071" s="13">
        <v>2500</v>
      </c>
      <c r="C4071" s="13" t="s">
        <v>25</v>
      </c>
      <c r="D4071" s="13" t="s">
        <v>19</v>
      </c>
      <c r="E4071" s="13">
        <v>-41331</v>
      </c>
    </row>
    <row r="4072" spans="1:5">
      <c r="A4072" s="14">
        <v>43770</v>
      </c>
      <c r="B4072" s="12">
        <v>2502</v>
      </c>
      <c r="C4072" s="12" t="s">
        <v>7</v>
      </c>
      <c r="D4072" s="12" t="s">
        <v>19</v>
      </c>
      <c r="E4072" s="12">
        <v>-4944</v>
      </c>
    </row>
    <row r="4073" spans="1:5">
      <c r="A4073" s="15">
        <v>43770</v>
      </c>
      <c r="B4073" s="13">
        <v>2502</v>
      </c>
      <c r="C4073" s="13" t="s">
        <v>7</v>
      </c>
      <c r="D4073" s="13" t="s">
        <v>19</v>
      </c>
      <c r="E4073" s="13">
        <v>-3346</v>
      </c>
    </row>
    <row r="4074" spans="1:5">
      <c r="A4074" s="14">
        <v>43770</v>
      </c>
      <c r="B4074" s="12">
        <v>2507</v>
      </c>
      <c r="C4074" s="12" t="s">
        <v>11</v>
      </c>
      <c r="D4074" s="12" t="s">
        <v>19</v>
      </c>
      <c r="E4074" s="12">
        <v>-2160</v>
      </c>
    </row>
    <row r="4075" spans="1:5">
      <c r="A4075" s="15">
        <v>43770</v>
      </c>
      <c r="B4075" s="13">
        <v>2514</v>
      </c>
      <c r="C4075" s="13" t="s">
        <v>20</v>
      </c>
      <c r="D4075" s="13" t="s">
        <v>19</v>
      </c>
      <c r="E4075" s="13">
        <v>-849</v>
      </c>
    </row>
    <row r="4076" spans="1:5">
      <c r="A4076" s="14">
        <v>43770</v>
      </c>
      <c r="B4076" s="12">
        <v>2503</v>
      </c>
      <c r="C4076" s="12" t="s">
        <v>22</v>
      </c>
      <c r="D4076" s="12" t="s">
        <v>6</v>
      </c>
      <c r="E4076" s="12">
        <v>-353</v>
      </c>
    </row>
    <row r="4077" spans="1:5">
      <c r="A4077" s="15">
        <v>43770</v>
      </c>
      <c r="B4077" s="13">
        <v>2505</v>
      </c>
      <c r="C4077" s="13" t="s">
        <v>9</v>
      </c>
      <c r="D4077" s="13" t="s">
        <v>12</v>
      </c>
      <c r="E4077" s="13">
        <v>-741</v>
      </c>
    </row>
    <row r="4078" spans="1:5">
      <c r="A4078" s="14">
        <v>43770</v>
      </c>
      <c r="B4078" s="12">
        <v>2507</v>
      </c>
      <c r="C4078" s="12" t="s">
        <v>11</v>
      </c>
      <c r="D4078" s="12" t="s">
        <v>12</v>
      </c>
      <c r="E4078" s="12">
        <v>-2320</v>
      </c>
    </row>
    <row r="4079" spans="1:5">
      <c r="A4079" s="15">
        <v>43770</v>
      </c>
      <c r="B4079" s="13">
        <v>2507</v>
      </c>
      <c r="C4079" s="13" t="s">
        <v>11</v>
      </c>
      <c r="D4079" s="13" t="s">
        <v>13</v>
      </c>
      <c r="E4079" s="13">
        <v>-2060</v>
      </c>
    </row>
    <row r="4080" spans="1:5">
      <c r="A4080" s="14">
        <v>43770</v>
      </c>
      <c r="B4080" s="12">
        <v>2507</v>
      </c>
      <c r="C4080" s="12" t="s">
        <v>11</v>
      </c>
      <c r="D4080" s="12" t="s">
        <v>8</v>
      </c>
      <c r="E4080" s="12">
        <v>-1960</v>
      </c>
    </row>
    <row r="4081" spans="1:5">
      <c r="A4081" s="15">
        <v>43770</v>
      </c>
      <c r="B4081" s="13">
        <v>2507</v>
      </c>
      <c r="C4081" s="13" t="s">
        <v>11</v>
      </c>
      <c r="D4081" s="13" t="s">
        <v>10</v>
      </c>
      <c r="E4081" s="13">
        <v>-1560</v>
      </c>
    </row>
    <row r="4082" spans="1:5">
      <c r="A4082" s="14">
        <v>43770</v>
      </c>
      <c r="B4082" s="12">
        <v>2507</v>
      </c>
      <c r="C4082" s="12" t="s">
        <v>11</v>
      </c>
      <c r="D4082" s="12" t="s">
        <v>6</v>
      </c>
      <c r="E4082" s="12">
        <v>-1770</v>
      </c>
    </row>
    <row r="4083" spans="1:5">
      <c r="A4083" s="15">
        <v>43770</v>
      </c>
      <c r="B4083" s="13">
        <v>2507</v>
      </c>
      <c r="C4083" s="13" t="s">
        <v>11</v>
      </c>
      <c r="D4083" s="13" t="s">
        <v>14</v>
      </c>
      <c r="E4083" s="13">
        <v>-1120</v>
      </c>
    </row>
    <row r="4084" spans="1:5">
      <c r="A4084" s="14">
        <v>43770</v>
      </c>
      <c r="B4084" s="12">
        <v>2508</v>
      </c>
      <c r="C4084" s="12" t="s">
        <v>15</v>
      </c>
      <c r="D4084" s="12" t="s">
        <v>13</v>
      </c>
      <c r="E4084" s="12">
        <v>-51800</v>
      </c>
    </row>
    <row r="4085" spans="1:5">
      <c r="A4085" s="15">
        <v>43770</v>
      </c>
      <c r="B4085" s="13">
        <v>2508</v>
      </c>
      <c r="C4085" s="13" t="s">
        <v>15</v>
      </c>
      <c r="D4085" s="13" t="s">
        <v>13</v>
      </c>
      <c r="E4085" s="13">
        <v>-54820</v>
      </c>
    </row>
    <row r="4086" spans="1:5">
      <c r="A4086" s="14">
        <v>43770</v>
      </c>
      <c r="B4086" s="12">
        <v>2512</v>
      </c>
      <c r="C4086" s="12" t="s">
        <v>16</v>
      </c>
      <c r="D4086" s="12" t="s">
        <v>12</v>
      </c>
      <c r="E4086" s="12">
        <v>-1125</v>
      </c>
    </row>
    <row r="4087" spans="1:5">
      <c r="A4087" s="15">
        <v>43770</v>
      </c>
      <c r="B4087" s="13">
        <v>2512</v>
      </c>
      <c r="C4087" s="13" t="s">
        <v>16</v>
      </c>
      <c r="D4087" s="13" t="s">
        <v>13</v>
      </c>
      <c r="E4087" s="13">
        <v>-426</v>
      </c>
    </row>
    <row r="4088" spans="1:5">
      <c r="A4088" s="14">
        <v>43770</v>
      </c>
      <c r="B4088" s="12">
        <v>2513</v>
      </c>
      <c r="C4088" s="12" t="s">
        <v>17</v>
      </c>
      <c r="D4088" s="12" t="s">
        <v>6</v>
      </c>
      <c r="E4088" s="12">
        <v>-697</v>
      </c>
    </row>
    <row r="4089" spans="1:5">
      <c r="A4089" s="15">
        <v>43770</v>
      </c>
      <c r="B4089" s="13">
        <v>2513</v>
      </c>
      <c r="C4089" s="13" t="s">
        <v>17</v>
      </c>
      <c r="D4089" s="13" t="s">
        <v>13</v>
      </c>
      <c r="E4089" s="13">
        <v>-846</v>
      </c>
    </row>
    <row r="4090" spans="1:5">
      <c r="A4090" s="14">
        <v>43770</v>
      </c>
      <c r="B4090" s="12">
        <v>2513</v>
      </c>
      <c r="C4090" s="12" t="s">
        <v>17</v>
      </c>
      <c r="D4090" s="12" t="s">
        <v>6</v>
      </c>
      <c r="E4090" s="12">
        <v>-1031</v>
      </c>
    </row>
    <row r="4091" spans="1:5">
      <c r="A4091" s="15">
        <v>43770</v>
      </c>
      <c r="B4091" s="13">
        <v>2514</v>
      </c>
      <c r="C4091" s="13" t="s">
        <v>20</v>
      </c>
      <c r="D4091" s="13" t="s">
        <v>8</v>
      </c>
      <c r="E4091" s="13">
        <v>-1558</v>
      </c>
    </row>
    <row r="4092" spans="1:5">
      <c r="A4092" s="14">
        <v>43770</v>
      </c>
      <c r="B4092" s="12">
        <v>2514</v>
      </c>
      <c r="C4092" s="12" t="s">
        <v>20</v>
      </c>
      <c r="D4092" s="12" t="s">
        <v>8</v>
      </c>
      <c r="E4092" s="12">
        <v>-1234</v>
      </c>
    </row>
    <row r="4093" spans="1:5">
      <c r="A4093" s="15">
        <v>43770</v>
      </c>
      <c r="B4093" s="13">
        <v>2510</v>
      </c>
      <c r="C4093" s="13" t="s">
        <v>24</v>
      </c>
      <c r="D4093" s="13" t="s">
        <v>12</v>
      </c>
      <c r="E4093" s="13">
        <v>-2321</v>
      </c>
    </row>
    <row r="4094" spans="1:5">
      <c r="A4094" s="14">
        <v>43770</v>
      </c>
      <c r="B4094" s="12">
        <v>1000</v>
      </c>
      <c r="C4094" s="12" t="s">
        <v>23</v>
      </c>
      <c r="D4094" s="12" t="s">
        <v>19</v>
      </c>
      <c r="E4094" s="12">
        <v>1158539</v>
      </c>
    </row>
    <row r="4095" spans="1:5">
      <c r="A4095" s="15">
        <v>43770</v>
      </c>
      <c r="B4095" s="13">
        <v>1000</v>
      </c>
      <c r="C4095" s="13" t="s">
        <v>23</v>
      </c>
      <c r="D4095" s="13" t="s">
        <v>19</v>
      </c>
      <c r="E4095" s="13">
        <v>1238479</v>
      </c>
    </row>
    <row r="4096" spans="1:5">
      <c r="A4096" s="14">
        <v>43770</v>
      </c>
      <c r="B4096" s="12">
        <v>1000</v>
      </c>
      <c r="C4096" s="12" t="s">
        <v>23</v>
      </c>
      <c r="D4096" s="12" t="s">
        <v>19</v>
      </c>
      <c r="E4096" s="12">
        <v>1374220</v>
      </c>
    </row>
    <row r="4097" spans="1:5">
      <c r="A4097" s="15">
        <v>43771</v>
      </c>
      <c r="B4097" s="13">
        <v>2500</v>
      </c>
      <c r="C4097" s="13" t="s">
        <v>25</v>
      </c>
      <c r="D4097" s="13" t="s">
        <v>19</v>
      </c>
      <c r="E4097" s="13">
        <v>-30138</v>
      </c>
    </row>
    <row r="4098" spans="1:5">
      <c r="A4098" s="14">
        <v>43771</v>
      </c>
      <c r="B4098" s="12">
        <v>2500</v>
      </c>
      <c r="C4098" s="12" t="s">
        <v>25</v>
      </c>
      <c r="D4098" s="12" t="s">
        <v>19</v>
      </c>
      <c r="E4098" s="12">
        <v>-16816</v>
      </c>
    </row>
    <row r="4099" spans="1:5">
      <c r="A4099" s="15">
        <v>43771</v>
      </c>
      <c r="B4099" s="13">
        <v>2512</v>
      </c>
      <c r="C4099" s="13" t="s">
        <v>16</v>
      </c>
      <c r="D4099" s="13" t="s">
        <v>19</v>
      </c>
      <c r="E4099" s="13">
        <v>-11329</v>
      </c>
    </row>
    <row r="4100" spans="1:5">
      <c r="A4100" s="14">
        <v>43771</v>
      </c>
      <c r="B4100" s="12">
        <v>2505</v>
      </c>
      <c r="C4100" s="12" t="s">
        <v>9</v>
      </c>
      <c r="D4100" s="12" t="s">
        <v>19</v>
      </c>
      <c r="E4100" s="12">
        <v>-379</v>
      </c>
    </row>
    <row r="4101" spans="1:5">
      <c r="A4101" s="15">
        <v>43771</v>
      </c>
      <c r="B4101" s="13">
        <v>2502</v>
      </c>
      <c r="C4101" s="13" t="s">
        <v>7</v>
      </c>
      <c r="D4101" s="13" t="s">
        <v>14</v>
      </c>
      <c r="E4101" s="13">
        <v>-3282</v>
      </c>
    </row>
    <row r="4102" spans="1:5">
      <c r="A4102" s="14">
        <v>43771</v>
      </c>
      <c r="B4102" s="12">
        <v>2505</v>
      </c>
      <c r="C4102" s="12" t="s">
        <v>9</v>
      </c>
      <c r="D4102" s="12" t="s">
        <v>8</v>
      </c>
      <c r="E4102" s="12">
        <v>-657</v>
      </c>
    </row>
    <row r="4103" spans="1:5">
      <c r="A4103" s="15">
        <v>43771</v>
      </c>
      <c r="B4103" s="13">
        <v>2506</v>
      </c>
      <c r="C4103" s="13" t="s">
        <v>27</v>
      </c>
      <c r="D4103" s="13" t="s">
        <v>8</v>
      </c>
      <c r="E4103" s="13">
        <v>-440</v>
      </c>
    </row>
    <row r="4104" spans="1:5">
      <c r="A4104" s="14">
        <v>43771</v>
      </c>
      <c r="B4104" s="12">
        <v>2512</v>
      </c>
      <c r="C4104" s="12" t="s">
        <v>16</v>
      </c>
      <c r="D4104" s="12" t="s">
        <v>12</v>
      </c>
      <c r="E4104" s="12">
        <v>-880</v>
      </c>
    </row>
    <row r="4105" spans="1:5">
      <c r="A4105" s="15">
        <v>43771</v>
      </c>
      <c r="B4105" s="13">
        <v>2513</v>
      </c>
      <c r="C4105" s="13" t="s">
        <v>17</v>
      </c>
      <c r="D4105" s="13" t="s">
        <v>12</v>
      </c>
      <c r="E4105" s="13">
        <v>-1012</v>
      </c>
    </row>
    <row r="4106" spans="1:5">
      <c r="A4106" s="14">
        <v>43771</v>
      </c>
      <c r="B4106" s="12">
        <v>2510</v>
      </c>
      <c r="C4106" s="12" t="s">
        <v>24</v>
      </c>
      <c r="D4106" s="12" t="s">
        <v>14</v>
      </c>
      <c r="E4106" s="12">
        <v>-1174</v>
      </c>
    </row>
    <row r="4107" spans="1:5">
      <c r="A4107" s="15">
        <v>43771</v>
      </c>
      <c r="B4107" s="13">
        <v>2501</v>
      </c>
      <c r="C4107" s="13" t="s">
        <v>5</v>
      </c>
      <c r="D4107" s="13" t="s">
        <v>19</v>
      </c>
      <c r="E4107" s="13">
        <v>-100</v>
      </c>
    </row>
    <row r="4108" spans="1:5">
      <c r="A4108" s="14">
        <v>43771</v>
      </c>
      <c r="B4108" s="12">
        <v>1000</v>
      </c>
      <c r="C4108" s="12" t="s">
        <v>23</v>
      </c>
      <c r="D4108" s="12" t="s">
        <v>19</v>
      </c>
      <c r="E4108" s="12">
        <v>1093585</v>
      </c>
    </row>
    <row r="4109" spans="1:5">
      <c r="A4109" s="15">
        <v>43772</v>
      </c>
      <c r="B4109" s="13">
        <v>2000</v>
      </c>
      <c r="C4109" s="13" t="s">
        <v>18</v>
      </c>
      <c r="D4109" s="13" t="s">
        <v>19</v>
      </c>
      <c r="E4109" s="13">
        <v>-173248</v>
      </c>
    </row>
    <row r="4110" spans="1:5">
      <c r="A4110" s="14">
        <v>43772</v>
      </c>
      <c r="B4110" s="12">
        <v>2000</v>
      </c>
      <c r="C4110" s="12" t="s">
        <v>18</v>
      </c>
      <c r="D4110" s="12" t="s">
        <v>19</v>
      </c>
      <c r="E4110" s="12">
        <v>-142842</v>
      </c>
    </row>
    <row r="4111" spans="1:5">
      <c r="A4111" s="15">
        <v>43772</v>
      </c>
      <c r="B4111" s="13">
        <v>2500</v>
      </c>
      <c r="C4111" s="13" t="s">
        <v>25</v>
      </c>
      <c r="D4111" s="13" t="s">
        <v>19</v>
      </c>
      <c r="E4111" s="13">
        <v>-54729</v>
      </c>
    </row>
    <row r="4112" spans="1:5">
      <c r="A4112" s="14">
        <v>43772</v>
      </c>
      <c r="B4112" s="12">
        <v>1500</v>
      </c>
      <c r="C4112" s="12" t="s">
        <v>26</v>
      </c>
      <c r="D4112" s="12" t="s">
        <v>19</v>
      </c>
      <c r="E4112" s="12">
        <v>-17875</v>
      </c>
    </row>
    <row r="4113" spans="1:5">
      <c r="A4113" s="15">
        <v>43772</v>
      </c>
      <c r="B4113" s="13">
        <v>2504</v>
      </c>
      <c r="C4113" s="13" t="s">
        <v>21</v>
      </c>
      <c r="D4113" s="13" t="s">
        <v>19</v>
      </c>
      <c r="E4113" s="13">
        <v>-1040</v>
      </c>
    </row>
    <row r="4114" spans="1:5">
      <c r="A4114" s="14">
        <v>43772</v>
      </c>
      <c r="B4114" s="12">
        <v>2510</v>
      </c>
      <c r="C4114" s="12" t="s">
        <v>24</v>
      </c>
      <c r="D4114" s="12" t="s">
        <v>19</v>
      </c>
      <c r="E4114" s="12">
        <v>-989</v>
      </c>
    </row>
    <row r="4115" spans="1:5">
      <c r="A4115" s="15">
        <v>43772</v>
      </c>
      <c r="B4115" s="13">
        <v>2510</v>
      </c>
      <c r="C4115" s="13" t="s">
        <v>24</v>
      </c>
      <c r="D4115" s="13" t="s">
        <v>19</v>
      </c>
      <c r="E4115" s="13">
        <v>-798</v>
      </c>
    </row>
    <row r="4116" spans="1:5">
      <c r="A4116" s="14">
        <v>43772</v>
      </c>
      <c r="B4116" s="12">
        <v>2513</v>
      </c>
      <c r="C4116" s="12" t="s">
        <v>17</v>
      </c>
      <c r="D4116" s="12" t="s">
        <v>19</v>
      </c>
      <c r="E4116" s="12">
        <v>-585</v>
      </c>
    </row>
    <row r="4117" spans="1:5">
      <c r="A4117" s="15">
        <v>43772</v>
      </c>
      <c r="B4117" s="13">
        <v>2505</v>
      </c>
      <c r="C4117" s="13" t="s">
        <v>9</v>
      </c>
      <c r="D4117" s="13" t="s">
        <v>19</v>
      </c>
      <c r="E4117" s="13">
        <v>-386</v>
      </c>
    </row>
    <row r="4118" spans="1:5">
      <c r="A4118" s="14">
        <v>43772</v>
      </c>
      <c r="B4118" s="12">
        <v>2503</v>
      </c>
      <c r="C4118" s="12" t="s">
        <v>22</v>
      </c>
      <c r="D4118" s="12" t="s">
        <v>19</v>
      </c>
      <c r="E4118" s="12">
        <v>-294</v>
      </c>
    </row>
    <row r="4119" spans="1:5">
      <c r="A4119" s="15">
        <v>43772</v>
      </c>
      <c r="B4119" s="13">
        <v>2501</v>
      </c>
      <c r="C4119" s="13" t="s">
        <v>5</v>
      </c>
      <c r="D4119" s="13" t="s">
        <v>10</v>
      </c>
      <c r="E4119" s="13">
        <v>-167</v>
      </c>
    </row>
    <row r="4120" spans="1:5">
      <c r="A4120" s="14">
        <v>43772</v>
      </c>
      <c r="B4120" s="12">
        <v>2501</v>
      </c>
      <c r="C4120" s="12" t="s">
        <v>5</v>
      </c>
      <c r="D4120" s="12" t="s">
        <v>13</v>
      </c>
      <c r="E4120" s="12">
        <v>-134</v>
      </c>
    </row>
    <row r="4121" spans="1:5">
      <c r="A4121" s="15">
        <v>43772</v>
      </c>
      <c r="B4121" s="13">
        <v>2505</v>
      </c>
      <c r="C4121" s="13" t="s">
        <v>9</v>
      </c>
      <c r="D4121" s="13" t="s">
        <v>8</v>
      </c>
      <c r="E4121" s="13">
        <v>-724</v>
      </c>
    </row>
    <row r="4122" spans="1:5">
      <c r="A4122" s="14">
        <v>43772</v>
      </c>
      <c r="B4122" s="12">
        <v>2512</v>
      </c>
      <c r="C4122" s="12" t="s">
        <v>16</v>
      </c>
      <c r="D4122" s="12" t="s">
        <v>6</v>
      </c>
      <c r="E4122" s="12">
        <v>-3257</v>
      </c>
    </row>
    <row r="4123" spans="1:5">
      <c r="A4123" s="15">
        <v>43772</v>
      </c>
      <c r="B4123" s="13">
        <v>2512</v>
      </c>
      <c r="C4123" s="13" t="s">
        <v>16</v>
      </c>
      <c r="D4123" s="13" t="s">
        <v>10</v>
      </c>
      <c r="E4123" s="13">
        <v>-2702</v>
      </c>
    </row>
    <row r="4124" spans="1:5">
      <c r="A4124" s="14">
        <v>43772</v>
      </c>
      <c r="B4124" s="12">
        <v>2512</v>
      </c>
      <c r="C4124" s="12" t="s">
        <v>16</v>
      </c>
      <c r="D4124" s="12" t="s">
        <v>10</v>
      </c>
      <c r="E4124" s="12">
        <v>-2097</v>
      </c>
    </row>
    <row r="4125" spans="1:5">
      <c r="A4125" s="15">
        <v>43772</v>
      </c>
      <c r="B4125" s="13">
        <v>2512</v>
      </c>
      <c r="C4125" s="13" t="s">
        <v>16</v>
      </c>
      <c r="D4125" s="13" t="s">
        <v>12</v>
      </c>
      <c r="E4125" s="13">
        <v>-987</v>
      </c>
    </row>
    <row r="4126" spans="1:5">
      <c r="A4126" s="14">
        <v>43772</v>
      </c>
      <c r="B4126" s="12">
        <v>2514</v>
      </c>
      <c r="C4126" s="12" t="s">
        <v>20</v>
      </c>
      <c r="D4126" s="12" t="s">
        <v>13</v>
      </c>
      <c r="E4126" s="12">
        <v>-1007</v>
      </c>
    </row>
    <row r="4127" spans="1:5">
      <c r="A4127" s="15">
        <v>43772</v>
      </c>
      <c r="B4127" s="13">
        <v>2510</v>
      </c>
      <c r="C4127" s="13" t="s">
        <v>24</v>
      </c>
      <c r="D4127" s="13" t="s">
        <v>14</v>
      </c>
      <c r="E4127" s="13">
        <v>-789</v>
      </c>
    </row>
    <row r="4128" spans="1:5">
      <c r="A4128" s="14">
        <v>43772</v>
      </c>
      <c r="B4128" s="12">
        <v>2510</v>
      </c>
      <c r="C4128" s="12" t="s">
        <v>24</v>
      </c>
      <c r="D4128" s="12" t="s">
        <v>14</v>
      </c>
      <c r="E4128" s="12">
        <v>-1138</v>
      </c>
    </row>
    <row r="4129" spans="1:5">
      <c r="A4129" s="15">
        <v>43772</v>
      </c>
      <c r="B4129" s="13">
        <v>2501</v>
      </c>
      <c r="C4129" s="13" t="s">
        <v>5</v>
      </c>
      <c r="D4129" s="13" t="s">
        <v>19</v>
      </c>
      <c r="E4129" s="13">
        <v>-137</v>
      </c>
    </row>
    <row r="4130" spans="1:5">
      <c r="A4130" s="14">
        <v>43772</v>
      </c>
      <c r="B4130" s="12">
        <v>2501</v>
      </c>
      <c r="C4130" s="12" t="s">
        <v>5</v>
      </c>
      <c r="D4130" s="12" t="s">
        <v>19</v>
      </c>
      <c r="E4130" s="12">
        <v>-96</v>
      </c>
    </row>
    <row r="4131" spans="1:5">
      <c r="A4131" s="15">
        <v>43773</v>
      </c>
      <c r="B4131" s="13">
        <v>2508</v>
      </c>
      <c r="C4131" s="13" t="s">
        <v>15</v>
      </c>
      <c r="D4131" s="13" t="s">
        <v>19</v>
      </c>
      <c r="E4131" s="13">
        <v>-58745</v>
      </c>
    </row>
    <row r="4132" spans="1:5">
      <c r="A4132" s="14">
        <v>43773</v>
      </c>
      <c r="B4132" s="12">
        <v>2508</v>
      </c>
      <c r="C4132" s="12" t="s">
        <v>15</v>
      </c>
      <c r="D4132" s="12" t="s">
        <v>19</v>
      </c>
      <c r="E4132" s="12">
        <v>-51944</v>
      </c>
    </row>
    <row r="4133" spans="1:5">
      <c r="A4133" s="15">
        <v>43773</v>
      </c>
      <c r="B4133" s="13">
        <v>2508</v>
      </c>
      <c r="C4133" s="13" t="s">
        <v>15</v>
      </c>
      <c r="D4133" s="13" t="s">
        <v>19</v>
      </c>
      <c r="E4133" s="13">
        <v>-45448</v>
      </c>
    </row>
    <row r="4134" spans="1:5">
      <c r="A4134" s="14">
        <v>43773</v>
      </c>
      <c r="B4134" s="12">
        <v>2500</v>
      </c>
      <c r="C4134" s="12" t="s">
        <v>25</v>
      </c>
      <c r="D4134" s="12" t="s">
        <v>19</v>
      </c>
      <c r="E4134" s="12">
        <v>-37014</v>
      </c>
    </row>
    <row r="4135" spans="1:5">
      <c r="A4135" s="15">
        <v>43773</v>
      </c>
      <c r="B4135" s="13">
        <v>2510</v>
      </c>
      <c r="C4135" s="13" t="s">
        <v>24</v>
      </c>
      <c r="D4135" s="13" t="s">
        <v>19</v>
      </c>
      <c r="E4135" s="13">
        <v>-1203</v>
      </c>
    </row>
    <row r="4136" spans="1:5">
      <c r="A4136" s="14">
        <v>43773</v>
      </c>
      <c r="B4136" s="12">
        <v>2501</v>
      </c>
      <c r="C4136" s="12" t="s">
        <v>5</v>
      </c>
      <c r="D4136" s="12" t="s">
        <v>6</v>
      </c>
      <c r="E4136" s="12">
        <v>-85</v>
      </c>
    </row>
    <row r="4137" spans="1:5">
      <c r="A4137" s="15">
        <v>43773</v>
      </c>
      <c r="B4137" s="13">
        <v>2501</v>
      </c>
      <c r="C4137" s="13" t="s">
        <v>5</v>
      </c>
      <c r="D4137" s="13" t="s">
        <v>13</v>
      </c>
      <c r="E4137" s="13">
        <v>-117</v>
      </c>
    </row>
    <row r="4138" spans="1:5">
      <c r="A4138" s="14">
        <v>43773</v>
      </c>
      <c r="B4138" s="12">
        <v>2505</v>
      </c>
      <c r="C4138" s="12" t="s">
        <v>9</v>
      </c>
      <c r="D4138" s="12" t="s">
        <v>6</v>
      </c>
      <c r="E4138" s="12">
        <v>-700</v>
      </c>
    </row>
    <row r="4139" spans="1:5">
      <c r="A4139" s="15">
        <v>43773</v>
      </c>
      <c r="B4139" s="13">
        <v>2505</v>
      </c>
      <c r="C4139" s="13" t="s">
        <v>9</v>
      </c>
      <c r="D4139" s="13" t="s">
        <v>6</v>
      </c>
      <c r="E4139" s="13">
        <v>-557</v>
      </c>
    </row>
    <row r="4140" spans="1:5">
      <c r="A4140" s="14">
        <v>43773</v>
      </c>
      <c r="B4140" s="12">
        <v>2508</v>
      </c>
      <c r="C4140" s="12" t="s">
        <v>15</v>
      </c>
      <c r="D4140" s="12" t="s">
        <v>6</v>
      </c>
      <c r="E4140" s="12">
        <v>-67694</v>
      </c>
    </row>
    <row r="4141" spans="1:5">
      <c r="A4141" s="15">
        <v>43773</v>
      </c>
      <c r="B4141" s="13">
        <v>2513</v>
      </c>
      <c r="C4141" s="13" t="s">
        <v>17</v>
      </c>
      <c r="D4141" s="13" t="s">
        <v>8</v>
      </c>
      <c r="E4141" s="13">
        <v>-629</v>
      </c>
    </row>
    <row r="4142" spans="1:5">
      <c r="A4142" s="14">
        <v>43773</v>
      </c>
      <c r="B4142" s="12">
        <v>2510</v>
      </c>
      <c r="C4142" s="12" t="s">
        <v>24</v>
      </c>
      <c r="D4142" s="12" t="s">
        <v>6</v>
      </c>
      <c r="E4142" s="12">
        <v>-1266</v>
      </c>
    </row>
    <row r="4143" spans="1:5">
      <c r="A4143" s="15">
        <v>43773</v>
      </c>
      <c r="B4143" s="13">
        <v>2510</v>
      </c>
      <c r="C4143" s="13" t="s">
        <v>24</v>
      </c>
      <c r="D4143" s="13" t="s">
        <v>10</v>
      </c>
      <c r="E4143" s="13">
        <v>-1112</v>
      </c>
    </row>
    <row r="4144" spans="1:5">
      <c r="A4144" s="14">
        <v>43774</v>
      </c>
      <c r="B4144" s="12">
        <v>2000</v>
      </c>
      <c r="C4144" s="12" t="s">
        <v>18</v>
      </c>
      <c r="D4144" s="12" t="s">
        <v>19</v>
      </c>
      <c r="E4144" s="12">
        <v>-231086</v>
      </c>
    </row>
    <row r="4145" spans="1:5">
      <c r="A4145" s="15">
        <v>43774</v>
      </c>
      <c r="B4145" s="13">
        <v>2508</v>
      </c>
      <c r="C4145" s="13" t="s">
        <v>15</v>
      </c>
      <c r="D4145" s="13" t="s">
        <v>19</v>
      </c>
      <c r="E4145" s="13">
        <v>-54158</v>
      </c>
    </row>
    <row r="4146" spans="1:5">
      <c r="A4146" s="14">
        <v>43774</v>
      </c>
      <c r="B4146" s="12">
        <v>2500</v>
      </c>
      <c r="C4146" s="12" t="s">
        <v>25</v>
      </c>
      <c r="D4146" s="12" t="s">
        <v>19</v>
      </c>
      <c r="E4146" s="12">
        <v>-46263</v>
      </c>
    </row>
    <row r="4147" spans="1:5">
      <c r="A4147" s="15">
        <v>43774</v>
      </c>
      <c r="B4147" s="13">
        <v>2512</v>
      </c>
      <c r="C4147" s="13" t="s">
        <v>16</v>
      </c>
      <c r="D4147" s="13" t="s">
        <v>19</v>
      </c>
      <c r="E4147" s="13">
        <v>-12329</v>
      </c>
    </row>
    <row r="4148" spans="1:5">
      <c r="A4148" s="14">
        <v>43774</v>
      </c>
      <c r="B4148" s="12">
        <v>2512</v>
      </c>
      <c r="C4148" s="12" t="s">
        <v>16</v>
      </c>
      <c r="D4148" s="12" t="s">
        <v>19</v>
      </c>
      <c r="E4148" s="12">
        <v>-9871</v>
      </c>
    </row>
    <row r="4149" spans="1:5">
      <c r="A4149" s="15">
        <v>43774</v>
      </c>
      <c r="B4149" s="13">
        <v>2504</v>
      </c>
      <c r="C4149" s="13" t="s">
        <v>21</v>
      </c>
      <c r="D4149" s="13" t="s">
        <v>19</v>
      </c>
      <c r="E4149" s="13">
        <v>-2538</v>
      </c>
    </row>
    <row r="4150" spans="1:5">
      <c r="A4150" s="14">
        <v>43774</v>
      </c>
      <c r="B4150" s="12">
        <v>2504</v>
      </c>
      <c r="C4150" s="12" t="s">
        <v>21</v>
      </c>
      <c r="D4150" s="12" t="s">
        <v>19</v>
      </c>
      <c r="E4150" s="12">
        <v>-1946</v>
      </c>
    </row>
    <row r="4151" spans="1:5">
      <c r="A4151" s="15">
        <v>43774</v>
      </c>
      <c r="B4151" s="13">
        <v>2503</v>
      </c>
      <c r="C4151" s="13" t="s">
        <v>22</v>
      </c>
      <c r="D4151" s="13" t="s">
        <v>19</v>
      </c>
      <c r="E4151" s="13">
        <v>-300</v>
      </c>
    </row>
    <row r="4152" spans="1:5">
      <c r="A4152" s="14">
        <v>43774</v>
      </c>
      <c r="B4152" s="12">
        <v>2501</v>
      </c>
      <c r="C4152" s="12" t="s">
        <v>5</v>
      </c>
      <c r="D4152" s="12" t="s">
        <v>13</v>
      </c>
      <c r="E4152" s="12">
        <v>-94</v>
      </c>
    </row>
    <row r="4153" spans="1:5">
      <c r="A4153" s="15">
        <v>43774</v>
      </c>
      <c r="B4153" s="13">
        <v>2503</v>
      </c>
      <c r="C4153" s="13" t="s">
        <v>22</v>
      </c>
      <c r="D4153" s="13" t="s">
        <v>10</v>
      </c>
      <c r="E4153" s="13">
        <v>-387</v>
      </c>
    </row>
    <row r="4154" spans="1:5">
      <c r="A4154" s="14">
        <v>43774</v>
      </c>
      <c r="B4154" s="12">
        <v>2514</v>
      </c>
      <c r="C4154" s="12" t="s">
        <v>20</v>
      </c>
      <c r="D4154" s="12" t="s">
        <v>14</v>
      </c>
      <c r="E4154" s="12">
        <v>-1195</v>
      </c>
    </row>
    <row r="4155" spans="1:5">
      <c r="A4155" s="15">
        <v>43774</v>
      </c>
      <c r="B4155" s="13">
        <v>1000</v>
      </c>
      <c r="C4155" s="13" t="s">
        <v>23</v>
      </c>
      <c r="D4155" s="13" t="s">
        <v>19</v>
      </c>
      <c r="E4155" s="13">
        <v>967909</v>
      </c>
    </row>
    <row r="4156" spans="1:5">
      <c r="A4156" s="14">
        <v>43775</v>
      </c>
      <c r="B4156" s="12">
        <v>2508</v>
      </c>
      <c r="C4156" s="12" t="s">
        <v>15</v>
      </c>
      <c r="D4156" s="12" t="s">
        <v>19</v>
      </c>
      <c r="E4156" s="12">
        <v>-62276</v>
      </c>
    </row>
    <row r="4157" spans="1:5">
      <c r="A4157" s="15">
        <v>43775</v>
      </c>
      <c r="B4157" s="13">
        <v>2508</v>
      </c>
      <c r="C4157" s="13" t="s">
        <v>15</v>
      </c>
      <c r="D4157" s="13" t="s">
        <v>19</v>
      </c>
      <c r="E4157" s="13">
        <v>-59122</v>
      </c>
    </row>
    <row r="4158" spans="1:5">
      <c r="A4158" s="14">
        <v>43775</v>
      </c>
      <c r="B4158" s="12">
        <v>1500</v>
      </c>
      <c r="C4158" s="12" t="s">
        <v>26</v>
      </c>
      <c r="D4158" s="12" t="s">
        <v>19</v>
      </c>
      <c r="E4158" s="12">
        <v>-53135</v>
      </c>
    </row>
    <row r="4159" spans="1:5">
      <c r="A4159" s="15">
        <v>43775</v>
      </c>
      <c r="B4159" s="13">
        <v>2504</v>
      </c>
      <c r="C4159" s="13" t="s">
        <v>21</v>
      </c>
      <c r="D4159" s="13" t="s">
        <v>19</v>
      </c>
      <c r="E4159" s="13">
        <v>-1799</v>
      </c>
    </row>
    <row r="4160" spans="1:5">
      <c r="A4160" s="14">
        <v>43775</v>
      </c>
      <c r="B4160" s="12">
        <v>2513</v>
      </c>
      <c r="C4160" s="12" t="s">
        <v>17</v>
      </c>
      <c r="D4160" s="12" t="s">
        <v>19</v>
      </c>
      <c r="E4160" s="12">
        <v>-449</v>
      </c>
    </row>
    <row r="4161" spans="1:5">
      <c r="A4161" s="15">
        <v>43775</v>
      </c>
      <c r="B4161" s="13">
        <v>2503</v>
      </c>
      <c r="C4161" s="13" t="s">
        <v>22</v>
      </c>
      <c r="D4161" s="13" t="s">
        <v>19</v>
      </c>
      <c r="E4161" s="13">
        <v>-261</v>
      </c>
    </row>
    <row r="4162" spans="1:5">
      <c r="A4162" s="14">
        <v>43775</v>
      </c>
      <c r="B4162" s="12">
        <v>2501</v>
      </c>
      <c r="C4162" s="12" t="s">
        <v>5</v>
      </c>
      <c r="D4162" s="12" t="s">
        <v>12</v>
      </c>
      <c r="E4162" s="12">
        <v>-263</v>
      </c>
    </row>
    <row r="4163" spans="1:5">
      <c r="A4163" s="15">
        <v>43775</v>
      </c>
      <c r="B4163" s="13">
        <v>2503</v>
      </c>
      <c r="C4163" s="13" t="s">
        <v>22</v>
      </c>
      <c r="D4163" s="13" t="s">
        <v>12</v>
      </c>
      <c r="E4163" s="13">
        <v>-584</v>
      </c>
    </row>
    <row r="4164" spans="1:5">
      <c r="A4164" s="14">
        <v>43775</v>
      </c>
      <c r="B4164" s="12">
        <v>2503</v>
      </c>
      <c r="C4164" s="12" t="s">
        <v>22</v>
      </c>
      <c r="D4164" s="12" t="s">
        <v>14</v>
      </c>
      <c r="E4164" s="12">
        <v>-303</v>
      </c>
    </row>
    <row r="4165" spans="1:5">
      <c r="A4165" s="15">
        <v>43775</v>
      </c>
      <c r="B4165" s="13">
        <v>2505</v>
      </c>
      <c r="C4165" s="13" t="s">
        <v>9</v>
      </c>
      <c r="D4165" s="13" t="s">
        <v>14</v>
      </c>
      <c r="E4165" s="13">
        <v>-472</v>
      </c>
    </row>
    <row r="4166" spans="1:5">
      <c r="A4166" s="14">
        <v>43775</v>
      </c>
      <c r="B4166" s="12">
        <v>2508</v>
      </c>
      <c r="C4166" s="12" t="s">
        <v>15</v>
      </c>
      <c r="D4166" s="12" t="s">
        <v>8</v>
      </c>
      <c r="E4166" s="12">
        <v>-54936</v>
      </c>
    </row>
    <row r="4167" spans="1:5">
      <c r="A4167" s="15">
        <v>43775</v>
      </c>
      <c r="B4167" s="13">
        <v>2512</v>
      </c>
      <c r="C4167" s="13" t="s">
        <v>16</v>
      </c>
      <c r="D4167" s="13" t="s">
        <v>12</v>
      </c>
      <c r="E4167" s="13">
        <v>-1115</v>
      </c>
    </row>
    <row r="4168" spans="1:5">
      <c r="A4168" s="14">
        <v>43775</v>
      </c>
      <c r="B4168" s="12">
        <v>2513</v>
      </c>
      <c r="C4168" s="12" t="s">
        <v>17</v>
      </c>
      <c r="D4168" s="12" t="s">
        <v>10</v>
      </c>
      <c r="E4168" s="12">
        <v>-631</v>
      </c>
    </row>
    <row r="4169" spans="1:5">
      <c r="A4169" s="15">
        <v>43775</v>
      </c>
      <c r="B4169" s="13">
        <v>2514</v>
      </c>
      <c r="C4169" s="13" t="s">
        <v>20</v>
      </c>
      <c r="D4169" s="13" t="s">
        <v>12</v>
      </c>
      <c r="E4169" s="13">
        <v>-1977</v>
      </c>
    </row>
    <row r="4170" spans="1:5">
      <c r="A4170" s="14">
        <v>43775</v>
      </c>
      <c r="B4170" s="12">
        <v>2501</v>
      </c>
      <c r="C4170" s="12" t="s">
        <v>5</v>
      </c>
      <c r="D4170" s="12" t="s">
        <v>19</v>
      </c>
      <c r="E4170" s="12">
        <v>-103</v>
      </c>
    </row>
    <row r="4171" spans="1:5">
      <c r="A4171" s="15">
        <v>43775</v>
      </c>
      <c r="B4171" s="13">
        <v>2501</v>
      </c>
      <c r="C4171" s="13" t="s">
        <v>5</v>
      </c>
      <c r="D4171" s="13" t="s">
        <v>19</v>
      </c>
      <c r="E4171" s="13">
        <v>-66</v>
      </c>
    </row>
    <row r="4172" spans="1:5">
      <c r="A4172" s="14">
        <v>43776</v>
      </c>
      <c r="B4172" s="12">
        <v>2500</v>
      </c>
      <c r="C4172" s="12" t="s">
        <v>25</v>
      </c>
      <c r="D4172" s="12" t="s">
        <v>19</v>
      </c>
      <c r="E4172" s="12">
        <v>-53771</v>
      </c>
    </row>
    <row r="4173" spans="1:5">
      <c r="A4173" s="15">
        <v>43776</v>
      </c>
      <c r="B4173" s="13">
        <v>2508</v>
      </c>
      <c r="C4173" s="13" t="s">
        <v>15</v>
      </c>
      <c r="D4173" s="13" t="s">
        <v>19</v>
      </c>
      <c r="E4173" s="13">
        <v>-49665</v>
      </c>
    </row>
    <row r="4174" spans="1:5">
      <c r="A4174" s="14">
        <v>43776</v>
      </c>
      <c r="B4174" s="12">
        <v>2508</v>
      </c>
      <c r="C4174" s="12" t="s">
        <v>15</v>
      </c>
      <c r="D4174" s="12" t="s">
        <v>19</v>
      </c>
      <c r="E4174" s="12">
        <v>-45146</v>
      </c>
    </row>
    <row r="4175" spans="1:5">
      <c r="A4175" s="15">
        <v>43776</v>
      </c>
      <c r="B4175" s="13">
        <v>2502</v>
      </c>
      <c r="C4175" s="13" t="s">
        <v>7</v>
      </c>
      <c r="D4175" s="13" t="s">
        <v>19</v>
      </c>
      <c r="E4175" s="13">
        <v>-4936</v>
      </c>
    </row>
    <row r="4176" spans="1:5">
      <c r="A4176" s="14">
        <v>43776</v>
      </c>
      <c r="B4176" s="12">
        <v>2512</v>
      </c>
      <c r="C4176" s="12" t="s">
        <v>16</v>
      </c>
      <c r="D4176" s="12" t="s">
        <v>19</v>
      </c>
      <c r="E4176" s="12">
        <v>-3488</v>
      </c>
    </row>
    <row r="4177" spans="1:5">
      <c r="A4177" s="15">
        <v>43776</v>
      </c>
      <c r="B4177" s="13">
        <v>2502</v>
      </c>
      <c r="C4177" s="13" t="s">
        <v>7</v>
      </c>
      <c r="D4177" s="13" t="s">
        <v>19</v>
      </c>
      <c r="E4177" s="13">
        <v>-2633</v>
      </c>
    </row>
    <row r="4178" spans="1:5">
      <c r="A4178" s="14">
        <v>43776</v>
      </c>
      <c r="B4178" s="12">
        <v>2504</v>
      </c>
      <c r="C4178" s="12" t="s">
        <v>21</v>
      </c>
      <c r="D4178" s="12" t="s">
        <v>19</v>
      </c>
      <c r="E4178" s="12">
        <v>-1952</v>
      </c>
    </row>
    <row r="4179" spans="1:5">
      <c r="A4179" s="15">
        <v>43776</v>
      </c>
      <c r="B4179" s="13">
        <v>2503</v>
      </c>
      <c r="C4179" s="13" t="s">
        <v>22</v>
      </c>
      <c r="D4179" s="13" t="s">
        <v>19</v>
      </c>
      <c r="E4179" s="13">
        <v>-201</v>
      </c>
    </row>
    <row r="4180" spans="1:5">
      <c r="A4180" s="14">
        <v>43776</v>
      </c>
      <c r="B4180" s="12">
        <v>2505</v>
      </c>
      <c r="C4180" s="12" t="s">
        <v>9</v>
      </c>
      <c r="D4180" s="12" t="s">
        <v>14</v>
      </c>
      <c r="E4180" s="12">
        <v>-445</v>
      </c>
    </row>
    <row r="4181" spans="1:5">
      <c r="A4181" s="15">
        <v>43776</v>
      </c>
      <c r="B4181" s="13">
        <v>2508</v>
      </c>
      <c r="C4181" s="13" t="s">
        <v>15</v>
      </c>
      <c r="D4181" s="13" t="s">
        <v>8</v>
      </c>
      <c r="E4181" s="13">
        <v>-64872</v>
      </c>
    </row>
    <row r="4182" spans="1:5">
      <c r="A4182" s="14">
        <v>43776</v>
      </c>
      <c r="B4182" s="12">
        <v>2513</v>
      </c>
      <c r="C4182" s="12" t="s">
        <v>17</v>
      </c>
      <c r="D4182" s="12" t="s">
        <v>6</v>
      </c>
      <c r="E4182" s="12">
        <v>-1040</v>
      </c>
    </row>
    <row r="4183" spans="1:5">
      <c r="A4183" s="15">
        <v>43776</v>
      </c>
      <c r="B4183" s="13">
        <v>2514</v>
      </c>
      <c r="C4183" s="13" t="s">
        <v>20</v>
      </c>
      <c r="D4183" s="13" t="s">
        <v>14</v>
      </c>
      <c r="E4183" s="13">
        <v>-1156</v>
      </c>
    </row>
    <row r="4184" spans="1:5">
      <c r="A4184" s="14">
        <v>43777</v>
      </c>
      <c r="B4184" s="12">
        <v>1500</v>
      </c>
      <c r="C4184" s="12" t="s">
        <v>26</v>
      </c>
      <c r="D4184" s="12" t="s">
        <v>19</v>
      </c>
      <c r="E4184" s="12">
        <v>-43430</v>
      </c>
    </row>
    <row r="4185" spans="1:5">
      <c r="A4185" s="15">
        <v>43777</v>
      </c>
      <c r="B4185" s="13">
        <v>1500</v>
      </c>
      <c r="C4185" s="13" t="s">
        <v>26</v>
      </c>
      <c r="D4185" s="13" t="s">
        <v>19</v>
      </c>
      <c r="E4185" s="13">
        <v>-32882</v>
      </c>
    </row>
    <row r="4186" spans="1:5">
      <c r="A4186" s="14">
        <v>43777</v>
      </c>
      <c r="B4186" s="12">
        <v>2510</v>
      </c>
      <c r="C4186" s="12" t="s">
        <v>24</v>
      </c>
      <c r="D4186" s="12" t="s">
        <v>19</v>
      </c>
      <c r="E4186" s="12">
        <v>-1413</v>
      </c>
    </row>
    <row r="4187" spans="1:5">
      <c r="A4187" s="15">
        <v>43777</v>
      </c>
      <c r="B4187" s="13">
        <v>2510</v>
      </c>
      <c r="C4187" s="13" t="s">
        <v>24</v>
      </c>
      <c r="D4187" s="13" t="s">
        <v>19</v>
      </c>
      <c r="E4187" s="13">
        <v>-813</v>
      </c>
    </row>
    <row r="4188" spans="1:5">
      <c r="A4188" s="14">
        <v>43777</v>
      </c>
      <c r="B4188" s="12">
        <v>2503</v>
      </c>
      <c r="C4188" s="12" t="s">
        <v>22</v>
      </c>
      <c r="D4188" s="12" t="s">
        <v>19</v>
      </c>
      <c r="E4188" s="12">
        <v>-227</v>
      </c>
    </row>
    <row r="4189" spans="1:5">
      <c r="A4189" s="15">
        <v>43777</v>
      </c>
      <c r="B4189" s="13">
        <v>2502</v>
      </c>
      <c r="C4189" s="13" t="s">
        <v>7</v>
      </c>
      <c r="D4189" s="13" t="s">
        <v>14</v>
      </c>
      <c r="E4189" s="13">
        <v>-4716</v>
      </c>
    </row>
    <row r="4190" spans="1:5">
      <c r="A4190" s="14">
        <v>43778</v>
      </c>
      <c r="B4190" s="12">
        <v>2508</v>
      </c>
      <c r="C4190" s="12" t="s">
        <v>15</v>
      </c>
      <c r="D4190" s="12" t="s">
        <v>19</v>
      </c>
      <c r="E4190" s="12">
        <v>-51284</v>
      </c>
    </row>
    <row r="4191" spans="1:5">
      <c r="A4191" s="15">
        <v>43778</v>
      </c>
      <c r="B4191" s="13">
        <v>2502</v>
      </c>
      <c r="C4191" s="13" t="s">
        <v>7</v>
      </c>
      <c r="D4191" s="13" t="s">
        <v>19</v>
      </c>
      <c r="E4191" s="13">
        <v>-4614</v>
      </c>
    </row>
    <row r="4192" spans="1:5">
      <c r="A4192" s="14">
        <v>43778</v>
      </c>
      <c r="B4192" s="12">
        <v>2504</v>
      </c>
      <c r="C4192" s="12" t="s">
        <v>21</v>
      </c>
      <c r="D4192" s="12" t="s">
        <v>19</v>
      </c>
      <c r="E4192" s="12">
        <v>-960</v>
      </c>
    </row>
    <row r="4193" spans="1:5">
      <c r="A4193" s="15">
        <v>43778</v>
      </c>
      <c r="B4193" s="13">
        <v>2501</v>
      </c>
      <c r="C4193" s="13" t="s">
        <v>5</v>
      </c>
      <c r="D4193" s="13" t="s">
        <v>10</v>
      </c>
      <c r="E4193" s="13">
        <v>-152</v>
      </c>
    </row>
    <row r="4194" spans="1:5">
      <c r="A4194" s="14">
        <v>43778</v>
      </c>
      <c r="B4194" s="12">
        <v>2501</v>
      </c>
      <c r="C4194" s="12" t="s">
        <v>5</v>
      </c>
      <c r="D4194" s="12" t="s">
        <v>13</v>
      </c>
      <c r="E4194" s="12">
        <v>-115</v>
      </c>
    </row>
    <row r="4195" spans="1:5">
      <c r="A4195" s="15">
        <v>43778</v>
      </c>
      <c r="B4195" s="13">
        <v>2503</v>
      </c>
      <c r="C4195" s="13" t="s">
        <v>22</v>
      </c>
      <c r="D4195" s="13" t="s">
        <v>13</v>
      </c>
      <c r="E4195" s="13">
        <v>-256</v>
      </c>
    </row>
    <row r="4196" spans="1:5">
      <c r="A4196" s="14">
        <v>43778</v>
      </c>
      <c r="B4196" s="12">
        <v>2508</v>
      </c>
      <c r="C4196" s="12" t="s">
        <v>15</v>
      </c>
      <c r="D4196" s="12" t="s">
        <v>13</v>
      </c>
      <c r="E4196" s="12">
        <v>-61220</v>
      </c>
    </row>
    <row r="4197" spans="1:5">
      <c r="A4197" s="15">
        <v>43778</v>
      </c>
      <c r="B4197" s="13">
        <v>2513</v>
      </c>
      <c r="C4197" s="13" t="s">
        <v>17</v>
      </c>
      <c r="D4197" s="13" t="s">
        <v>12</v>
      </c>
      <c r="E4197" s="13">
        <v>-1737</v>
      </c>
    </row>
    <row r="4198" spans="1:5">
      <c r="A4198" s="14">
        <v>43779</v>
      </c>
      <c r="B4198" s="12">
        <v>2500</v>
      </c>
      <c r="C4198" s="12" t="s">
        <v>25</v>
      </c>
      <c r="D4198" s="12" t="s">
        <v>19</v>
      </c>
      <c r="E4198" s="12">
        <v>-34604</v>
      </c>
    </row>
    <row r="4199" spans="1:5">
      <c r="A4199" s="15">
        <v>43779</v>
      </c>
      <c r="B4199" s="13">
        <v>2504</v>
      </c>
      <c r="C4199" s="13" t="s">
        <v>21</v>
      </c>
      <c r="D4199" s="13" t="s">
        <v>19</v>
      </c>
      <c r="E4199" s="13">
        <v>-983</v>
      </c>
    </row>
    <row r="4200" spans="1:5">
      <c r="A4200" s="14">
        <v>43779</v>
      </c>
      <c r="B4200" s="12">
        <v>2514</v>
      </c>
      <c r="C4200" s="12" t="s">
        <v>20</v>
      </c>
      <c r="D4200" s="12" t="s">
        <v>19</v>
      </c>
      <c r="E4200" s="12">
        <v>-935</v>
      </c>
    </row>
    <row r="4201" spans="1:5">
      <c r="A4201" s="15">
        <v>43779</v>
      </c>
      <c r="B4201" s="13">
        <v>2503</v>
      </c>
      <c r="C4201" s="13" t="s">
        <v>22</v>
      </c>
      <c r="D4201" s="13" t="s">
        <v>19</v>
      </c>
      <c r="E4201" s="13">
        <v>-287</v>
      </c>
    </row>
    <row r="4202" spans="1:5">
      <c r="A4202" s="14">
        <v>43779</v>
      </c>
      <c r="B4202" s="12">
        <v>2505</v>
      </c>
      <c r="C4202" s="12" t="s">
        <v>9</v>
      </c>
      <c r="D4202" s="12" t="s">
        <v>12</v>
      </c>
      <c r="E4202" s="12">
        <v>-896</v>
      </c>
    </row>
    <row r="4203" spans="1:5">
      <c r="A4203" s="15">
        <v>43779</v>
      </c>
      <c r="B4203" s="13">
        <v>2505</v>
      </c>
      <c r="C4203" s="13" t="s">
        <v>9</v>
      </c>
      <c r="D4203" s="13" t="s">
        <v>8</v>
      </c>
      <c r="E4203" s="13">
        <v>-614</v>
      </c>
    </row>
    <row r="4204" spans="1:5">
      <c r="A4204" s="14">
        <v>43779</v>
      </c>
      <c r="B4204" s="12">
        <v>2508</v>
      </c>
      <c r="C4204" s="12" t="s">
        <v>15</v>
      </c>
      <c r="D4204" s="12" t="s">
        <v>10</v>
      </c>
      <c r="E4204" s="12">
        <v>-79663</v>
      </c>
    </row>
    <row r="4205" spans="1:5">
      <c r="A4205" s="15">
        <v>43779</v>
      </c>
      <c r="B4205" s="13">
        <v>2508</v>
      </c>
      <c r="C4205" s="13" t="s">
        <v>15</v>
      </c>
      <c r="D4205" s="13" t="s">
        <v>13</v>
      </c>
      <c r="E4205" s="13">
        <v>-58320</v>
      </c>
    </row>
    <row r="4206" spans="1:5">
      <c r="A4206" s="14">
        <v>43779</v>
      </c>
      <c r="B4206" s="12">
        <v>2512</v>
      </c>
      <c r="C4206" s="12" t="s">
        <v>16</v>
      </c>
      <c r="D4206" s="12" t="s">
        <v>12</v>
      </c>
      <c r="E4206" s="12">
        <v>-1210</v>
      </c>
    </row>
    <row r="4207" spans="1:5">
      <c r="A4207" s="15">
        <v>43779</v>
      </c>
      <c r="B4207" s="13">
        <v>2513</v>
      </c>
      <c r="C4207" s="13" t="s">
        <v>17</v>
      </c>
      <c r="D4207" s="13" t="s">
        <v>8</v>
      </c>
      <c r="E4207" s="13">
        <v>-527</v>
      </c>
    </row>
    <row r="4208" spans="1:5">
      <c r="A4208" s="14">
        <v>43779</v>
      </c>
      <c r="B4208" s="12">
        <v>2510</v>
      </c>
      <c r="C4208" s="12" t="s">
        <v>24</v>
      </c>
      <c r="D4208" s="12" t="s">
        <v>13</v>
      </c>
      <c r="E4208" s="12">
        <v>-1354</v>
      </c>
    </row>
    <row r="4209" spans="1:5">
      <c r="A4209" s="15">
        <v>43779</v>
      </c>
      <c r="B4209" s="13">
        <v>2510</v>
      </c>
      <c r="C4209" s="13" t="s">
        <v>24</v>
      </c>
      <c r="D4209" s="13" t="s">
        <v>12</v>
      </c>
      <c r="E4209" s="13">
        <v>-1910</v>
      </c>
    </row>
    <row r="4210" spans="1:5">
      <c r="A4210" s="14">
        <v>43780</v>
      </c>
      <c r="B4210" s="12">
        <v>1500</v>
      </c>
      <c r="C4210" s="12" t="s">
        <v>26</v>
      </c>
      <c r="D4210" s="12" t="s">
        <v>19</v>
      </c>
      <c r="E4210" s="12">
        <v>-27598</v>
      </c>
    </row>
    <row r="4211" spans="1:5">
      <c r="A4211" s="15">
        <v>43780</v>
      </c>
      <c r="B4211" s="13">
        <v>2500</v>
      </c>
      <c r="C4211" s="13" t="s">
        <v>25</v>
      </c>
      <c r="D4211" s="13" t="s">
        <v>19</v>
      </c>
      <c r="E4211" s="13">
        <v>-19811</v>
      </c>
    </row>
    <row r="4212" spans="1:5">
      <c r="A4212" s="14">
        <v>43780</v>
      </c>
      <c r="B4212" s="12">
        <v>2502</v>
      </c>
      <c r="C4212" s="12" t="s">
        <v>7</v>
      </c>
      <c r="D4212" s="12" t="s">
        <v>19</v>
      </c>
      <c r="E4212" s="12">
        <v>-5651</v>
      </c>
    </row>
    <row r="4213" spans="1:5">
      <c r="A4213" s="15">
        <v>43780</v>
      </c>
      <c r="B4213" s="13">
        <v>2514</v>
      </c>
      <c r="C4213" s="13" t="s">
        <v>20</v>
      </c>
      <c r="D4213" s="13" t="s">
        <v>19</v>
      </c>
      <c r="E4213" s="13">
        <v>-1124</v>
      </c>
    </row>
    <row r="4214" spans="1:5">
      <c r="A4214" s="14">
        <v>43780</v>
      </c>
      <c r="B4214" s="12">
        <v>2510</v>
      </c>
      <c r="C4214" s="12" t="s">
        <v>24</v>
      </c>
      <c r="D4214" s="12" t="s">
        <v>19</v>
      </c>
      <c r="E4214" s="12">
        <v>-798</v>
      </c>
    </row>
    <row r="4215" spans="1:5">
      <c r="A4215" s="15">
        <v>43780</v>
      </c>
      <c r="B4215" s="13">
        <v>2501</v>
      </c>
      <c r="C4215" s="13" t="s">
        <v>5</v>
      </c>
      <c r="D4215" s="13" t="s">
        <v>14</v>
      </c>
      <c r="E4215" s="13">
        <v>-128</v>
      </c>
    </row>
    <row r="4216" spans="1:5">
      <c r="A4216" s="14">
        <v>43780</v>
      </c>
      <c r="B4216" s="12">
        <v>2508</v>
      </c>
      <c r="C4216" s="12" t="s">
        <v>15</v>
      </c>
      <c r="D4216" s="12" t="s">
        <v>8</v>
      </c>
      <c r="E4216" s="12">
        <v>-77566</v>
      </c>
    </row>
    <row r="4217" spans="1:5">
      <c r="A4217" s="15">
        <v>43780</v>
      </c>
      <c r="B4217" s="13">
        <v>2508</v>
      </c>
      <c r="C4217" s="13" t="s">
        <v>15</v>
      </c>
      <c r="D4217" s="13" t="s">
        <v>8</v>
      </c>
      <c r="E4217" s="13">
        <v>-72034</v>
      </c>
    </row>
    <row r="4218" spans="1:5">
      <c r="A4218" s="14">
        <v>43780</v>
      </c>
      <c r="B4218" s="12">
        <v>2508</v>
      </c>
      <c r="C4218" s="12" t="s">
        <v>15</v>
      </c>
      <c r="D4218" s="12" t="s">
        <v>13</v>
      </c>
      <c r="E4218" s="12">
        <v>-59380</v>
      </c>
    </row>
    <row r="4219" spans="1:5">
      <c r="A4219" s="15">
        <v>43780</v>
      </c>
      <c r="B4219" s="13">
        <v>2512</v>
      </c>
      <c r="C4219" s="13" t="s">
        <v>16</v>
      </c>
      <c r="D4219" s="13" t="s">
        <v>6</v>
      </c>
      <c r="E4219" s="13">
        <v>-2044</v>
      </c>
    </row>
    <row r="4220" spans="1:5">
      <c r="A4220" s="14">
        <v>43780</v>
      </c>
      <c r="B4220" s="12">
        <v>2512</v>
      </c>
      <c r="C4220" s="12" t="s">
        <v>16</v>
      </c>
      <c r="D4220" s="12" t="s">
        <v>6</v>
      </c>
      <c r="E4220" s="12">
        <v>-3034</v>
      </c>
    </row>
    <row r="4221" spans="1:5">
      <c r="A4221" s="15">
        <v>43780</v>
      </c>
      <c r="B4221" s="13">
        <v>2514</v>
      </c>
      <c r="C4221" s="13" t="s">
        <v>20</v>
      </c>
      <c r="D4221" s="13" t="s">
        <v>13</v>
      </c>
      <c r="E4221" s="13">
        <v>-1068</v>
      </c>
    </row>
    <row r="4222" spans="1:5">
      <c r="A4222" s="14">
        <v>43780</v>
      </c>
      <c r="B4222" s="12">
        <v>2510</v>
      </c>
      <c r="C4222" s="12" t="s">
        <v>24</v>
      </c>
      <c r="D4222" s="12" t="s">
        <v>6</v>
      </c>
      <c r="E4222" s="12">
        <v>-1519</v>
      </c>
    </row>
    <row r="4223" spans="1:5">
      <c r="A4223" s="15">
        <v>43781</v>
      </c>
      <c r="B4223" s="13">
        <v>2000</v>
      </c>
      <c r="C4223" s="13" t="s">
        <v>18</v>
      </c>
      <c r="D4223" s="13" t="s">
        <v>19</v>
      </c>
      <c r="E4223" s="13">
        <v>-258294</v>
      </c>
    </row>
    <row r="4224" spans="1:5">
      <c r="A4224" s="14">
        <v>43781</v>
      </c>
      <c r="B4224" s="12">
        <v>2508</v>
      </c>
      <c r="C4224" s="12" t="s">
        <v>15</v>
      </c>
      <c r="D4224" s="12" t="s">
        <v>19</v>
      </c>
      <c r="E4224" s="12">
        <v>-63757</v>
      </c>
    </row>
    <row r="4225" spans="1:5">
      <c r="A4225" s="15">
        <v>43781</v>
      </c>
      <c r="B4225" s="13">
        <v>2504</v>
      </c>
      <c r="C4225" s="13" t="s">
        <v>21</v>
      </c>
      <c r="D4225" s="13" t="s">
        <v>19</v>
      </c>
      <c r="E4225" s="13">
        <v>-2270</v>
      </c>
    </row>
    <row r="4226" spans="1:5">
      <c r="A4226" s="14">
        <v>43781</v>
      </c>
      <c r="B4226" s="12">
        <v>2514</v>
      </c>
      <c r="C4226" s="12" t="s">
        <v>20</v>
      </c>
      <c r="D4226" s="12" t="s">
        <v>19</v>
      </c>
      <c r="E4226" s="12">
        <v>-1045</v>
      </c>
    </row>
    <row r="4227" spans="1:5">
      <c r="A4227" s="15">
        <v>43781</v>
      </c>
      <c r="B4227" s="13">
        <v>2513</v>
      </c>
      <c r="C4227" s="13" t="s">
        <v>17</v>
      </c>
      <c r="D4227" s="13" t="s">
        <v>19</v>
      </c>
      <c r="E4227" s="13">
        <v>-846</v>
      </c>
    </row>
    <row r="4228" spans="1:5">
      <c r="A4228" s="14">
        <v>43781</v>
      </c>
      <c r="B4228" s="12">
        <v>2501</v>
      </c>
      <c r="C4228" s="12" t="s">
        <v>5</v>
      </c>
      <c r="D4228" s="12" t="s">
        <v>19</v>
      </c>
      <c r="E4228" s="12">
        <v>-146</v>
      </c>
    </row>
    <row r="4229" spans="1:5">
      <c r="A4229" s="15">
        <v>43781</v>
      </c>
      <c r="B4229" s="13">
        <v>2502</v>
      </c>
      <c r="C4229" s="13" t="s">
        <v>7</v>
      </c>
      <c r="D4229" s="13" t="s">
        <v>13</v>
      </c>
      <c r="E4229" s="13">
        <v>-2929</v>
      </c>
    </row>
    <row r="4230" spans="1:5">
      <c r="A4230" s="14">
        <v>43781</v>
      </c>
      <c r="B4230" s="12">
        <v>2503</v>
      </c>
      <c r="C4230" s="12" t="s">
        <v>22</v>
      </c>
      <c r="D4230" s="12" t="s">
        <v>8</v>
      </c>
      <c r="E4230" s="12">
        <v>-289</v>
      </c>
    </row>
    <row r="4231" spans="1:5">
      <c r="A4231" s="15">
        <v>43781</v>
      </c>
      <c r="B4231" s="13">
        <v>2505</v>
      </c>
      <c r="C4231" s="13" t="s">
        <v>9</v>
      </c>
      <c r="D4231" s="13" t="s">
        <v>8</v>
      </c>
      <c r="E4231" s="13">
        <v>-506</v>
      </c>
    </row>
    <row r="4232" spans="1:5">
      <c r="A4232" s="14">
        <v>43781</v>
      </c>
      <c r="B4232" s="12">
        <v>2506</v>
      </c>
      <c r="C4232" s="12" t="s">
        <v>27</v>
      </c>
      <c r="D4232" s="12" t="s">
        <v>14</v>
      </c>
      <c r="E4232" s="12">
        <v>-713</v>
      </c>
    </row>
    <row r="4233" spans="1:5">
      <c r="A4233" s="15">
        <v>43781</v>
      </c>
      <c r="B4233" s="13">
        <v>2508</v>
      </c>
      <c r="C4233" s="13" t="s">
        <v>15</v>
      </c>
      <c r="D4233" s="13" t="s">
        <v>13</v>
      </c>
      <c r="E4233" s="13">
        <v>-44775</v>
      </c>
    </row>
    <row r="4234" spans="1:5">
      <c r="A4234" s="14">
        <v>43781</v>
      </c>
      <c r="B4234" s="12">
        <v>2512</v>
      </c>
      <c r="C4234" s="12" t="s">
        <v>16</v>
      </c>
      <c r="D4234" s="12" t="s">
        <v>13</v>
      </c>
      <c r="E4234" s="12">
        <v>-524</v>
      </c>
    </row>
    <row r="4235" spans="1:5">
      <c r="A4235" s="15">
        <v>43781</v>
      </c>
      <c r="B4235" s="13">
        <v>2513</v>
      </c>
      <c r="C4235" s="13" t="s">
        <v>17</v>
      </c>
      <c r="D4235" s="13" t="s">
        <v>12</v>
      </c>
      <c r="E4235" s="13">
        <v>-1043</v>
      </c>
    </row>
    <row r="4236" spans="1:5">
      <c r="A4236" s="14">
        <v>43781</v>
      </c>
      <c r="B4236" s="12">
        <v>2510</v>
      </c>
      <c r="C4236" s="12" t="s">
        <v>24</v>
      </c>
      <c r="D4236" s="12" t="s">
        <v>13</v>
      </c>
      <c r="E4236" s="12">
        <v>-815</v>
      </c>
    </row>
    <row r="4237" spans="1:5">
      <c r="A4237" s="15">
        <v>43782</v>
      </c>
      <c r="B4237" s="13">
        <v>2502</v>
      </c>
      <c r="C4237" s="13" t="s">
        <v>7</v>
      </c>
      <c r="D4237" s="13" t="s">
        <v>19</v>
      </c>
      <c r="E4237" s="13">
        <v>-4182</v>
      </c>
    </row>
    <row r="4238" spans="1:5">
      <c r="A4238" s="14">
        <v>43782</v>
      </c>
      <c r="B4238" s="12">
        <v>2502</v>
      </c>
      <c r="C4238" s="12" t="s">
        <v>7</v>
      </c>
      <c r="D4238" s="12" t="s">
        <v>19</v>
      </c>
      <c r="E4238" s="12">
        <v>-4156</v>
      </c>
    </row>
    <row r="4239" spans="1:5">
      <c r="A4239" s="15">
        <v>43782</v>
      </c>
      <c r="B4239" s="13">
        <v>2514</v>
      </c>
      <c r="C4239" s="13" t="s">
        <v>20</v>
      </c>
      <c r="D4239" s="13" t="s">
        <v>19</v>
      </c>
      <c r="E4239" s="13">
        <v>-1175</v>
      </c>
    </row>
    <row r="4240" spans="1:5">
      <c r="A4240" s="14">
        <v>43782</v>
      </c>
      <c r="B4240" s="12">
        <v>2505</v>
      </c>
      <c r="C4240" s="12" t="s">
        <v>9</v>
      </c>
      <c r="D4240" s="12" t="s">
        <v>19</v>
      </c>
      <c r="E4240" s="12">
        <v>-586</v>
      </c>
    </row>
    <row r="4241" spans="1:5">
      <c r="A4241" s="15">
        <v>43782</v>
      </c>
      <c r="B4241" s="13">
        <v>2503</v>
      </c>
      <c r="C4241" s="13" t="s">
        <v>22</v>
      </c>
      <c r="D4241" s="13" t="s">
        <v>6</v>
      </c>
      <c r="E4241" s="13">
        <v>-343</v>
      </c>
    </row>
    <row r="4242" spans="1:5">
      <c r="A4242" s="14">
        <v>43782</v>
      </c>
      <c r="B4242" s="12">
        <v>2513</v>
      </c>
      <c r="C4242" s="12" t="s">
        <v>17</v>
      </c>
      <c r="D4242" s="12" t="s">
        <v>10</v>
      </c>
      <c r="E4242" s="12">
        <v>-968</v>
      </c>
    </row>
    <row r="4243" spans="1:5">
      <c r="A4243" s="15">
        <v>43782</v>
      </c>
      <c r="B4243" s="13">
        <v>2513</v>
      </c>
      <c r="C4243" s="13" t="s">
        <v>17</v>
      </c>
      <c r="D4243" s="13" t="s">
        <v>10</v>
      </c>
      <c r="E4243" s="13">
        <v>-528</v>
      </c>
    </row>
    <row r="4244" spans="1:5">
      <c r="A4244" s="14">
        <v>43782</v>
      </c>
      <c r="B4244" s="12">
        <v>2513</v>
      </c>
      <c r="C4244" s="12" t="s">
        <v>17</v>
      </c>
      <c r="D4244" s="12" t="s">
        <v>13</v>
      </c>
      <c r="E4244" s="12">
        <v>-444</v>
      </c>
    </row>
    <row r="4245" spans="1:5">
      <c r="A4245" s="15">
        <v>43782</v>
      </c>
      <c r="B4245" s="13">
        <v>2513</v>
      </c>
      <c r="C4245" s="13" t="s">
        <v>17</v>
      </c>
      <c r="D4245" s="13" t="s">
        <v>13</v>
      </c>
      <c r="E4245" s="13">
        <v>-646</v>
      </c>
    </row>
    <row r="4246" spans="1:5">
      <c r="A4246" s="14">
        <v>43782</v>
      </c>
      <c r="B4246" s="12">
        <v>2501</v>
      </c>
      <c r="C4246" s="12" t="s">
        <v>5</v>
      </c>
      <c r="D4246" s="12" t="s">
        <v>19</v>
      </c>
      <c r="E4246" s="12">
        <v>-58</v>
      </c>
    </row>
    <row r="4247" spans="1:5">
      <c r="A4247" s="15">
        <v>43782</v>
      </c>
      <c r="B4247" s="13">
        <v>1000</v>
      </c>
      <c r="C4247" s="13" t="s">
        <v>23</v>
      </c>
      <c r="D4247" s="13" t="s">
        <v>19</v>
      </c>
      <c r="E4247" s="13">
        <v>1314701</v>
      </c>
    </row>
    <row r="4248" spans="1:5">
      <c r="A4248" s="14">
        <v>43783</v>
      </c>
      <c r="B4248" s="12">
        <v>2000</v>
      </c>
      <c r="C4248" s="12" t="s">
        <v>18</v>
      </c>
      <c r="D4248" s="12" t="s">
        <v>19</v>
      </c>
      <c r="E4248" s="12">
        <v>-133306</v>
      </c>
    </row>
    <row r="4249" spans="1:5">
      <c r="A4249" s="15">
        <v>43783</v>
      </c>
      <c r="B4249" s="13">
        <v>2500</v>
      </c>
      <c r="C4249" s="13" t="s">
        <v>25</v>
      </c>
      <c r="D4249" s="13" t="s">
        <v>19</v>
      </c>
      <c r="E4249" s="13">
        <v>-35826</v>
      </c>
    </row>
    <row r="4250" spans="1:5">
      <c r="A4250" s="14">
        <v>43783</v>
      </c>
      <c r="B4250" s="12">
        <v>2512</v>
      </c>
      <c r="C4250" s="12" t="s">
        <v>16</v>
      </c>
      <c r="D4250" s="12" t="s">
        <v>19</v>
      </c>
      <c r="E4250" s="12">
        <v>-9281</v>
      </c>
    </row>
    <row r="4251" spans="1:5">
      <c r="A4251" s="15">
        <v>43783</v>
      </c>
      <c r="B4251" s="13">
        <v>2502</v>
      </c>
      <c r="C4251" s="13" t="s">
        <v>7</v>
      </c>
      <c r="D4251" s="13" t="s">
        <v>19</v>
      </c>
      <c r="E4251" s="13">
        <v>-4457</v>
      </c>
    </row>
    <row r="4252" spans="1:5">
      <c r="A4252" s="14">
        <v>43783</v>
      </c>
      <c r="B4252" s="12">
        <v>2504</v>
      </c>
      <c r="C4252" s="12" t="s">
        <v>21</v>
      </c>
      <c r="D4252" s="12" t="s">
        <v>19</v>
      </c>
      <c r="E4252" s="12">
        <v>-1468</v>
      </c>
    </row>
    <row r="4253" spans="1:5">
      <c r="A4253" s="15">
        <v>43783</v>
      </c>
      <c r="B4253" s="13">
        <v>2510</v>
      </c>
      <c r="C4253" s="13" t="s">
        <v>24</v>
      </c>
      <c r="D4253" s="13" t="s">
        <v>19</v>
      </c>
      <c r="E4253" s="13">
        <v>-966</v>
      </c>
    </row>
    <row r="4254" spans="1:5">
      <c r="A4254" s="14">
        <v>43783</v>
      </c>
      <c r="B4254" s="12">
        <v>2504</v>
      </c>
      <c r="C4254" s="12" t="s">
        <v>21</v>
      </c>
      <c r="D4254" s="12" t="s">
        <v>19</v>
      </c>
      <c r="E4254" s="12">
        <v>-943</v>
      </c>
    </row>
    <row r="4255" spans="1:5">
      <c r="A4255" s="15">
        <v>43783</v>
      </c>
      <c r="B4255" s="13">
        <v>2501</v>
      </c>
      <c r="C4255" s="13" t="s">
        <v>5</v>
      </c>
      <c r="D4255" s="13" t="s">
        <v>19</v>
      </c>
      <c r="E4255" s="13">
        <v>-144</v>
      </c>
    </row>
    <row r="4256" spans="1:5">
      <c r="A4256" s="14">
        <v>43783</v>
      </c>
      <c r="B4256" s="12">
        <v>2501</v>
      </c>
      <c r="C4256" s="12" t="s">
        <v>5</v>
      </c>
      <c r="D4256" s="12" t="s">
        <v>6</v>
      </c>
      <c r="E4256" s="12">
        <v>-187</v>
      </c>
    </row>
    <row r="4257" spans="1:5">
      <c r="A4257" s="15">
        <v>43783</v>
      </c>
      <c r="B4257" s="13">
        <v>2512</v>
      </c>
      <c r="C4257" s="13" t="s">
        <v>16</v>
      </c>
      <c r="D4257" s="13" t="s">
        <v>6</v>
      </c>
      <c r="E4257" s="13">
        <v>-4154</v>
      </c>
    </row>
    <row r="4258" spans="1:5">
      <c r="A4258" s="14">
        <v>43783</v>
      </c>
      <c r="B4258" s="12">
        <v>2513</v>
      </c>
      <c r="C4258" s="12" t="s">
        <v>17</v>
      </c>
      <c r="D4258" s="12" t="s">
        <v>6</v>
      </c>
      <c r="E4258" s="12">
        <v>-839</v>
      </c>
    </row>
    <row r="4259" spans="1:5">
      <c r="A4259" s="15">
        <v>43783</v>
      </c>
      <c r="B4259" s="13">
        <v>2513</v>
      </c>
      <c r="C4259" s="13" t="s">
        <v>17</v>
      </c>
      <c r="D4259" s="13" t="s">
        <v>10</v>
      </c>
      <c r="E4259" s="13">
        <v>-697</v>
      </c>
    </row>
    <row r="4260" spans="1:5">
      <c r="A4260" s="14">
        <v>43783</v>
      </c>
      <c r="B4260" s="12">
        <v>2514</v>
      </c>
      <c r="C4260" s="12" t="s">
        <v>20</v>
      </c>
      <c r="D4260" s="12" t="s">
        <v>13</v>
      </c>
      <c r="E4260" s="12">
        <v>-806</v>
      </c>
    </row>
    <row r="4261" spans="1:5">
      <c r="A4261" s="15">
        <v>43783</v>
      </c>
      <c r="B4261" s="13">
        <v>2514</v>
      </c>
      <c r="C4261" s="13" t="s">
        <v>20</v>
      </c>
      <c r="D4261" s="13" t="s">
        <v>6</v>
      </c>
      <c r="E4261" s="13">
        <v>-1469</v>
      </c>
    </row>
    <row r="4262" spans="1:5">
      <c r="A4262" s="14">
        <v>43783</v>
      </c>
      <c r="B4262" s="12">
        <v>2514</v>
      </c>
      <c r="C4262" s="12" t="s">
        <v>20</v>
      </c>
      <c r="D4262" s="12" t="s">
        <v>14</v>
      </c>
      <c r="E4262" s="12">
        <v>-1264</v>
      </c>
    </row>
    <row r="4263" spans="1:5">
      <c r="A4263" s="15">
        <v>43783</v>
      </c>
      <c r="B4263" s="13">
        <v>2510</v>
      </c>
      <c r="C4263" s="13" t="s">
        <v>24</v>
      </c>
      <c r="D4263" s="13" t="s">
        <v>13</v>
      </c>
      <c r="E4263" s="13">
        <v>-1403</v>
      </c>
    </row>
    <row r="4264" spans="1:5">
      <c r="A4264" s="14">
        <v>43783</v>
      </c>
      <c r="B4264" s="12">
        <v>2510</v>
      </c>
      <c r="C4264" s="12" t="s">
        <v>24</v>
      </c>
      <c r="D4264" s="12" t="s">
        <v>10</v>
      </c>
      <c r="E4264" s="12">
        <v>-1489</v>
      </c>
    </row>
    <row r="4265" spans="1:5">
      <c r="A4265" s="15">
        <v>43783</v>
      </c>
      <c r="B4265" s="13">
        <v>2510</v>
      </c>
      <c r="C4265" s="13" t="s">
        <v>24</v>
      </c>
      <c r="D4265" s="13" t="s">
        <v>14</v>
      </c>
      <c r="E4265" s="13">
        <v>-1010</v>
      </c>
    </row>
    <row r="4266" spans="1:5">
      <c r="A4266" s="14">
        <v>43783</v>
      </c>
      <c r="B4266" s="12">
        <v>1000</v>
      </c>
      <c r="C4266" s="12" t="s">
        <v>23</v>
      </c>
      <c r="D4266" s="12" t="s">
        <v>19</v>
      </c>
      <c r="E4266" s="12">
        <v>1265180</v>
      </c>
    </row>
    <row r="4267" spans="1:5">
      <c r="A4267" s="15">
        <v>43784</v>
      </c>
      <c r="B4267" s="13">
        <v>2000</v>
      </c>
      <c r="C4267" s="13" t="s">
        <v>18</v>
      </c>
      <c r="D4267" s="13" t="s">
        <v>19</v>
      </c>
      <c r="E4267" s="13">
        <v>-165580</v>
      </c>
    </row>
    <row r="4268" spans="1:5">
      <c r="A4268" s="14">
        <v>43784</v>
      </c>
      <c r="B4268" s="12">
        <v>2512</v>
      </c>
      <c r="C4268" s="12" t="s">
        <v>16</v>
      </c>
      <c r="D4268" s="12" t="s">
        <v>19</v>
      </c>
      <c r="E4268" s="12">
        <v>-6159</v>
      </c>
    </row>
    <row r="4269" spans="1:5">
      <c r="A4269" s="15">
        <v>43784</v>
      </c>
      <c r="B4269" s="13">
        <v>2502</v>
      </c>
      <c r="C4269" s="13" t="s">
        <v>7</v>
      </c>
      <c r="D4269" s="13" t="s">
        <v>19</v>
      </c>
      <c r="E4269" s="13">
        <v>-5964</v>
      </c>
    </row>
    <row r="4270" spans="1:5">
      <c r="A4270" s="14">
        <v>43784</v>
      </c>
      <c r="B4270" s="12">
        <v>2510</v>
      </c>
      <c r="C4270" s="12" t="s">
        <v>24</v>
      </c>
      <c r="D4270" s="12" t="s">
        <v>19</v>
      </c>
      <c r="E4270" s="12">
        <v>-1420</v>
      </c>
    </row>
    <row r="4271" spans="1:5">
      <c r="A4271" s="15">
        <v>43784</v>
      </c>
      <c r="B4271" s="13">
        <v>2514</v>
      </c>
      <c r="C4271" s="13" t="s">
        <v>20</v>
      </c>
      <c r="D4271" s="13" t="s">
        <v>19</v>
      </c>
      <c r="E4271" s="13">
        <v>-785</v>
      </c>
    </row>
    <row r="4272" spans="1:5">
      <c r="A4272" s="14">
        <v>43784</v>
      </c>
      <c r="B4272" s="12">
        <v>2513</v>
      </c>
      <c r="C4272" s="12" t="s">
        <v>17</v>
      </c>
      <c r="D4272" s="12" t="s">
        <v>19</v>
      </c>
      <c r="E4272" s="12">
        <v>-758</v>
      </c>
    </row>
    <row r="4273" spans="1:5">
      <c r="A4273" s="15">
        <v>43784</v>
      </c>
      <c r="B4273" s="13">
        <v>2510</v>
      </c>
      <c r="C4273" s="13" t="s">
        <v>24</v>
      </c>
      <c r="D4273" s="13" t="s">
        <v>19</v>
      </c>
      <c r="E4273" s="13">
        <v>-653</v>
      </c>
    </row>
    <row r="4274" spans="1:5">
      <c r="A4274" s="14">
        <v>43784</v>
      </c>
      <c r="B4274" s="12">
        <v>2501</v>
      </c>
      <c r="C4274" s="12" t="s">
        <v>5</v>
      </c>
      <c r="D4274" s="12" t="s">
        <v>6</v>
      </c>
      <c r="E4274" s="12">
        <v>-144</v>
      </c>
    </row>
    <row r="4275" spans="1:5">
      <c r="A4275" s="15">
        <v>43784</v>
      </c>
      <c r="B4275" s="13">
        <v>2501</v>
      </c>
      <c r="C4275" s="13" t="s">
        <v>5</v>
      </c>
      <c r="D4275" s="13" t="s">
        <v>8</v>
      </c>
      <c r="E4275" s="13">
        <v>-91</v>
      </c>
    </row>
    <row r="4276" spans="1:5">
      <c r="A4276" s="14">
        <v>43784</v>
      </c>
      <c r="B4276" s="12">
        <v>2506</v>
      </c>
      <c r="C4276" s="12" t="s">
        <v>27</v>
      </c>
      <c r="D4276" s="12" t="s">
        <v>14</v>
      </c>
      <c r="E4276" s="12">
        <v>-679</v>
      </c>
    </row>
    <row r="4277" spans="1:5">
      <c r="A4277" s="15">
        <v>43784</v>
      </c>
      <c r="B4277" s="13">
        <v>2508</v>
      </c>
      <c r="C4277" s="13" t="s">
        <v>15</v>
      </c>
      <c r="D4277" s="13" t="s">
        <v>14</v>
      </c>
      <c r="E4277" s="13">
        <v>-55134</v>
      </c>
    </row>
    <row r="4278" spans="1:5">
      <c r="A4278" s="14">
        <v>43784</v>
      </c>
      <c r="B4278" s="12">
        <v>2508</v>
      </c>
      <c r="C4278" s="12" t="s">
        <v>15</v>
      </c>
      <c r="D4278" s="12" t="s">
        <v>12</v>
      </c>
      <c r="E4278" s="12">
        <v>-105566</v>
      </c>
    </row>
    <row r="4279" spans="1:5">
      <c r="A4279" s="15">
        <v>43784</v>
      </c>
      <c r="B4279" s="13">
        <v>2510</v>
      </c>
      <c r="C4279" s="13" t="s">
        <v>24</v>
      </c>
      <c r="D4279" s="13" t="s">
        <v>8</v>
      </c>
      <c r="E4279" s="13">
        <v>-1505</v>
      </c>
    </row>
    <row r="4280" spans="1:5">
      <c r="A4280" s="14">
        <v>43784</v>
      </c>
      <c r="B4280" s="12">
        <v>2501</v>
      </c>
      <c r="C4280" s="12" t="s">
        <v>5</v>
      </c>
      <c r="D4280" s="12" t="s">
        <v>19</v>
      </c>
      <c r="E4280" s="12">
        <v>-80</v>
      </c>
    </row>
    <row r="4281" spans="1:5">
      <c r="A4281" s="15">
        <v>43784</v>
      </c>
      <c r="B4281" s="13">
        <v>1000</v>
      </c>
      <c r="C4281" s="13" t="s">
        <v>23</v>
      </c>
      <c r="D4281" s="13" t="s">
        <v>19</v>
      </c>
      <c r="E4281" s="13">
        <v>1270385</v>
      </c>
    </row>
    <row r="4282" spans="1:5">
      <c r="A4282" s="14">
        <v>43785</v>
      </c>
      <c r="B4282" s="12">
        <v>2000</v>
      </c>
      <c r="C4282" s="12" t="s">
        <v>18</v>
      </c>
      <c r="D4282" s="12" t="s">
        <v>19</v>
      </c>
      <c r="E4282" s="12">
        <v>-253454</v>
      </c>
    </row>
    <row r="4283" spans="1:5">
      <c r="A4283" s="15">
        <v>43785</v>
      </c>
      <c r="B4283" s="13">
        <v>1500</v>
      </c>
      <c r="C4283" s="13" t="s">
        <v>26</v>
      </c>
      <c r="D4283" s="13" t="s">
        <v>19</v>
      </c>
      <c r="E4283" s="13">
        <v>-30802</v>
      </c>
    </row>
    <row r="4284" spans="1:5">
      <c r="A4284" s="14">
        <v>43785</v>
      </c>
      <c r="B4284" s="12">
        <v>2500</v>
      </c>
      <c r="C4284" s="12" t="s">
        <v>25</v>
      </c>
      <c r="D4284" s="12" t="s">
        <v>19</v>
      </c>
      <c r="E4284" s="12">
        <v>-25270</v>
      </c>
    </row>
    <row r="4285" spans="1:5">
      <c r="A4285" s="15">
        <v>43785</v>
      </c>
      <c r="B4285" s="13">
        <v>2513</v>
      </c>
      <c r="C4285" s="13" t="s">
        <v>17</v>
      </c>
      <c r="D4285" s="13" t="s">
        <v>19</v>
      </c>
      <c r="E4285" s="13">
        <v>-434</v>
      </c>
    </row>
    <row r="4286" spans="1:5">
      <c r="A4286" s="14">
        <v>43785</v>
      </c>
      <c r="B4286" s="12">
        <v>2502</v>
      </c>
      <c r="C4286" s="12" t="s">
        <v>7</v>
      </c>
      <c r="D4286" s="12" t="s">
        <v>8</v>
      </c>
      <c r="E4286" s="12">
        <v>-6120</v>
      </c>
    </row>
    <row r="4287" spans="1:5">
      <c r="A4287" s="15">
        <v>43785</v>
      </c>
      <c r="B4287" s="13">
        <v>2503</v>
      </c>
      <c r="C4287" s="13" t="s">
        <v>22</v>
      </c>
      <c r="D4287" s="13" t="s">
        <v>10</v>
      </c>
      <c r="E4287" s="13">
        <v>-343</v>
      </c>
    </row>
    <row r="4288" spans="1:5">
      <c r="A4288" s="14">
        <v>43785</v>
      </c>
      <c r="B4288" s="12">
        <v>2505</v>
      </c>
      <c r="C4288" s="12" t="s">
        <v>9</v>
      </c>
      <c r="D4288" s="12" t="s">
        <v>10</v>
      </c>
      <c r="E4288" s="12">
        <v>-733</v>
      </c>
    </row>
    <row r="4289" spans="1:5">
      <c r="A4289" s="15">
        <v>43785</v>
      </c>
      <c r="B4289" s="13">
        <v>2513</v>
      </c>
      <c r="C4289" s="13" t="s">
        <v>17</v>
      </c>
      <c r="D4289" s="13" t="s">
        <v>13</v>
      </c>
      <c r="E4289" s="13">
        <v>-826</v>
      </c>
    </row>
    <row r="4290" spans="1:5">
      <c r="A4290" s="14">
        <v>43785</v>
      </c>
      <c r="B4290" s="12">
        <v>2513</v>
      </c>
      <c r="C4290" s="12" t="s">
        <v>17</v>
      </c>
      <c r="D4290" s="12" t="s">
        <v>8</v>
      </c>
      <c r="E4290" s="12">
        <v>-846</v>
      </c>
    </row>
    <row r="4291" spans="1:5">
      <c r="A4291" s="15">
        <v>43785</v>
      </c>
      <c r="B4291" s="13">
        <v>2513</v>
      </c>
      <c r="C4291" s="13" t="s">
        <v>17</v>
      </c>
      <c r="D4291" s="13" t="s">
        <v>10</v>
      </c>
      <c r="E4291" s="13">
        <v>-1000</v>
      </c>
    </row>
    <row r="4292" spans="1:5">
      <c r="A4292" s="14">
        <v>43785</v>
      </c>
      <c r="B4292" s="12">
        <v>2514</v>
      </c>
      <c r="C4292" s="12" t="s">
        <v>20</v>
      </c>
      <c r="D4292" s="12" t="s">
        <v>13</v>
      </c>
      <c r="E4292" s="12">
        <v>-852</v>
      </c>
    </row>
    <row r="4293" spans="1:5">
      <c r="A4293" s="15">
        <v>43785</v>
      </c>
      <c r="B4293" s="13">
        <v>2510</v>
      </c>
      <c r="C4293" s="13" t="s">
        <v>24</v>
      </c>
      <c r="D4293" s="13" t="s">
        <v>8</v>
      </c>
      <c r="E4293" s="13">
        <v>-2015</v>
      </c>
    </row>
    <row r="4294" spans="1:5">
      <c r="A4294" s="14">
        <v>43786</v>
      </c>
      <c r="B4294" s="12">
        <v>2000</v>
      </c>
      <c r="C4294" s="12" t="s">
        <v>18</v>
      </c>
      <c r="D4294" s="12" t="s">
        <v>19</v>
      </c>
      <c r="E4294" s="12">
        <v>-157823</v>
      </c>
    </row>
    <row r="4295" spans="1:5">
      <c r="A4295" s="15">
        <v>43786</v>
      </c>
      <c r="B4295" s="13">
        <v>2512</v>
      </c>
      <c r="C4295" s="13" t="s">
        <v>16</v>
      </c>
      <c r="D4295" s="13" t="s">
        <v>19</v>
      </c>
      <c r="E4295" s="13">
        <v>-9523</v>
      </c>
    </row>
    <row r="4296" spans="1:5">
      <c r="A4296" s="14">
        <v>43786</v>
      </c>
      <c r="B4296" s="12">
        <v>2502</v>
      </c>
      <c r="C4296" s="12" t="s">
        <v>7</v>
      </c>
      <c r="D4296" s="12" t="s">
        <v>19</v>
      </c>
      <c r="E4296" s="12">
        <v>-3055</v>
      </c>
    </row>
    <row r="4297" spans="1:5">
      <c r="A4297" s="15">
        <v>43786</v>
      </c>
      <c r="B4297" s="13">
        <v>2504</v>
      </c>
      <c r="C4297" s="13" t="s">
        <v>21</v>
      </c>
      <c r="D4297" s="13" t="s">
        <v>19</v>
      </c>
      <c r="E4297" s="13">
        <v>-2472</v>
      </c>
    </row>
    <row r="4298" spans="1:5">
      <c r="A4298" s="14">
        <v>43786</v>
      </c>
      <c r="B4298" s="12">
        <v>2505</v>
      </c>
      <c r="C4298" s="12" t="s">
        <v>9</v>
      </c>
      <c r="D4298" s="12" t="s">
        <v>19</v>
      </c>
      <c r="E4298" s="12">
        <v>-586</v>
      </c>
    </row>
    <row r="4299" spans="1:5">
      <c r="A4299" s="15">
        <v>43786</v>
      </c>
      <c r="B4299" s="13">
        <v>2513</v>
      </c>
      <c r="C4299" s="13" t="s">
        <v>17</v>
      </c>
      <c r="D4299" s="13" t="s">
        <v>19</v>
      </c>
      <c r="E4299" s="13">
        <v>-511</v>
      </c>
    </row>
    <row r="4300" spans="1:5">
      <c r="A4300" s="14">
        <v>43786</v>
      </c>
      <c r="B4300" s="12">
        <v>2503</v>
      </c>
      <c r="C4300" s="12" t="s">
        <v>22</v>
      </c>
      <c r="D4300" s="12" t="s">
        <v>19</v>
      </c>
      <c r="E4300" s="12">
        <v>-285</v>
      </c>
    </row>
    <row r="4301" spans="1:5">
      <c r="A4301" s="15">
        <v>43786</v>
      </c>
      <c r="B4301" s="13">
        <v>2501</v>
      </c>
      <c r="C4301" s="13" t="s">
        <v>5</v>
      </c>
      <c r="D4301" s="13" t="s">
        <v>12</v>
      </c>
      <c r="E4301" s="13">
        <v>-213</v>
      </c>
    </row>
    <row r="4302" spans="1:5">
      <c r="A4302" s="14">
        <v>43786</v>
      </c>
      <c r="B4302" s="12">
        <v>2505</v>
      </c>
      <c r="C4302" s="12" t="s">
        <v>9</v>
      </c>
      <c r="D4302" s="12" t="s">
        <v>14</v>
      </c>
      <c r="E4302" s="12">
        <v>-740</v>
      </c>
    </row>
    <row r="4303" spans="1:5">
      <c r="A4303" s="15">
        <v>43786</v>
      </c>
      <c r="B4303" s="13">
        <v>2513</v>
      </c>
      <c r="C4303" s="13" t="s">
        <v>17</v>
      </c>
      <c r="D4303" s="13" t="s">
        <v>6</v>
      </c>
      <c r="E4303" s="13">
        <v>-750</v>
      </c>
    </row>
    <row r="4304" spans="1:5">
      <c r="A4304" s="14">
        <v>43786</v>
      </c>
      <c r="B4304" s="12">
        <v>2510</v>
      </c>
      <c r="C4304" s="12" t="s">
        <v>24</v>
      </c>
      <c r="D4304" s="12" t="s">
        <v>10</v>
      </c>
      <c r="E4304" s="12">
        <v>-1336</v>
      </c>
    </row>
    <row r="4305" spans="1:5">
      <c r="A4305" s="15">
        <v>43786</v>
      </c>
      <c r="B4305" s="13">
        <v>2510</v>
      </c>
      <c r="C4305" s="13" t="s">
        <v>24</v>
      </c>
      <c r="D4305" s="13" t="s">
        <v>12</v>
      </c>
      <c r="E4305" s="13">
        <v>-1246</v>
      </c>
    </row>
    <row r="4306" spans="1:5">
      <c r="A4306" s="14">
        <v>43787</v>
      </c>
      <c r="B4306" s="12">
        <v>2513</v>
      </c>
      <c r="C4306" s="12" t="s">
        <v>17</v>
      </c>
      <c r="D4306" s="12" t="s">
        <v>19</v>
      </c>
      <c r="E4306" s="12">
        <v>-883</v>
      </c>
    </row>
    <row r="4307" spans="1:5">
      <c r="A4307" s="15">
        <v>43787</v>
      </c>
      <c r="B4307" s="13">
        <v>2513</v>
      </c>
      <c r="C4307" s="13" t="s">
        <v>17</v>
      </c>
      <c r="D4307" s="13" t="s">
        <v>19</v>
      </c>
      <c r="E4307" s="13">
        <v>-710</v>
      </c>
    </row>
    <row r="4308" spans="1:5">
      <c r="A4308" s="14">
        <v>43787</v>
      </c>
      <c r="B4308" s="12">
        <v>2513</v>
      </c>
      <c r="C4308" s="12" t="s">
        <v>17</v>
      </c>
      <c r="D4308" s="12" t="s">
        <v>19</v>
      </c>
      <c r="E4308" s="12">
        <v>-653</v>
      </c>
    </row>
    <row r="4309" spans="1:5">
      <c r="A4309" s="15">
        <v>43787</v>
      </c>
      <c r="B4309" s="13">
        <v>2513</v>
      </c>
      <c r="C4309" s="13" t="s">
        <v>17</v>
      </c>
      <c r="D4309" s="13" t="s">
        <v>19</v>
      </c>
      <c r="E4309" s="13">
        <v>-534</v>
      </c>
    </row>
    <row r="4310" spans="1:5">
      <c r="A4310" s="14">
        <v>43787</v>
      </c>
      <c r="B4310" s="12">
        <v>2502</v>
      </c>
      <c r="C4310" s="12" t="s">
        <v>7</v>
      </c>
      <c r="D4310" s="12" t="s">
        <v>12</v>
      </c>
      <c r="E4310" s="12">
        <v>-6204</v>
      </c>
    </row>
    <row r="4311" spans="1:5">
      <c r="A4311" s="15">
        <v>43787</v>
      </c>
      <c r="B4311" s="13">
        <v>2503</v>
      </c>
      <c r="C4311" s="13" t="s">
        <v>22</v>
      </c>
      <c r="D4311" s="13" t="s">
        <v>12</v>
      </c>
      <c r="E4311" s="13">
        <v>-613</v>
      </c>
    </row>
    <row r="4312" spans="1:5">
      <c r="A4312" s="14">
        <v>43787</v>
      </c>
      <c r="B4312" s="12">
        <v>2505</v>
      </c>
      <c r="C4312" s="12" t="s">
        <v>9</v>
      </c>
      <c r="D4312" s="12" t="s">
        <v>13</v>
      </c>
      <c r="E4312" s="12">
        <v>-501</v>
      </c>
    </row>
    <row r="4313" spans="1:5">
      <c r="A4313" s="15">
        <v>43787</v>
      </c>
      <c r="B4313" s="13">
        <v>2508</v>
      </c>
      <c r="C4313" s="13" t="s">
        <v>15</v>
      </c>
      <c r="D4313" s="13" t="s">
        <v>14</v>
      </c>
      <c r="E4313" s="13">
        <v>-57520</v>
      </c>
    </row>
    <row r="4314" spans="1:5">
      <c r="A4314" s="14">
        <v>43787</v>
      </c>
      <c r="B4314" s="12">
        <v>2512</v>
      </c>
      <c r="C4314" s="12" t="s">
        <v>16</v>
      </c>
      <c r="D4314" s="12" t="s">
        <v>14</v>
      </c>
      <c r="E4314" s="12">
        <v>-2664</v>
      </c>
    </row>
    <row r="4315" spans="1:5">
      <c r="A4315" s="15">
        <v>43787</v>
      </c>
      <c r="B4315" s="13">
        <v>2512</v>
      </c>
      <c r="C4315" s="13" t="s">
        <v>16</v>
      </c>
      <c r="D4315" s="13" t="s">
        <v>8</v>
      </c>
      <c r="E4315" s="13">
        <v>-2683</v>
      </c>
    </row>
    <row r="4316" spans="1:5">
      <c r="A4316" s="14">
        <v>43787</v>
      </c>
      <c r="B4316" s="12">
        <v>2512</v>
      </c>
      <c r="C4316" s="12" t="s">
        <v>16</v>
      </c>
      <c r="D4316" s="12" t="s">
        <v>10</v>
      </c>
      <c r="E4316" s="12">
        <v>-4766</v>
      </c>
    </row>
    <row r="4317" spans="1:5">
      <c r="A4317" s="15">
        <v>43787</v>
      </c>
      <c r="B4317" s="13">
        <v>2513</v>
      </c>
      <c r="C4317" s="13" t="s">
        <v>17</v>
      </c>
      <c r="D4317" s="13" t="s">
        <v>6</v>
      </c>
      <c r="E4317" s="13">
        <v>-579</v>
      </c>
    </row>
    <row r="4318" spans="1:5">
      <c r="A4318" s="14">
        <v>43787</v>
      </c>
      <c r="B4318" s="12">
        <v>2513</v>
      </c>
      <c r="C4318" s="12" t="s">
        <v>17</v>
      </c>
      <c r="D4318" s="12" t="s">
        <v>10</v>
      </c>
      <c r="E4318" s="12">
        <v>-751</v>
      </c>
    </row>
    <row r="4319" spans="1:5">
      <c r="A4319" s="15">
        <v>43787</v>
      </c>
      <c r="B4319" s="13">
        <v>2510</v>
      </c>
      <c r="C4319" s="13" t="s">
        <v>24</v>
      </c>
      <c r="D4319" s="13" t="s">
        <v>6</v>
      </c>
      <c r="E4319" s="13">
        <v>-1464</v>
      </c>
    </row>
    <row r="4320" spans="1:5">
      <c r="A4320" s="14">
        <v>43787</v>
      </c>
      <c r="B4320" s="12">
        <v>1000</v>
      </c>
      <c r="C4320" s="12" t="s">
        <v>23</v>
      </c>
      <c r="D4320" s="12" t="s">
        <v>19</v>
      </c>
      <c r="E4320" s="12">
        <v>679331</v>
      </c>
    </row>
    <row r="4321" spans="1:5">
      <c r="A4321" s="15">
        <v>43788</v>
      </c>
      <c r="B4321" s="13">
        <v>2000</v>
      </c>
      <c r="C4321" s="13" t="s">
        <v>18</v>
      </c>
      <c r="D4321" s="13" t="s">
        <v>19</v>
      </c>
      <c r="E4321" s="13">
        <v>-253275</v>
      </c>
    </row>
    <row r="4322" spans="1:5">
      <c r="A4322" s="14">
        <v>43788</v>
      </c>
      <c r="B4322" s="12">
        <v>1500</v>
      </c>
      <c r="C4322" s="12" t="s">
        <v>26</v>
      </c>
      <c r="D4322" s="12" t="s">
        <v>19</v>
      </c>
      <c r="E4322" s="12">
        <v>-43469</v>
      </c>
    </row>
    <row r="4323" spans="1:5">
      <c r="A4323" s="15">
        <v>43788</v>
      </c>
      <c r="B4323" s="13">
        <v>2512</v>
      </c>
      <c r="C4323" s="13" t="s">
        <v>16</v>
      </c>
      <c r="D4323" s="13" t="s">
        <v>19</v>
      </c>
      <c r="E4323" s="13">
        <v>-8729</v>
      </c>
    </row>
    <row r="4324" spans="1:5">
      <c r="A4324" s="14">
        <v>43788</v>
      </c>
      <c r="B4324" s="12">
        <v>2502</v>
      </c>
      <c r="C4324" s="12" t="s">
        <v>7</v>
      </c>
      <c r="D4324" s="12" t="s">
        <v>19</v>
      </c>
      <c r="E4324" s="12">
        <v>-6083</v>
      </c>
    </row>
    <row r="4325" spans="1:5">
      <c r="A4325" s="15">
        <v>43788</v>
      </c>
      <c r="B4325" s="13">
        <v>2504</v>
      </c>
      <c r="C4325" s="13" t="s">
        <v>21</v>
      </c>
      <c r="D4325" s="13" t="s">
        <v>19</v>
      </c>
      <c r="E4325" s="13">
        <v>-1154</v>
      </c>
    </row>
    <row r="4326" spans="1:5">
      <c r="A4326" s="14">
        <v>43788</v>
      </c>
      <c r="B4326" s="12">
        <v>2503</v>
      </c>
      <c r="C4326" s="12" t="s">
        <v>22</v>
      </c>
      <c r="D4326" s="12" t="s">
        <v>19</v>
      </c>
      <c r="E4326" s="12">
        <v>-301</v>
      </c>
    </row>
    <row r="4327" spans="1:5">
      <c r="A4327" s="15">
        <v>43788</v>
      </c>
      <c r="B4327" s="13">
        <v>2502</v>
      </c>
      <c r="C4327" s="13" t="s">
        <v>7</v>
      </c>
      <c r="D4327" s="13" t="s">
        <v>8</v>
      </c>
      <c r="E4327" s="13">
        <v>-3990</v>
      </c>
    </row>
    <row r="4328" spans="1:5">
      <c r="A4328" s="14">
        <v>43788</v>
      </c>
      <c r="B4328" s="12">
        <v>2502</v>
      </c>
      <c r="C4328" s="12" t="s">
        <v>7</v>
      </c>
      <c r="D4328" s="12" t="s">
        <v>6</v>
      </c>
      <c r="E4328" s="12">
        <v>-5931</v>
      </c>
    </row>
    <row r="4329" spans="1:5">
      <c r="A4329" s="15">
        <v>43788</v>
      </c>
      <c r="B4329" s="13">
        <v>2505</v>
      </c>
      <c r="C4329" s="13" t="s">
        <v>9</v>
      </c>
      <c r="D4329" s="13" t="s">
        <v>13</v>
      </c>
      <c r="E4329" s="13">
        <v>-508</v>
      </c>
    </row>
    <row r="4330" spans="1:5">
      <c r="A4330" s="14">
        <v>43788</v>
      </c>
      <c r="B4330" s="12">
        <v>2508</v>
      </c>
      <c r="C4330" s="12" t="s">
        <v>15</v>
      </c>
      <c r="D4330" s="12" t="s">
        <v>13</v>
      </c>
      <c r="E4330" s="12">
        <v>-54341</v>
      </c>
    </row>
    <row r="4331" spans="1:5">
      <c r="A4331" s="15">
        <v>43788</v>
      </c>
      <c r="B4331" s="13">
        <v>2513</v>
      </c>
      <c r="C4331" s="13" t="s">
        <v>17</v>
      </c>
      <c r="D4331" s="13" t="s">
        <v>14</v>
      </c>
      <c r="E4331" s="13">
        <v>-912</v>
      </c>
    </row>
    <row r="4332" spans="1:5">
      <c r="A4332" s="14">
        <v>43788</v>
      </c>
      <c r="B4332" s="12">
        <v>2514</v>
      </c>
      <c r="C4332" s="12" t="s">
        <v>20</v>
      </c>
      <c r="D4332" s="12" t="s">
        <v>8</v>
      </c>
      <c r="E4332" s="12">
        <v>-1141</v>
      </c>
    </row>
    <row r="4333" spans="1:5">
      <c r="A4333" s="15">
        <v>43788</v>
      </c>
      <c r="B4333" s="13">
        <v>2514</v>
      </c>
      <c r="C4333" s="13" t="s">
        <v>20</v>
      </c>
      <c r="D4333" s="13" t="s">
        <v>10</v>
      </c>
      <c r="E4333" s="13">
        <v>-1146</v>
      </c>
    </row>
    <row r="4334" spans="1:5">
      <c r="A4334" s="14">
        <v>43788</v>
      </c>
      <c r="B4334" s="12">
        <v>2510</v>
      </c>
      <c r="C4334" s="12" t="s">
        <v>24</v>
      </c>
      <c r="D4334" s="12" t="s">
        <v>14</v>
      </c>
      <c r="E4334" s="12">
        <v>-785</v>
      </c>
    </row>
    <row r="4335" spans="1:5">
      <c r="A4335" s="15">
        <v>43788</v>
      </c>
      <c r="B4335" s="13">
        <v>1000</v>
      </c>
      <c r="C4335" s="13" t="s">
        <v>23</v>
      </c>
      <c r="D4335" s="13" t="s">
        <v>19</v>
      </c>
      <c r="E4335" s="13">
        <v>527857</v>
      </c>
    </row>
    <row r="4336" spans="1:5">
      <c r="A4336" s="14">
        <v>43788</v>
      </c>
      <c r="B4336" s="12">
        <v>1000</v>
      </c>
      <c r="C4336" s="12" t="s">
        <v>23</v>
      </c>
      <c r="D4336" s="12" t="s">
        <v>19</v>
      </c>
      <c r="E4336" s="12">
        <v>1311383</v>
      </c>
    </row>
    <row r="4337" spans="1:5">
      <c r="A4337" s="15">
        <v>43789</v>
      </c>
      <c r="B4337" s="13">
        <v>2512</v>
      </c>
      <c r="C4337" s="13" t="s">
        <v>16</v>
      </c>
      <c r="D4337" s="13" t="s">
        <v>19</v>
      </c>
      <c r="E4337" s="13">
        <v>-10571</v>
      </c>
    </row>
    <row r="4338" spans="1:5">
      <c r="A4338" s="14">
        <v>43789</v>
      </c>
      <c r="B4338" s="12">
        <v>2502</v>
      </c>
      <c r="C4338" s="12" t="s">
        <v>7</v>
      </c>
      <c r="D4338" s="12" t="s">
        <v>19</v>
      </c>
      <c r="E4338" s="12">
        <v>-3270</v>
      </c>
    </row>
    <row r="4339" spans="1:5">
      <c r="A4339" s="15">
        <v>43789</v>
      </c>
      <c r="B4339" s="13">
        <v>2502</v>
      </c>
      <c r="C4339" s="13" t="s">
        <v>7</v>
      </c>
      <c r="D4339" s="13" t="s">
        <v>19</v>
      </c>
      <c r="E4339" s="13">
        <v>-2463</v>
      </c>
    </row>
    <row r="4340" spans="1:5">
      <c r="A4340" s="14">
        <v>43789</v>
      </c>
      <c r="B4340" s="12">
        <v>2513</v>
      </c>
      <c r="C4340" s="12" t="s">
        <v>17</v>
      </c>
      <c r="D4340" s="12" t="s">
        <v>12</v>
      </c>
      <c r="E4340" s="12">
        <v>-1478</v>
      </c>
    </row>
    <row r="4341" spans="1:5">
      <c r="A4341" s="15">
        <v>43789</v>
      </c>
      <c r="B4341" s="13">
        <v>2510</v>
      </c>
      <c r="C4341" s="13" t="s">
        <v>24</v>
      </c>
      <c r="D4341" s="13" t="s">
        <v>10</v>
      </c>
      <c r="E4341" s="13">
        <v>-1179</v>
      </c>
    </row>
    <row r="4342" spans="1:5">
      <c r="A4342" s="14">
        <v>43789</v>
      </c>
      <c r="B4342" s="12">
        <v>2510</v>
      </c>
      <c r="C4342" s="12" t="s">
        <v>24</v>
      </c>
      <c r="D4342" s="12" t="s">
        <v>8</v>
      </c>
      <c r="E4342" s="12">
        <v>-1649</v>
      </c>
    </row>
    <row r="4343" spans="1:5">
      <c r="A4343" s="15">
        <v>43789</v>
      </c>
      <c r="B4343" s="13">
        <v>1000</v>
      </c>
      <c r="C4343" s="13" t="s">
        <v>23</v>
      </c>
      <c r="D4343" s="13" t="s">
        <v>19</v>
      </c>
      <c r="E4343" s="13">
        <v>691954</v>
      </c>
    </row>
    <row r="4344" spans="1:5">
      <c r="A4344" s="14">
        <v>43790</v>
      </c>
      <c r="B4344" s="12">
        <v>2000</v>
      </c>
      <c r="C4344" s="12" t="s">
        <v>18</v>
      </c>
      <c r="D4344" s="12" t="s">
        <v>19</v>
      </c>
      <c r="E4344" s="12">
        <v>-330553</v>
      </c>
    </row>
    <row r="4345" spans="1:5">
      <c r="A4345" s="15">
        <v>43790</v>
      </c>
      <c r="B4345" s="13">
        <v>2000</v>
      </c>
      <c r="C4345" s="13" t="s">
        <v>18</v>
      </c>
      <c r="D4345" s="13" t="s">
        <v>19</v>
      </c>
      <c r="E4345" s="13">
        <v>-153152</v>
      </c>
    </row>
    <row r="4346" spans="1:5">
      <c r="A4346" s="14">
        <v>43790</v>
      </c>
      <c r="B4346" s="12">
        <v>1500</v>
      </c>
      <c r="C4346" s="12" t="s">
        <v>26</v>
      </c>
      <c r="D4346" s="12" t="s">
        <v>19</v>
      </c>
      <c r="E4346" s="12">
        <v>-54473</v>
      </c>
    </row>
    <row r="4347" spans="1:5">
      <c r="A4347" s="15">
        <v>43790</v>
      </c>
      <c r="B4347" s="13">
        <v>2500</v>
      </c>
      <c r="C4347" s="13" t="s">
        <v>25</v>
      </c>
      <c r="D4347" s="13" t="s">
        <v>19</v>
      </c>
      <c r="E4347" s="13">
        <v>-21284</v>
      </c>
    </row>
    <row r="4348" spans="1:5">
      <c r="A4348" s="14">
        <v>43790</v>
      </c>
      <c r="B4348" s="12">
        <v>2512</v>
      </c>
      <c r="C4348" s="12" t="s">
        <v>16</v>
      </c>
      <c r="D4348" s="12" t="s">
        <v>19</v>
      </c>
      <c r="E4348" s="12">
        <v>-8230</v>
      </c>
    </row>
    <row r="4349" spans="1:5">
      <c r="A4349" s="15">
        <v>43790</v>
      </c>
      <c r="B4349" s="13">
        <v>2501</v>
      </c>
      <c r="C4349" s="13" t="s">
        <v>5</v>
      </c>
      <c r="D4349" s="13" t="s">
        <v>19</v>
      </c>
      <c r="E4349" s="13">
        <v>-108</v>
      </c>
    </row>
    <row r="4350" spans="1:5">
      <c r="A4350" s="14">
        <v>43790</v>
      </c>
      <c r="B4350" s="12">
        <v>2505</v>
      </c>
      <c r="C4350" s="12" t="s">
        <v>9</v>
      </c>
      <c r="D4350" s="12" t="s">
        <v>13</v>
      </c>
      <c r="E4350" s="12">
        <v>-552</v>
      </c>
    </row>
    <row r="4351" spans="1:5">
      <c r="A4351" s="15">
        <v>43790</v>
      </c>
      <c r="B4351" s="13">
        <v>2505</v>
      </c>
      <c r="C4351" s="13" t="s">
        <v>9</v>
      </c>
      <c r="D4351" s="13" t="s">
        <v>13</v>
      </c>
      <c r="E4351" s="13">
        <v>-493</v>
      </c>
    </row>
    <row r="4352" spans="1:5">
      <c r="A4352" s="14">
        <v>43790</v>
      </c>
      <c r="B4352" s="12">
        <v>2505</v>
      </c>
      <c r="C4352" s="12" t="s">
        <v>9</v>
      </c>
      <c r="D4352" s="12" t="s">
        <v>14</v>
      </c>
      <c r="E4352" s="12">
        <v>-583</v>
      </c>
    </row>
    <row r="4353" spans="1:5">
      <c r="A4353" s="15">
        <v>43790</v>
      </c>
      <c r="B4353" s="13">
        <v>2508</v>
      </c>
      <c r="C4353" s="13" t="s">
        <v>15</v>
      </c>
      <c r="D4353" s="13" t="s">
        <v>12</v>
      </c>
      <c r="E4353" s="13">
        <v>-84062</v>
      </c>
    </row>
    <row r="4354" spans="1:5">
      <c r="A4354" s="14">
        <v>43790</v>
      </c>
      <c r="B4354" s="12">
        <v>2512</v>
      </c>
      <c r="C4354" s="12" t="s">
        <v>16</v>
      </c>
      <c r="D4354" s="12" t="s">
        <v>6</v>
      </c>
      <c r="E4354" s="12">
        <v>-2715</v>
      </c>
    </row>
    <row r="4355" spans="1:5">
      <c r="A4355" s="15">
        <v>43790</v>
      </c>
      <c r="B4355" s="13">
        <v>2512</v>
      </c>
      <c r="C4355" s="13" t="s">
        <v>16</v>
      </c>
      <c r="D4355" s="13" t="s">
        <v>12</v>
      </c>
      <c r="E4355" s="13">
        <v>-1004</v>
      </c>
    </row>
    <row r="4356" spans="1:5">
      <c r="A4356" s="14">
        <v>43790</v>
      </c>
      <c r="B4356" s="12">
        <v>2512</v>
      </c>
      <c r="C4356" s="12" t="s">
        <v>16</v>
      </c>
      <c r="D4356" s="12" t="s">
        <v>13</v>
      </c>
      <c r="E4356" s="12">
        <v>-607</v>
      </c>
    </row>
    <row r="4357" spans="1:5">
      <c r="A4357" s="15">
        <v>43790</v>
      </c>
      <c r="B4357" s="13">
        <v>2513</v>
      </c>
      <c r="C4357" s="13" t="s">
        <v>17</v>
      </c>
      <c r="D4357" s="13" t="s">
        <v>12</v>
      </c>
      <c r="E4357" s="13">
        <v>-2032</v>
      </c>
    </row>
    <row r="4358" spans="1:5">
      <c r="A4358" s="14">
        <v>43790</v>
      </c>
      <c r="B4358" s="12">
        <v>2510</v>
      </c>
      <c r="C4358" s="12" t="s">
        <v>24</v>
      </c>
      <c r="D4358" s="12" t="s">
        <v>10</v>
      </c>
      <c r="E4358" s="12">
        <v>-1286</v>
      </c>
    </row>
    <row r="4359" spans="1:5">
      <c r="A4359" s="15">
        <v>43791</v>
      </c>
      <c r="B4359" s="13">
        <v>2500</v>
      </c>
      <c r="C4359" s="13" t="s">
        <v>25</v>
      </c>
      <c r="D4359" s="13" t="s">
        <v>19</v>
      </c>
      <c r="E4359" s="13">
        <v>-44714</v>
      </c>
    </row>
    <row r="4360" spans="1:5">
      <c r="A4360" s="14">
        <v>43791</v>
      </c>
      <c r="B4360" s="12">
        <v>2500</v>
      </c>
      <c r="C4360" s="12" t="s">
        <v>25</v>
      </c>
      <c r="D4360" s="12" t="s">
        <v>19</v>
      </c>
      <c r="E4360" s="12">
        <v>-31840</v>
      </c>
    </row>
    <row r="4361" spans="1:5">
      <c r="A4361" s="15">
        <v>43791</v>
      </c>
      <c r="B4361" s="13">
        <v>2510</v>
      </c>
      <c r="C4361" s="13" t="s">
        <v>24</v>
      </c>
      <c r="D4361" s="13" t="s">
        <v>19</v>
      </c>
      <c r="E4361" s="13">
        <v>-1017</v>
      </c>
    </row>
    <row r="4362" spans="1:5">
      <c r="A4362" s="14">
        <v>43791</v>
      </c>
      <c r="B4362" s="12">
        <v>2514</v>
      </c>
      <c r="C4362" s="12" t="s">
        <v>20</v>
      </c>
      <c r="D4362" s="12" t="s">
        <v>19</v>
      </c>
      <c r="E4362" s="12">
        <v>-919</v>
      </c>
    </row>
    <row r="4363" spans="1:5">
      <c r="A4363" s="15">
        <v>43791</v>
      </c>
      <c r="B4363" s="13">
        <v>2513</v>
      </c>
      <c r="C4363" s="13" t="s">
        <v>17</v>
      </c>
      <c r="D4363" s="13" t="s">
        <v>19</v>
      </c>
      <c r="E4363" s="13">
        <v>-818</v>
      </c>
    </row>
    <row r="4364" spans="1:5">
      <c r="A4364" s="14">
        <v>43791</v>
      </c>
      <c r="B4364" s="12">
        <v>2503</v>
      </c>
      <c r="C4364" s="12" t="s">
        <v>22</v>
      </c>
      <c r="D4364" s="12" t="s">
        <v>19</v>
      </c>
      <c r="E4364" s="12">
        <v>-199</v>
      </c>
    </row>
    <row r="4365" spans="1:5">
      <c r="A4365" s="15">
        <v>43791</v>
      </c>
      <c r="B4365" s="13">
        <v>2503</v>
      </c>
      <c r="C4365" s="13" t="s">
        <v>22</v>
      </c>
      <c r="D4365" s="13" t="s">
        <v>14</v>
      </c>
      <c r="E4365" s="13">
        <v>-423</v>
      </c>
    </row>
    <row r="4366" spans="1:5">
      <c r="A4366" s="14">
        <v>43791</v>
      </c>
      <c r="B4366" s="12">
        <v>2503</v>
      </c>
      <c r="C4366" s="12" t="s">
        <v>22</v>
      </c>
      <c r="D4366" s="12" t="s">
        <v>10</v>
      </c>
      <c r="E4366" s="12">
        <v>-319</v>
      </c>
    </row>
    <row r="4367" spans="1:5">
      <c r="A4367" s="15">
        <v>43791</v>
      </c>
      <c r="B4367" s="13">
        <v>2512</v>
      </c>
      <c r="C4367" s="13" t="s">
        <v>16</v>
      </c>
      <c r="D4367" s="13" t="s">
        <v>10</v>
      </c>
      <c r="E4367" s="13">
        <v>-2783</v>
      </c>
    </row>
    <row r="4368" spans="1:5">
      <c r="A4368" s="14">
        <v>43791</v>
      </c>
      <c r="B4368" s="12">
        <v>2513</v>
      </c>
      <c r="C4368" s="12" t="s">
        <v>17</v>
      </c>
      <c r="D4368" s="12" t="s">
        <v>12</v>
      </c>
      <c r="E4368" s="12">
        <v>-1909</v>
      </c>
    </row>
    <row r="4369" spans="1:5">
      <c r="A4369" s="15">
        <v>43791</v>
      </c>
      <c r="B4369" s="13">
        <v>2514</v>
      </c>
      <c r="C4369" s="13" t="s">
        <v>20</v>
      </c>
      <c r="D4369" s="13" t="s">
        <v>12</v>
      </c>
      <c r="E4369" s="13">
        <v>-1897</v>
      </c>
    </row>
    <row r="4370" spans="1:5">
      <c r="A4370" s="14">
        <v>43791</v>
      </c>
      <c r="B4370" s="12">
        <v>2514</v>
      </c>
      <c r="C4370" s="12" t="s">
        <v>20</v>
      </c>
      <c r="D4370" s="12" t="s">
        <v>6</v>
      </c>
      <c r="E4370" s="12">
        <v>-1314</v>
      </c>
    </row>
    <row r="4371" spans="1:5">
      <c r="A4371" s="15">
        <v>43791</v>
      </c>
      <c r="B4371" s="13">
        <v>2514</v>
      </c>
      <c r="C4371" s="13" t="s">
        <v>20</v>
      </c>
      <c r="D4371" s="13" t="s">
        <v>8</v>
      </c>
      <c r="E4371" s="13">
        <v>-1330</v>
      </c>
    </row>
    <row r="4372" spans="1:5">
      <c r="A4372" s="14">
        <v>43792</v>
      </c>
      <c r="B4372" s="12">
        <v>2500</v>
      </c>
      <c r="C4372" s="12" t="s">
        <v>25</v>
      </c>
      <c r="D4372" s="12" t="s">
        <v>19</v>
      </c>
      <c r="E4372" s="12">
        <v>-13680</v>
      </c>
    </row>
    <row r="4373" spans="1:5">
      <c r="A4373" s="15">
        <v>43792</v>
      </c>
      <c r="B4373" s="13">
        <v>2504</v>
      </c>
      <c r="C4373" s="13" t="s">
        <v>21</v>
      </c>
      <c r="D4373" s="13" t="s">
        <v>19</v>
      </c>
      <c r="E4373" s="13">
        <v>-1525</v>
      </c>
    </row>
    <row r="4374" spans="1:5">
      <c r="A4374" s="14">
        <v>43792</v>
      </c>
      <c r="B4374" s="12">
        <v>2505</v>
      </c>
      <c r="C4374" s="12" t="s">
        <v>9</v>
      </c>
      <c r="D4374" s="12" t="s">
        <v>19</v>
      </c>
      <c r="E4374" s="12">
        <v>-602</v>
      </c>
    </row>
    <row r="4375" spans="1:5">
      <c r="A4375" s="15">
        <v>43792</v>
      </c>
      <c r="B4375" s="13">
        <v>2502</v>
      </c>
      <c r="C4375" s="13" t="s">
        <v>7</v>
      </c>
      <c r="D4375" s="13" t="s">
        <v>6</v>
      </c>
      <c r="E4375" s="13">
        <v>-4715</v>
      </c>
    </row>
    <row r="4376" spans="1:5">
      <c r="A4376" s="14">
        <v>43792</v>
      </c>
      <c r="B4376" s="12">
        <v>2505</v>
      </c>
      <c r="C4376" s="12" t="s">
        <v>9</v>
      </c>
      <c r="D4376" s="12" t="s">
        <v>8</v>
      </c>
      <c r="E4376" s="12">
        <v>-629</v>
      </c>
    </row>
    <row r="4377" spans="1:5">
      <c r="A4377" s="15">
        <v>43792</v>
      </c>
      <c r="B4377" s="13">
        <v>2505</v>
      </c>
      <c r="C4377" s="13" t="s">
        <v>9</v>
      </c>
      <c r="D4377" s="13" t="s">
        <v>10</v>
      </c>
      <c r="E4377" s="13">
        <v>-469</v>
      </c>
    </row>
    <row r="4378" spans="1:5">
      <c r="A4378" s="14">
        <v>43792</v>
      </c>
      <c r="B4378" s="12">
        <v>2513</v>
      </c>
      <c r="C4378" s="12" t="s">
        <v>17</v>
      </c>
      <c r="D4378" s="12" t="s">
        <v>12</v>
      </c>
      <c r="E4378" s="12">
        <v>-1037</v>
      </c>
    </row>
    <row r="4379" spans="1:5">
      <c r="A4379" s="15">
        <v>43792</v>
      </c>
      <c r="B4379" s="13">
        <v>2514</v>
      </c>
      <c r="C4379" s="13" t="s">
        <v>20</v>
      </c>
      <c r="D4379" s="13" t="s">
        <v>6</v>
      </c>
      <c r="E4379" s="13">
        <v>-1062</v>
      </c>
    </row>
    <row r="4380" spans="1:5">
      <c r="A4380" s="14">
        <v>43793</v>
      </c>
      <c r="B4380" s="12">
        <v>2508</v>
      </c>
      <c r="C4380" s="12" t="s">
        <v>15</v>
      </c>
      <c r="D4380" s="12" t="s">
        <v>19</v>
      </c>
      <c r="E4380" s="12">
        <v>-55056</v>
      </c>
    </row>
    <row r="4381" spans="1:5">
      <c r="A4381" s="15">
        <v>43793</v>
      </c>
      <c r="B4381" s="13">
        <v>2508</v>
      </c>
      <c r="C4381" s="13" t="s">
        <v>15</v>
      </c>
      <c r="D4381" s="13" t="s">
        <v>19</v>
      </c>
      <c r="E4381" s="13">
        <v>-49928</v>
      </c>
    </row>
    <row r="4382" spans="1:5">
      <c r="A4382" s="14">
        <v>43793</v>
      </c>
      <c r="B4382" s="12">
        <v>2501</v>
      </c>
      <c r="C4382" s="12" t="s">
        <v>5</v>
      </c>
      <c r="D4382" s="12" t="s">
        <v>8</v>
      </c>
      <c r="E4382" s="12">
        <v>-114</v>
      </c>
    </row>
    <row r="4383" spans="1:5">
      <c r="A4383" s="15">
        <v>43793</v>
      </c>
      <c r="B4383" s="13">
        <v>2502</v>
      </c>
      <c r="C4383" s="13" t="s">
        <v>7</v>
      </c>
      <c r="D4383" s="13" t="s">
        <v>8</v>
      </c>
      <c r="E4383" s="13">
        <v>-4515</v>
      </c>
    </row>
    <row r="4384" spans="1:5">
      <c r="A4384" s="14">
        <v>43793</v>
      </c>
      <c r="B4384" s="12">
        <v>2502</v>
      </c>
      <c r="C4384" s="12" t="s">
        <v>7</v>
      </c>
      <c r="D4384" s="12" t="s">
        <v>12</v>
      </c>
      <c r="E4384" s="12">
        <v>-6501</v>
      </c>
    </row>
    <row r="4385" spans="1:5">
      <c r="A4385" s="15">
        <v>43793</v>
      </c>
      <c r="B4385" s="13">
        <v>2508</v>
      </c>
      <c r="C4385" s="13" t="s">
        <v>15</v>
      </c>
      <c r="D4385" s="13" t="s">
        <v>12</v>
      </c>
      <c r="E4385" s="13">
        <v>-96286</v>
      </c>
    </row>
    <row r="4386" spans="1:5">
      <c r="A4386" s="14">
        <v>43793</v>
      </c>
      <c r="B4386" s="12">
        <v>2512</v>
      </c>
      <c r="C4386" s="12" t="s">
        <v>16</v>
      </c>
      <c r="D4386" s="12" t="s">
        <v>10</v>
      </c>
      <c r="E4386" s="12">
        <v>-2405</v>
      </c>
    </row>
    <row r="4387" spans="1:5">
      <c r="A4387" s="15">
        <v>43793</v>
      </c>
      <c r="B4387" s="13">
        <v>2514</v>
      </c>
      <c r="C4387" s="13" t="s">
        <v>20</v>
      </c>
      <c r="D4387" s="13" t="s">
        <v>8</v>
      </c>
      <c r="E4387" s="13">
        <v>-1150</v>
      </c>
    </row>
    <row r="4388" spans="1:5">
      <c r="A4388" s="14">
        <v>43793</v>
      </c>
      <c r="B4388" s="12">
        <v>2501</v>
      </c>
      <c r="C4388" s="12" t="s">
        <v>5</v>
      </c>
      <c r="D4388" s="12" t="s">
        <v>19</v>
      </c>
      <c r="E4388" s="12">
        <v>-69</v>
      </c>
    </row>
    <row r="4389" spans="1:5">
      <c r="A4389" s="15">
        <v>43794</v>
      </c>
      <c r="B4389" s="13">
        <v>2000</v>
      </c>
      <c r="C4389" s="13" t="s">
        <v>18</v>
      </c>
      <c r="D4389" s="13" t="s">
        <v>19</v>
      </c>
      <c r="E4389" s="13">
        <v>-219877</v>
      </c>
    </row>
    <row r="4390" spans="1:5">
      <c r="A4390" s="14">
        <v>43794</v>
      </c>
      <c r="B4390" s="12">
        <v>2502</v>
      </c>
      <c r="C4390" s="12" t="s">
        <v>7</v>
      </c>
      <c r="D4390" s="12" t="s">
        <v>19</v>
      </c>
      <c r="E4390" s="12">
        <v>-4749</v>
      </c>
    </row>
    <row r="4391" spans="1:5">
      <c r="A4391" s="15">
        <v>43794</v>
      </c>
      <c r="B4391" s="13">
        <v>2512</v>
      </c>
      <c r="C4391" s="13" t="s">
        <v>16</v>
      </c>
      <c r="D4391" s="13" t="s">
        <v>19</v>
      </c>
      <c r="E4391" s="13">
        <v>-4706</v>
      </c>
    </row>
    <row r="4392" spans="1:5">
      <c r="A4392" s="14">
        <v>43794</v>
      </c>
      <c r="B4392" s="12">
        <v>2502</v>
      </c>
      <c r="C4392" s="12" t="s">
        <v>7</v>
      </c>
      <c r="D4392" s="12" t="s">
        <v>19</v>
      </c>
      <c r="E4392" s="12">
        <v>-3570</v>
      </c>
    </row>
    <row r="4393" spans="1:5">
      <c r="A4393" s="15">
        <v>43794</v>
      </c>
      <c r="B4393" s="13">
        <v>2510</v>
      </c>
      <c r="C4393" s="13" t="s">
        <v>24</v>
      </c>
      <c r="D4393" s="13" t="s">
        <v>19</v>
      </c>
      <c r="E4393" s="13">
        <v>-1314</v>
      </c>
    </row>
    <row r="4394" spans="1:5">
      <c r="A4394" s="14">
        <v>43794</v>
      </c>
      <c r="B4394" s="12">
        <v>2510</v>
      </c>
      <c r="C4394" s="12" t="s">
        <v>24</v>
      </c>
      <c r="D4394" s="12" t="s">
        <v>19</v>
      </c>
      <c r="E4394" s="12">
        <v>-777</v>
      </c>
    </row>
    <row r="4395" spans="1:5">
      <c r="A4395" s="15">
        <v>43794</v>
      </c>
      <c r="B4395" s="13">
        <v>2513</v>
      </c>
      <c r="C4395" s="13" t="s">
        <v>17</v>
      </c>
      <c r="D4395" s="13" t="s">
        <v>19</v>
      </c>
      <c r="E4395" s="13">
        <v>-357</v>
      </c>
    </row>
    <row r="4396" spans="1:5">
      <c r="A4396" s="14">
        <v>43794</v>
      </c>
      <c r="B4396" s="12">
        <v>2503</v>
      </c>
      <c r="C4396" s="12" t="s">
        <v>22</v>
      </c>
      <c r="D4396" s="12" t="s">
        <v>19</v>
      </c>
      <c r="E4396" s="12">
        <v>-322</v>
      </c>
    </row>
    <row r="4397" spans="1:5">
      <c r="A4397" s="15">
        <v>43794</v>
      </c>
      <c r="B4397" s="13">
        <v>2503</v>
      </c>
      <c r="C4397" s="13" t="s">
        <v>22</v>
      </c>
      <c r="D4397" s="13" t="s">
        <v>19</v>
      </c>
      <c r="E4397" s="13">
        <v>-270</v>
      </c>
    </row>
    <row r="4398" spans="1:5">
      <c r="A4398" s="14">
        <v>43794</v>
      </c>
      <c r="B4398" s="12">
        <v>2501</v>
      </c>
      <c r="C4398" s="12" t="s">
        <v>5</v>
      </c>
      <c r="D4398" s="12" t="s">
        <v>19</v>
      </c>
      <c r="E4398" s="12">
        <v>-147</v>
      </c>
    </row>
    <row r="4399" spans="1:5">
      <c r="A4399" s="15">
        <v>43794</v>
      </c>
      <c r="B4399" s="13">
        <v>2501</v>
      </c>
      <c r="C4399" s="13" t="s">
        <v>5</v>
      </c>
      <c r="D4399" s="13" t="s">
        <v>19</v>
      </c>
      <c r="E4399" s="13">
        <v>-118</v>
      </c>
    </row>
    <row r="4400" spans="1:5">
      <c r="A4400" s="14">
        <v>43794</v>
      </c>
      <c r="B4400" s="12">
        <v>2501</v>
      </c>
      <c r="C4400" s="12" t="s">
        <v>5</v>
      </c>
      <c r="D4400" s="12" t="s">
        <v>10</v>
      </c>
      <c r="E4400" s="12">
        <v>-137</v>
      </c>
    </row>
    <row r="4401" spans="1:5">
      <c r="A4401" s="15">
        <v>43794</v>
      </c>
      <c r="B4401" s="13">
        <v>2502</v>
      </c>
      <c r="C4401" s="13" t="s">
        <v>7</v>
      </c>
      <c r="D4401" s="13" t="s">
        <v>6</v>
      </c>
      <c r="E4401" s="13">
        <v>-5334</v>
      </c>
    </row>
    <row r="4402" spans="1:5">
      <c r="A4402" s="14">
        <v>43794</v>
      </c>
      <c r="B4402" s="12">
        <v>2503</v>
      </c>
      <c r="C4402" s="12" t="s">
        <v>22</v>
      </c>
      <c r="D4402" s="12" t="s">
        <v>8</v>
      </c>
      <c r="E4402" s="12">
        <v>-363</v>
      </c>
    </row>
    <row r="4403" spans="1:5">
      <c r="A4403" s="15">
        <v>43794</v>
      </c>
      <c r="B4403" s="13">
        <v>2505</v>
      </c>
      <c r="C4403" s="13" t="s">
        <v>9</v>
      </c>
      <c r="D4403" s="13" t="s">
        <v>13</v>
      </c>
      <c r="E4403" s="13">
        <v>-525</v>
      </c>
    </row>
    <row r="4404" spans="1:5">
      <c r="A4404" s="14">
        <v>43794</v>
      </c>
      <c r="B4404" s="12">
        <v>2506</v>
      </c>
      <c r="C4404" s="12" t="s">
        <v>27</v>
      </c>
      <c r="D4404" s="12" t="s">
        <v>14</v>
      </c>
      <c r="E4404" s="12">
        <v>-597</v>
      </c>
    </row>
    <row r="4405" spans="1:5">
      <c r="A4405" s="15">
        <v>43794</v>
      </c>
      <c r="B4405" s="13">
        <v>2508</v>
      </c>
      <c r="C4405" s="13" t="s">
        <v>15</v>
      </c>
      <c r="D4405" s="13" t="s">
        <v>13</v>
      </c>
      <c r="E4405" s="13">
        <v>-57988</v>
      </c>
    </row>
    <row r="4406" spans="1:5">
      <c r="A4406" s="14">
        <v>43794</v>
      </c>
      <c r="B4406" s="12">
        <v>2512</v>
      </c>
      <c r="C4406" s="12" t="s">
        <v>16</v>
      </c>
      <c r="D4406" s="12" t="s">
        <v>6</v>
      </c>
      <c r="E4406" s="12">
        <v>-2946</v>
      </c>
    </row>
    <row r="4407" spans="1:5">
      <c r="A4407" s="15">
        <v>43794</v>
      </c>
      <c r="B4407" s="13">
        <v>2513</v>
      </c>
      <c r="C4407" s="13" t="s">
        <v>17</v>
      </c>
      <c r="D4407" s="13" t="s">
        <v>13</v>
      </c>
      <c r="E4407" s="13">
        <v>-668</v>
      </c>
    </row>
    <row r="4408" spans="1:5">
      <c r="A4408" s="14">
        <v>43794</v>
      </c>
      <c r="B4408" s="12">
        <v>2513</v>
      </c>
      <c r="C4408" s="12" t="s">
        <v>17</v>
      </c>
      <c r="D4408" s="12" t="s">
        <v>6</v>
      </c>
      <c r="E4408" s="12">
        <v>-529</v>
      </c>
    </row>
    <row r="4409" spans="1:5">
      <c r="A4409" s="15">
        <v>43795</v>
      </c>
      <c r="B4409" s="13">
        <v>2000</v>
      </c>
      <c r="C4409" s="13" t="s">
        <v>18</v>
      </c>
      <c r="D4409" s="13" t="s">
        <v>19</v>
      </c>
      <c r="E4409" s="13">
        <v>-171099</v>
      </c>
    </row>
    <row r="4410" spans="1:5">
      <c r="A4410" s="14">
        <v>43795</v>
      </c>
      <c r="B4410" s="12">
        <v>2502</v>
      </c>
      <c r="C4410" s="12" t="s">
        <v>7</v>
      </c>
      <c r="D4410" s="12" t="s">
        <v>19</v>
      </c>
      <c r="E4410" s="12">
        <v>-4993</v>
      </c>
    </row>
    <row r="4411" spans="1:5">
      <c r="A4411" s="15">
        <v>43795</v>
      </c>
      <c r="B4411" s="13">
        <v>2502</v>
      </c>
      <c r="C4411" s="13" t="s">
        <v>7</v>
      </c>
      <c r="D4411" s="13" t="s">
        <v>19</v>
      </c>
      <c r="E4411" s="13">
        <v>-4086</v>
      </c>
    </row>
    <row r="4412" spans="1:5">
      <c r="A4412" s="14">
        <v>43795</v>
      </c>
      <c r="B4412" s="12">
        <v>2510</v>
      </c>
      <c r="C4412" s="12" t="s">
        <v>24</v>
      </c>
      <c r="D4412" s="12" t="s">
        <v>19</v>
      </c>
      <c r="E4412" s="12">
        <v>-1268</v>
      </c>
    </row>
    <row r="4413" spans="1:5">
      <c r="A4413" s="15">
        <v>43795</v>
      </c>
      <c r="B4413" s="13">
        <v>2501</v>
      </c>
      <c r="C4413" s="13" t="s">
        <v>5</v>
      </c>
      <c r="D4413" s="13" t="s">
        <v>13</v>
      </c>
      <c r="E4413" s="13">
        <v>-112</v>
      </c>
    </row>
    <row r="4414" spans="1:5">
      <c r="A4414" s="14">
        <v>43795</v>
      </c>
      <c r="B4414" s="12">
        <v>2505</v>
      </c>
      <c r="C4414" s="12" t="s">
        <v>9</v>
      </c>
      <c r="D4414" s="12" t="s">
        <v>6</v>
      </c>
      <c r="E4414" s="12">
        <v>-719</v>
      </c>
    </row>
    <row r="4415" spans="1:5">
      <c r="A4415" s="15">
        <v>43795</v>
      </c>
      <c r="B4415" s="13">
        <v>2506</v>
      </c>
      <c r="C4415" s="13" t="s">
        <v>27</v>
      </c>
      <c r="D4415" s="13" t="s">
        <v>14</v>
      </c>
      <c r="E4415" s="13">
        <v>-483</v>
      </c>
    </row>
    <row r="4416" spans="1:5">
      <c r="A4416" s="14">
        <v>43795</v>
      </c>
      <c r="B4416" s="12">
        <v>2510</v>
      </c>
      <c r="C4416" s="12" t="s">
        <v>24</v>
      </c>
      <c r="D4416" s="12" t="s">
        <v>8</v>
      </c>
      <c r="E4416" s="12">
        <v>-1627</v>
      </c>
    </row>
    <row r="4417" spans="1:5">
      <c r="A4417" s="15">
        <v>43796</v>
      </c>
      <c r="B4417" s="13">
        <v>2502</v>
      </c>
      <c r="C4417" s="13" t="s">
        <v>7</v>
      </c>
      <c r="D4417" s="13" t="s">
        <v>19</v>
      </c>
      <c r="E4417" s="13">
        <v>-4769</v>
      </c>
    </row>
    <row r="4418" spans="1:5">
      <c r="A4418" s="14">
        <v>43796</v>
      </c>
      <c r="B4418" s="12">
        <v>2504</v>
      </c>
      <c r="C4418" s="12" t="s">
        <v>21</v>
      </c>
      <c r="D4418" s="12" t="s">
        <v>19</v>
      </c>
      <c r="E4418" s="12">
        <v>-1516</v>
      </c>
    </row>
    <row r="4419" spans="1:5">
      <c r="A4419" s="15">
        <v>43796</v>
      </c>
      <c r="B4419" s="13">
        <v>2514</v>
      </c>
      <c r="C4419" s="13" t="s">
        <v>20</v>
      </c>
      <c r="D4419" s="13" t="s">
        <v>19</v>
      </c>
      <c r="E4419" s="13">
        <v>-812</v>
      </c>
    </row>
    <row r="4420" spans="1:5">
      <c r="A4420" s="14">
        <v>43796</v>
      </c>
      <c r="B4420" s="12">
        <v>2510</v>
      </c>
      <c r="C4420" s="12" t="s">
        <v>24</v>
      </c>
      <c r="D4420" s="12" t="s">
        <v>19</v>
      </c>
      <c r="E4420" s="12">
        <v>-697</v>
      </c>
    </row>
    <row r="4421" spans="1:5">
      <c r="A4421" s="15">
        <v>43796</v>
      </c>
      <c r="B4421" s="13">
        <v>2505</v>
      </c>
      <c r="C4421" s="13" t="s">
        <v>9</v>
      </c>
      <c r="D4421" s="13" t="s">
        <v>19</v>
      </c>
      <c r="E4421" s="13">
        <v>-374</v>
      </c>
    </row>
    <row r="4422" spans="1:5">
      <c r="A4422" s="14">
        <v>43796</v>
      </c>
      <c r="B4422" s="12">
        <v>2502</v>
      </c>
      <c r="C4422" s="12" t="s">
        <v>7</v>
      </c>
      <c r="D4422" s="12" t="s">
        <v>10</v>
      </c>
      <c r="E4422" s="12">
        <v>-3649</v>
      </c>
    </row>
    <row r="4423" spans="1:5">
      <c r="A4423" s="15">
        <v>43796</v>
      </c>
      <c r="B4423" s="13">
        <v>2502</v>
      </c>
      <c r="C4423" s="13" t="s">
        <v>7</v>
      </c>
      <c r="D4423" s="13" t="s">
        <v>8</v>
      </c>
      <c r="E4423" s="13">
        <v>-5799</v>
      </c>
    </row>
    <row r="4424" spans="1:5">
      <c r="A4424" s="14">
        <v>43796</v>
      </c>
      <c r="B4424" s="12">
        <v>2512</v>
      </c>
      <c r="C4424" s="12" t="s">
        <v>16</v>
      </c>
      <c r="D4424" s="12" t="s">
        <v>12</v>
      </c>
      <c r="E4424" s="12">
        <v>-992</v>
      </c>
    </row>
    <row r="4425" spans="1:5">
      <c r="A4425" s="15">
        <v>43796</v>
      </c>
      <c r="B4425" s="13">
        <v>2512</v>
      </c>
      <c r="C4425" s="13" t="s">
        <v>16</v>
      </c>
      <c r="D4425" s="13" t="s">
        <v>13</v>
      </c>
      <c r="E4425" s="13">
        <v>-426</v>
      </c>
    </row>
    <row r="4426" spans="1:5">
      <c r="A4426" s="14">
        <v>43796</v>
      </c>
      <c r="B4426" s="12">
        <v>1000</v>
      </c>
      <c r="C4426" s="12" t="s">
        <v>23</v>
      </c>
      <c r="D4426" s="12" t="s">
        <v>19</v>
      </c>
      <c r="E4426" s="12">
        <v>1370642</v>
      </c>
    </row>
    <row r="4427" spans="1:5">
      <c r="A4427" s="15">
        <v>43797</v>
      </c>
      <c r="B4427" s="13">
        <v>2500</v>
      </c>
      <c r="C4427" s="13" t="s">
        <v>25</v>
      </c>
      <c r="D4427" s="13" t="s">
        <v>19</v>
      </c>
      <c r="E4427" s="13">
        <v>-45402</v>
      </c>
    </row>
    <row r="4428" spans="1:5">
      <c r="A4428" s="14">
        <v>43797</v>
      </c>
      <c r="B4428" s="12">
        <v>2512</v>
      </c>
      <c r="C4428" s="12" t="s">
        <v>16</v>
      </c>
      <c r="D4428" s="12" t="s">
        <v>19</v>
      </c>
      <c r="E4428" s="12">
        <v>-7599</v>
      </c>
    </row>
    <row r="4429" spans="1:5">
      <c r="A4429" s="15">
        <v>43797</v>
      </c>
      <c r="B4429" s="13">
        <v>1500</v>
      </c>
      <c r="C4429" s="13" t="s">
        <v>26</v>
      </c>
      <c r="D4429" s="13" t="s">
        <v>19</v>
      </c>
      <c r="E4429" s="13">
        <v>-1104</v>
      </c>
    </row>
    <row r="4430" spans="1:5">
      <c r="A4430" s="14">
        <v>43797</v>
      </c>
      <c r="B4430" s="12">
        <v>2503</v>
      </c>
      <c r="C4430" s="12" t="s">
        <v>22</v>
      </c>
      <c r="D4430" s="12" t="s">
        <v>19</v>
      </c>
      <c r="E4430" s="12">
        <v>-225</v>
      </c>
    </row>
    <row r="4431" spans="1:5">
      <c r="A4431" s="15">
        <v>43797</v>
      </c>
      <c r="B4431" s="13">
        <v>2501</v>
      </c>
      <c r="C4431" s="13" t="s">
        <v>5</v>
      </c>
      <c r="D4431" s="13" t="s">
        <v>12</v>
      </c>
      <c r="E4431" s="13">
        <v>-209</v>
      </c>
    </row>
    <row r="4432" spans="1:5">
      <c r="A4432" s="14">
        <v>43797</v>
      </c>
      <c r="B4432" s="12">
        <v>2503</v>
      </c>
      <c r="C4432" s="12" t="s">
        <v>22</v>
      </c>
      <c r="D4432" s="12" t="s">
        <v>10</v>
      </c>
      <c r="E4432" s="12">
        <v>-372</v>
      </c>
    </row>
    <row r="4433" spans="1:5">
      <c r="A4433" s="15">
        <v>43797</v>
      </c>
      <c r="B4433" s="13">
        <v>2503</v>
      </c>
      <c r="C4433" s="13" t="s">
        <v>22</v>
      </c>
      <c r="D4433" s="13" t="s">
        <v>8</v>
      </c>
      <c r="E4433" s="13">
        <v>-407</v>
      </c>
    </row>
    <row r="4434" spans="1:5">
      <c r="A4434" s="14">
        <v>43797</v>
      </c>
      <c r="B4434" s="12">
        <v>2508</v>
      </c>
      <c r="C4434" s="12" t="s">
        <v>15</v>
      </c>
      <c r="D4434" s="12" t="s">
        <v>14</v>
      </c>
      <c r="E4434" s="12">
        <v>-56055</v>
      </c>
    </row>
    <row r="4435" spans="1:5">
      <c r="A4435" s="15">
        <v>43797</v>
      </c>
      <c r="B4435" s="13">
        <v>2514</v>
      </c>
      <c r="C4435" s="13" t="s">
        <v>20</v>
      </c>
      <c r="D4435" s="13" t="s">
        <v>6</v>
      </c>
      <c r="E4435" s="13">
        <v>-1354</v>
      </c>
    </row>
    <row r="4436" spans="1:5">
      <c r="A4436" s="14">
        <v>43798</v>
      </c>
      <c r="B4436" s="12">
        <v>2000</v>
      </c>
      <c r="C4436" s="12" t="s">
        <v>18</v>
      </c>
      <c r="D4436" s="12" t="s">
        <v>19</v>
      </c>
      <c r="E4436" s="12">
        <v>-172401</v>
      </c>
    </row>
    <row r="4437" spans="1:5">
      <c r="A4437" s="15">
        <v>43798</v>
      </c>
      <c r="B4437" s="13">
        <v>1500</v>
      </c>
      <c r="C4437" s="13" t="s">
        <v>26</v>
      </c>
      <c r="D4437" s="13" t="s">
        <v>19</v>
      </c>
      <c r="E4437" s="13">
        <v>-49434</v>
      </c>
    </row>
    <row r="4438" spans="1:5">
      <c r="A4438" s="14">
        <v>43798</v>
      </c>
      <c r="B4438" s="12">
        <v>2502</v>
      </c>
      <c r="C4438" s="12" t="s">
        <v>7</v>
      </c>
      <c r="D4438" s="12" t="s">
        <v>19</v>
      </c>
      <c r="E4438" s="12">
        <v>-3364</v>
      </c>
    </row>
    <row r="4439" spans="1:5">
      <c r="A4439" s="15">
        <v>43798</v>
      </c>
      <c r="B4439" s="13">
        <v>2513</v>
      </c>
      <c r="C4439" s="13" t="s">
        <v>17</v>
      </c>
      <c r="D4439" s="13" t="s">
        <v>19</v>
      </c>
      <c r="E4439" s="13">
        <v>-962</v>
      </c>
    </row>
    <row r="4440" spans="1:5">
      <c r="A4440" s="14">
        <v>43798</v>
      </c>
      <c r="B4440" s="12">
        <v>2514</v>
      </c>
      <c r="C4440" s="12" t="s">
        <v>20</v>
      </c>
      <c r="D4440" s="12" t="s">
        <v>19</v>
      </c>
      <c r="E4440" s="12">
        <v>-848</v>
      </c>
    </row>
    <row r="4441" spans="1:5">
      <c r="A4441" s="15">
        <v>43798</v>
      </c>
      <c r="B4441" s="13">
        <v>2501</v>
      </c>
      <c r="C4441" s="13" t="s">
        <v>5</v>
      </c>
      <c r="D4441" s="13" t="s">
        <v>19</v>
      </c>
      <c r="E4441" s="13">
        <v>-114</v>
      </c>
    </row>
    <row r="4442" spans="1:5">
      <c r="A4442" s="14">
        <v>43798</v>
      </c>
      <c r="B4442" s="12">
        <v>2501</v>
      </c>
      <c r="C4442" s="12" t="s">
        <v>5</v>
      </c>
      <c r="D4442" s="12" t="s">
        <v>8</v>
      </c>
      <c r="E4442" s="12">
        <v>-94</v>
      </c>
    </row>
    <row r="4443" spans="1:5">
      <c r="A4443" s="15">
        <v>43798</v>
      </c>
      <c r="B4443" s="13">
        <v>2501</v>
      </c>
      <c r="C4443" s="13" t="s">
        <v>5</v>
      </c>
      <c r="D4443" s="13" t="s">
        <v>6</v>
      </c>
      <c r="E4443" s="13">
        <v>-195</v>
      </c>
    </row>
    <row r="4444" spans="1:5">
      <c r="A4444" s="14">
        <v>43798</v>
      </c>
      <c r="B4444" s="12">
        <v>2503</v>
      </c>
      <c r="C4444" s="12" t="s">
        <v>22</v>
      </c>
      <c r="D4444" s="12" t="s">
        <v>10</v>
      </c>
      <c r="E4444" s="12">
        <v>-284</v>
      </c>
    </row>
    <row r="4445" spans="1:5">
      <c r="A4445" s="15">
        <v>43798</v>
      </c>
      <c r="B4445" s="13">
        <v>2505</v>
      </c>
      <c r="C4445" s="13" t="s">
        <v>9</v>
      </c>
      <c r="D4445" s="13" t="s">
        <v>8</v>
      </c>
      <c r="E4445" s="13">
        <v>-779</v>
      </c>
    </row>
    <row r="4446" spans="1:5">
      <c r="A4446" s="14">
        <v>43798</v>
      </c>
      <c r="B4446" s="12">
        <v>2512</v>
      </c>
      <c r="C4446" s="12" t="s">
        <v>16</v>
      </c>
      <c r="D4446" s="12" t="s">
        <v>12</v>
      </c>
      <c r="E4446" s="12">
        <v>-934</v>
      </c>
    </row>
    <row r="4447" spans="1:5">
      <c r="A4447" s="15">
        <v>43798</v>
      </c>
      <c r="B4447" s="13">
        <v>2513</v>
      </c>
      <c r="C4447" s="13" t="s">
        <v>17</v>
      </c>
      <c r="D4447" s="13" t="s">
        <v>13</v>
      </c>
      <c r="E4447" s="13">
        <v>-835</v>
      </c>
    </row>
    <row r="4448" spans="1:5">
      <c r="A4448" s="14">
        <v>43798</v>
      </c>
      <c r="B4448" s="12">
        <v>2501</v>
      </c>
      <c r="C4448" s="12" t="s">
        <v>5</v>
      </c>
      <c r="D4448" s="12" t="s">
        <v>19</v>
      </c>
      <c r="E4448" s="12">
        <v>-64</v>
      </c>
    </row>
    <row r="4449" spans="1:5">
      <c r="A4449" s="15">
        <v>43799</v>
      </c>
      <c r="B4449" s="13">
        <v>2500</v>
      </c>
      <c r="C4449" s="13" t="s">
        <v>25</v>
      </c>
      <c r="D4449" s="13" t="s">
        <v>19</v>
      </c>
      <c r="E4449" s="13">
        <v>-50889</v>
      </c>
    </row>
    <row r="4450" spans="1:5">
      <c r="A4450" s="14">
        <v>43799</v>
      </c>
      <c r="B4450" s="12">
        <v>2508</v>
      </c>
      <c r="C4450" s="12" t="s">
        <v>15</v>
      </c>
      <c r="D4450" s="12" t="s">
        <v>14</v>
      </c>
      <c r="E4450" s="12">
        <v>-53254</v>
      </c>
    </row>
    <row r="4451" spans="1:5">
      <c r="A4451" s="15">
        <v>43799</v>
      </c>
      <c r="B4451" s="13">
        <v>2512</v>
      </c>
      <c r="C4451" s="13" t="s">
        <v>16</v>
      </c>
      <c r="D4451" s="13" t="s">
        <v>14</v>
      </c>
      <c r="E4451" s="13">
        <v>-2770</v>
      </c>
    </row>
    <row r="4452" spans="1:5">
      <c r="A4452" s="14">
        <v>43799</v>
      </c>
      <c r="B4452" s="12">
        <v>2512</v>
      </c>
      <c r="C4452" s="12" t="s">
        <v>16</v>
      </c>
      <c r="D4452" s="12" t="s">
        <v>8</v>
      </c>
      <c r="E4452" s="12">
        <v>-3584</v>
      </c>
    </row>
    <row r="4453" spans="1:5">
      <c r="A4453" s="15">
        <v>43799</v>
      </c>
      <c r="B4453" s="13">
        <v>2513</v>
      </c>
      <c r="C4453" s="13" t="s">
        <v>17</v>
      </c>
      <c r="D4453" s="13" t="s">
        <v>14</v>
      </c>
      <c r="E4453" s="13">
        <v>-1105</v>
      </c>
    </row>
    <row r="4454" spans="1:5">
      <c r="A4454" s="14">
        <v>43800</v>
      </c>
      <c r="B4454" s="12">
        <v>2500</v>
      </c>
      <c r="C4454" s="12" t="s">
        <v>25</v>
      </c>
      <c r="D4454" s="12" t="s">
        <v>19</v>
      </c>
      <c r="E4454" s="12">
        <v>-46494</v>
      </c>
    </row>
    <row r="4455" spans="1:5">
      <c r="A4455" s="15">
        <v>43800</v>
      </c>
      <c r="B4455" s="13">
        <v>2508</v>
      </c>
      <c r="C4455" s="13" t="s">
        <v>15</v>
      </c>
      <c r="D4455" s="13" t="s">
        <v>19</v>
      </c>
      <c r="E4455" s="13">
        <v>-45790</v>
      </c>
    </row>
    <row r="4456" spans="1:5">
      <c r="A4456" s="14">
        <v>43800</v>
      </c>
      <c r="B4456" s="12">
        <v>2512</v>
      </c>
      <c r="C4456" s="12" t="s">
        <v>16</v>
      </c>
      <c r="D4456" s="12" t="s">
        <v>19</v>
      </c>
      <c r="E4456" s="12">
        <v>-8945</v>
      </c>
    </row>
    <row r="4457" spans="1:5">
      <c r="A4457" s="15">
        <v>43800</v>
      </c>
      <c r="B4457" s="13">
        <v>2507</v>
      </c>
      <c r="C4457" s="13" t="s">
        <v>11</v>
      </c>
      <c r="D4457" s="13" t="s">
        <v>19</v>
      </c>
      <c r="E4457" s="13">
        <v>-2180</v>
      </c>
    </row>
    <row r="4458" spans="1:5">
      <c r="A4458" s="14">
        <v>43800</v>
      </c>
      <c r="B4458" s="12">
        <v>2505</v>
      </c>
      <c r="C4458" s="12" t="s">
        <v>9</v>
      </c>
      <c r="D4458" s="12" t="s">
        <v>19</v>
      </c>
      <c r="E4458" s="12">
        <v>-370</v>
      </c>
    </row>
    <row r="4459" spans="1:5">
      <c r="A4459" s="15">
        <v>43800</v>
      </c>
      <c r="B4459" s="13">
        <v>2503</v>
      </c>
      <c r="C4459" s="13" t="s">
        <v>22</v>
      </c>
      <c r="D4459" s="13" t="s">
        <v>19</v>
      </c>
      <c r="E4459" s="13">
        <v>-310</v>
      </c>
    </row>
    <row r="4460" spans="1:5">
      <c r="A4460" s="14">
        <v>43800</v>
      </c>
      <c r="B4460" s="12">
        <v>2503</v>
      </c>
      <c r="C4460" s="12" t="s">
        <v>22</v>
      </c>
      <c r="D4460" s="12" t="s">
        <v>19</v>
      </c>
      <c r="E4460" s="12">
        <v>-228</v>
      </c>
    </row>
    <row r="4461" spans="1:5">
      <c r="A4461" s="15">
        <v>43800</v>
      </c>
      <c r="B4461" s="13">
        <v>2501</v>
      </c>
      <c r="C4461" s="13" t="s">
        <v>5</v>
      </c>
      <c r="D4461" s="13" t="s">
        <v>19</v>
      </c>
      <c r="E4461" s="13">
        <v>-133</v>
      </c>
    </row>
    <row r="4462" spans="1:5">
      <c r="A4462" s="14">
        <v>43800</v>
      </c>
      <c r="B4462" s="12">
        <v>2503</v>
      </c>
      <c r="C4462" s="12" t="s">
        <v>22</v>
      </c>
      <c r="D4462" s="12" t="s">
        <v>6</v>
      </c>
      <c r="E4462" s="12">
        <v>-335</v>
      </c>
    </row>
    <row r="4463" spans="1:5">
      <c r="A4463" s="15">
        <v>43800</v>
      </c>
      <c r="B4463" s="13">
        <v>2503</v>
      </c>
      <c r="C4463" s="13" t="s">
        <v>22</v>
      </c>
      <c r="D4463" s="13" t="s">
        <v>13</v>
      </c>
      <c r="E4463" s="13">
        <v>-266</v>
      </c>
    </row>
    <row r="4464" spans="1:5">
      <c r="A4464" s="14">
        <v>43800</v>
      </c>
      <c r="B4464" s="12">
        <v>2503</v>
      </c>
      <c r="C4464" s="12" t="s">
        <v>22</v>
      </c>
      <c r="D4464" s="12" t="s">
        <v>13</v>
      </c>
      <c r="E4464" s="12">
        <v>-277</v>
      </c>
    </row>
    <row r="4465" spans="1:5">
      <c r="A4465" s="15">
        <v>43800</v>
      </c>
      <c r="B4465" s="13">
        <v>2507</v>
      </c>
      <c r="C4465" s="13" t="s">
        <v>11</v>
      </c>
      <c r="D4465" s="13" t="s">
        <v>12</v>
      </c>
      <c r="E4465" s="13">
        <v>-2320</v>
      </c>
    </row>
    <row r="4466" spans="1:5">
      <c r="A4466" s="14">
        <v>43800</v>
      </c>
      <c r="B4466" s="12">
        <v>2507</v>
      </c>
      <c r="C4466" s="12" t="s">
        <v>11</v>
      </c>
      <c r="D4466" s="12" t="s">
        <v>13</v>
      </c>
      <c r="E4466" s="12">
        <v>-2080</v>
      </c>
    </row>
    <row r="4467" spans="1:5">
      <c r="A4467" s="15">
        <v>43800</v>
      </c>
      <c r="B4467" s="13">
        <v>2507</v>
      </c>
      <c r="C4467" s="13" t="s">
        <v>11</v>
      </c>
      <c r="D4467" s="13" t="s">
        <v>8</v>
      </c>
      <c r="E4467" s="13">
        <v>-1960</v>
      </c>
    </row>
    <row r="4468" spans="1:5">
      <c r="A4468" s="14">
        <v>43800</v>
      </c>
      <c r="B4468" s="12">
        <v>2507</v>
      </c>
      <c r="C4468" s="12" t="s">
        <v>11</v>
      </c>
      <c r="D4468" s="12" t="s">
        <v>10</v>
      </c>
      <c r="E4468" s="12">
        <v>-1550</v>
      </c>
    </row>
    <row r="4469" spans="1:5">
      <c r="A4469" s="15">
        <v>43800</v>
      </c>
      <c r="B4469" s="13">
        <v>2507</v>
      </c>
      <c r="C4469" s="13" t="s">
        <v>11</v>
      </c>
      <c r="D4469" s="13" t="s">
        <v>6</v>
      </c>
      <c r="E4469" s="13">
        <v>-1770</v>
      </c>
    </row>
    <row r="4470" spans="1:5">
      <c r="A4470" s="14">
        <v>43800</v>
      </c>
      <c r="B4470" s="12">
        <v>2507</v>
      </c>
      <c r="C4470" s="12" t="s">
        <v>11</v>
      </c>
      <c r="D4470" s="12" t="s">
        <v>14</v>
      </c>
      <c r="E4470" s="12">
        <v>-1130</v>
      </c>
    </row>
    <row r="4471" spans="1:5">
      <c r="A4471" s="15">
        <v>43800</v>
      </c>
      <c r="B4471" s="13">
        <v>2514</v>
      </c>
      <c r="C4471" s="13" t="s">
        <v>20</v>
      </c>
      <c r="D4471" s="13" t="s">
        <v>8</v>
      </c>
      <c r="E4471" s="13">
        <v>-1075</v>
      </c>
    </row>
    <row r="4472" spans="1:5">
      <c r="A4472" s="14">
        <v>43800</v>
      </c>
      <c r="B4472" s="12">
        <v>2514</v>
      </c>
      <c r="C4472" s="12" t="s">
        <v>20</v>
      </c>
      <c r="D4472" s="12" t="s">
        <v>6</v>
      </c>
      <c r="E4472" s="12">
        <v>-1292</v>
      </c>
    </row>
    <row r="4473" spans="1:5">
      <c r="A4473" s="15">
        <v>43801</v>
      </c>
      <c r="B4473" s="13">
        <v>2000</v>
      </c>
      <c r="C4473" s="13" t="s">
        <v>18</v>
      </c>
      <c r="D4473" s="13" t="s">
        <v>19</v>
      </c>
      <c r="E4473" s="13">
        <v>-247402</v>
      </c>
    </row>
    <row r="4474" spans="1:5">
      <c r="A4474" s="14">
        <v>43801</v>
      </c>
      <c r="B4474" s="12">
        <v>1500</v>
      </c>
      <c r="C4474" s="12" t="s">
        <v>26</v>
      </c>
      <c r="D4474" s="12" t="s">
        <v>19</v>
      </c>
      <c r="E4474" s="12">
        <v>-18159</v>
      </c>
    </row>
    <row r="4475" spans="1:5">
      <c r="A4475" s="15">
        <v>43801</v>
      </c>
      <c r="B4475" s="13">
        <v>2502</v>
      </c>
      <c r="C4475" s="13" t="s">
        <v>7</v>
      </c>
      <c r="D4475" s="13" t="s">
        <v>19</v>
      </c>
      <c r="E4475" s="13">
        <v>-5869</v>
      </c>
    </row>
    <row r="4476" spans="1:5">
      <c r="A4476" s="14">
        <v>43801</v>
      </c>
      <c r="B4476" s="12">
        <v>2502</v>
      </c>
      <c r="C4476" s="12" t="s">
        <v>7</v>
      </c>
      <c r="D4476" s="12" t="s">
        <v>19</v>
      </c>
      <c r="E4476" s="12">
        <v>-5136</v>
      </c>
    </row>
    <row r="4477" spans="1:5">
      <c r="A4477" s="15">
        <v>43801</v>
      </c>
      <c r="B4477" s="13">
        <v>2514</v>
      </c>
      <c r="C4477" s="13" t="s">
        <v>20</v>
      </c>
      <c r="D4477" s="13" t="s">
        <v>19</v>
      </c>
      <c r="E4477" s="13">
        <v>-1214</v>
      </c>
    </row>
    <row r="4478" spans="1:5">
      <c r="A4478" s="14">
        <v>43801</v>
      </c>
      <c r="B4478" s="12">
        <v>2505</v>
      </c>
      <c r="C4478" s="12" t="s">
        <v>9</v>
      </c>
      <c r="D4478" s="12" t="s">
        <v>19</v>
      </c>
      <c r="E4478" s="12">
        <v>-528</v>
      </c>
    </row>
    <row r="4479" spans="1:5">
      <c r="A4479" s="15">
        <v>43801</v>
      </c>
      <c r="B4479" s="13">
        <v>2505</v>
      </c>
      <c r="C4479" s="13" t="s">
        <v>9</v>
      </c>
      <c r="D4479" s="13" t="s">
        <v>19</v>
      </c>
      <c r="E4479" s="13">
        <v>-427</v>
      </c>
    </row>
    <row r="4480" spans="1:5">
      <c r="A4480" s="14">
        <v>43801</v>
      </c>
      <c r="B4480" s="12">
        <v>2502</v>
      </c>
      <c r="C4480" s="12" t="s">
        <v>7</v>
      </c>
      <c r="D4480" s="12" t="s">
        <v>14</v>
      </c>
      <c r="E4480" s="12">
        <v>-3450</v>
      </c>
    </row>
    <row r="4481" spans="1:5">
      <c r="A4481" s="15">
        <v>43801</v>
      </c>
      <c r="B4481" s="13">
        <v>2505</v>
      </c>
      <c r="C4481" s="13" t="s">
        <v>9</v>
      </c>
      <c r="D4481" s="13" t="s">
        <v>13</v>
      </c>
      <c r="E4481" s="13">
        <v>-457</v>
      </c>
    </row>
    <row r="4482" spans="1:5">
      <c r="A4482" s="14">
        <v>43801</v>
      </c>
      <c r="B4482" s="12">
        <v>2508</v>
      </c>
      <c r="C4482" s="12" t="s">
        <v>15</v>
      </c>
      <c r="D4482" s="12" t="s">
        <v>8</v>
      </c>
      <c r="E4482" s="12">
        <v>-70652</v>
      </c>
    </row>
    <row r="4483" spans="1:5">
      <c r="A4483" s="15">
        <v>43801</v>
      </c>
      <c r="B4483" s="13">
        <v>2508</v>
      </c>
      <c r="C4483" s="13" t="s">
        <v>15</v>
      </c>
      <c r="D4483" s="13" t="s">
        <v>13</v>
      </c>
      <c r="E4483" s="13">
        <v>-45361</v>
      </c>
    </row>
    <row r="4484" spans="1:5">
      <c r="A4484" s="14">
        <v>43801</v>
      </c>
      <c r="B4484" s="12">
        <v>2512</v>
      </c>
      <c r="C4484" s="12" t="s">
        <v>16</v>
      </c>
      <c r="D4484" s="12" t="s">
        <v>10</v>
      </c>
      <c r="E4484" s="12">
        <v>-4728</v>
      </c>
    </row>
    <row r="4485" spans="1:5">
      <c r="A4485" s="15">
        <v>43801</v>
      </c>
      <c r="B4485" s="13">
        <v>2513</v>
      </c>
      <c r="C4485" s="13" t="s">
        <v>17</v>
      </c>
      <c r="D4485" s="13" t="s">
        <v>12</v>
      </c>
      <c r="E4485" s="13">
        <v>-1222</v>
      </c>
    </row>
    <row r="4486" spans="1:5">
      <c r="A4486" s="14">
        <v>43802</v>
      </c>
      <c r="B4486" s="12">
        <v>2500</v>
      </c>
      <c r="C4486" s="12" t="s">
        <v>25</v>
      </c>
      <c r="D4486" s="12" t="s">
        <v>19</v>
      </c>
      <c r="E4486" s="12">
        <v>-51824</v>
      </c>
    </row>
    <row r="4487" spans="1:5">
      <c r="A4487" s="15">
        <v>43802</v>
      </c>
      <c r="B4487" s="13">
        <v>2512</v>
      </c>
      <c r="C4487" s="13" t="s">
        <v>16</v>
      </c>
      <c r="D4487" s="13" t="s">
        <v>19</v>
      </c>
      <c r="E4487" s="13">
        <v>-7500</v>
      </c>
    </row>
    <row r="4488" spans="1:5">
      <c r="A4488" s="14">
        <v>43802</v>
      </c>
      <c r="B4488" s="12">
        <v>2510</v>
      </c>
      <c r="C4488" s="12" t="s">
        <v>24</v>
      </c>
      <c r="D4488" s="12" t="s">
        <v>19</v>
      </c>
      <c r="E4488" s="12">
        <v>-1231</v>
      </c>
    </row>
    <row r="4489" spans="1:5">
      <c r="A4489" s="15">
        <v>43802</v>
      </c>
      <c r="B4489" s="13">
        <v>2513</v>
      </c>
      <c r="C4489" s="13" t="s">
        <v>17</v>
      </c>
      <c r="D4489" s="13" t="s">
        <v>19</v>
      </c>
      <c r="E4489" s="13">
        <v>-398</v>
      </c>
    </row>
    <row r="4490" spans="1:5">
      <c r="A4490" s="14">
        <v>43802</v>
      </c>
      <c r="B4490" s="12">
        <v>2501</v>
      </c>
      <c r="C4490" s="12" t="s">
        <v>5</v>
      </c>
      <c r="D4490" s="12" t="s">
        <v>19</v>
      </c>
      <c r="E4490" s="12">
        <v>-148</v>
      </c>
    </row>
    <row r="4491" spans="1:5">
      <c r="A4491" s="15">
        <v>43802</v>
      </c>
      <c r="B4491" s="13">
        <v>2501</v>
      </c>
      <c r="C4491" s="13" t="s">
        <v>5</v>
      </c>
      <c r="D4491" s="13" t="s">
        <v>6</v>
      </c>
      <c r="E4491" s="13">
        <v>-177</v>
      </c>
    </row>
    <row r="4492" spans="1:5">
      <c r="A4492" s="14">
        <v>43802</v>
      </c>
      <c r="B4492" s="12">
        <v>2502</v>
      </c>
      <c r="C4492" s="12" t="s">
        <v>7</v>
      </c>
      <c r="D4492" s="12" t="s">
        <v>13</v>
      </c>
      <c r="E4492" s="12">
        <v>-3339</v>
      </c>
    </row>
    <row r="4493" spans="1:5">
      <c r="A4493" s="15">
        <v>43802</v>
      </c>
      <c r="B4493" s="13">
        <v>2503</v>
      </c>
      <c r="C4493" s="13" t="s">
        <v>22</v>
      </c>
      <c r="D4493" s="13" t="s">
        <v>10</v>
      </c>
      <c r="E4493" s="13">
        <v>-388</v>
      </c>
    </row>
    <row r="4494" spans="1:5">
      <c r="A4494" s="14">
        <v>43802</v>
      </c>
      <c r="B4494" s="12">
        <v>2505</v>
      </c>
      <c r="C4494" s="12" t="s">
        <v>9</v>
      </c>
      <c r="D4494" s="12" t="s">
        <v>12</v>
      </c>
      <c r="E4494" s="12">
        <v>-1097</v>
      </c>
    </row>
    <row r="4495" spans="1:5">
      <c r="A4495" s="15">
        <v>43802</v>
      </c>
      <c r="B4495" s="13">
        <v>2506</v>
      </c>
      <c r="C4495" s="13" t="s">
        <v>27</v>
      </c>
      <c r="D4495" s="13" t="s">
        <v>14</v>
      </c>
      <c r="E4495" s="13">
        <v>-635</v>
      </c>
    </row>
    <row r="4496" spans="1:5">
      <c r="A4496" s="14">
        <v>43802</v>
      </c>
      <c r="B4496" s="12">
        <v>2508</v>
      </c>
      <c r="C4496" s="12" t="s">
        <v>15</v>
      </c>
      <c r="D4496" s="12" t="s">
        <v>8</v>
      </c>
      <c r="E4496" s="12">
        <v>-75832</v>
      </c>
    </row>
    <row r="4497" spans="1:5">
      <c r="A4497" s="15">
        <v>43802</v>
      </c>
      <c r="B4497" s="13">
        <v>2512</v>
      </c>
      <c r="C4497" s="13" t="s">
        <v>16</v>
      </c>
      <c r="D4497" s="13" t="s">
        <v>13</v>
      </c>
      <c r="E4497" s="13">
        <v>-570</v>
      </c>
    </row>
    <row r="4498" spans="1:5">
      <c r="A4498" s="14">
        <v>43802</v>
      </c>
      <c r="B4498" s="12">
        <v>2514</v>
      </c>
      <c r="C4498" s="12" t="s">
        <v>20</v>
      </c>
      <c r="D4498" s="12" t="s">
        <v>12</v>
      </c>
      <c r="E4498" s="12">
        <v>-2125</v>
      </c>
    </row>
    <row r="4499" spans="1:5">
      <c r="A4499" s="15">
        <v>43802</v>
      </c>
      <c r="B4499" s="13">
        <v>1000</v>
      </c>
      <c r="C4499" s="13" t="s">
        <v>23</v>
      </c>
      <c r="D4499" s="13" t="s">
        <v>19</v>
      </c>
      <c r="E4499" s="13">
        <v>666302</v>
      </c>
    </row>
    <row r="4500" spans="1:5">
      <c r="A4500" s="14">
        <v>43803</v>
      </c>
      <c r="B4500" s="12">
        <v>2000</v>
      </c>
      <c r="C4500" s="12" t="s">
        <v>18</v>
      </c>
      <c r="D4500" s="12" t="s">
        <v>19</v>
      </c>
      <c r="E4500" s="12">
        <v>-220912</v>
      </c>
    </row>
    <row r="4501" spans="1:5">
      <c r="A4501" s="15">
        <v>43803</v>
      </c>
      <c r="B4501" s="13">
        <v>2508</v>
      </c>
      <c r="C4501" s="13" t="s">
        <v>15</v>
      </c>
      <c r="D4501" s="13" t="s">
        <v>19</v>
      </c>
      <c r="E4501" s="13">
        <v>-60937</v>
      </c>
    </row>
    <row r="4502" spans="1:5">
      <c r="A4502" s="14">
        <v>43803</v>
      </c>
      <c r="B4502" s="12">
        <v>2508</v>
      </c>
      <c r="C4502" s="12" t="s">
        <v>15</v>
      </c>
      <c r="D4502" s="12" t="s">
        <v>19</v>
      </c>
      <c r="E4502" s="12">
        <v>-51886</v>
      </c>
    </row>
    <row r="4503" spans="1:5">
      <c r="A4503" s="15">
        <v>43803</v>
      </c>
      <c r="B4503" s="13">
        <v>1500</v>
      </c>
      <c r="C4503" s="13" t="s">
        <v>26</v>
      </c>
      <c r="D4503" s="13" t="s">
        <v>19</v>
      </c>
      <c r="E4503" s="13">
        <v>-49264</v>
      </c>
    </row>
    <row r="4504" spans="1:5">
      <c r="A4504" s="14">
        <v>43803</v>
      </c>
      <c r="B4504" s="12">
        <v>2508</v>
      </c>
      <c r="C4504" s="12" t="s">
        <v>15</v>
      </c>
      <c r="D4504" s="12" t="s">
        <v>19</v>
      </c>
      <c r="E4504" s="12">
        <v>-45885</v>
      </c>
    </row>
    <row r="4505" spans="1:5">
      <c r="A4505" s="15">
        <v>43803</v>
      </c>
      <c r="B4505" s="13">
        <v>2504</v>
      </c>
      <c r="C4505" s="13" t="s">
        <v>21</v>
      </c>
      <c r="D4505" s="13" t="s">
        <v>19</v>
      </c>
      <c r="E4505" s="13">
        <v>-2129</v>
      </c>
    </row>
    <row r="4506" spans="1:5">
      <c r="A4506" s="14">
        <v>43803</v>
      </c>
      <c r="B4506" s="12">
        <v>2514</v>
      </c>
      <c r="C4506" s="12" t="s">
        <v>20</v>
      </c>
      <c r="D4506" s="12" t="s">
        <v>19</v>
      </c>
      <c r="E4506" s="12">
        <v>-1193</v>
      </c>
    </row>
    <row r="4507" spans="1:5">
      <c r="A4507" s="15">
        <v>43803</v>
      </c>
      <c r="B4507" s="13">
        <v>2510</v>
      </c>
      <c r="C4507" s="13" t="s">
        <v>24</v>
      </c>
      <c r="D4507" s="13" t="s">
        <v>19</v>
      </c>
      <c r="E4507" s="13">
        <v>-1081</v>
      </c>
    </row>
    <row r="4508" spans="1:5">
      <c r="A4508" s="14">
        <v>43803</v>
      </c>
      <c r="B4508" s="12">
        <v>2504</v>
      </c>
      <c r="C4508" s="12" t="s">
        <v>21</v>
      </c>
      <c r="D4508" s="12" t="s">
        <v>19</v>
      </c>
      <c r="E4508" s="12">
        <v>-1060</v>
      </c>
    </row>
    <row r="4509" spans="1:5">
      <c r="A4509" s="15">
        <v>43803</v>
      </c>
      <c r="B4509" s="13">
        <v>2505</v>
      </c>
      <c r="C4509" s="13" t="s">
        <v>9</v>
      </c>
      <c r="D4509" s="13" t="s">
        <v>19</v>
      </c>
      <c r="E4509" s="13">
        <v>-528</v>
      </c>
    </row>
    <row r="4510" spans="1:5">
      <c r="A4510" s="14">
        <v>43803</v>
      </c>
      <c r="B4510" s="12">
        <v>2505</v>
      </c>
      <c r="C4510" s="12" t="s">
        <v>9</v>
      </c>
      <c r="D4510" s="12" t="s">
        <v>19</v>
      </c>
      <c r="E4510" s="12">
        <v>-527</v>
      </c>
    </row>
    <row r="4511" spans="1:5">
      <c r="A4511" s="15">
        <v>43803</v>
      </c>
      <c r="B4511" s="13">
        <v>2503</v>
      </c>
      <c r="C4511" s="13" t="s">
        <v>22</v>
      </c>
      <c r="D4511" s="13" t="s">
        <v>19</v>
      </c>
      <c r="E4511" s="13">
        <v>-254</v>
      </c>
    </row>
    <row r="4512" spans="1:5">
      <c r="A4512" s="14">
        <v>43803</v>
      </c>
      <c r="B4512" s="12">
        <v>2503</v>
      </c>
      <c r="C4512" s="12" t="s">
        <v>22</v>
      </c>
      <c r="D4512" s="12" t="s">
        <v>19</v>
      </c>
      <c r="E4512" s="12">
        <v>-200</v>
      </c>
    </row>
    <row r="4513" spans="1:5">
      <c r="A4513" s="15">
        <v>43803</v>
      </c>
      <c r="B4513" s="13">
        <v>2503</v>
      </c>
      <c r="C4513" s="13" t="s">
        <v>22</v>
      </c>
      <c r="D4513" s="13" t="s">
        <v>14</v>
      </c>
      <c r="E4513" s="13">
        <v>-407</v>
      </c>
    </row>
    <row r="4514" spans="1:5">
      <c r="A4514" s="14">
        <v>43803</v>
      </c>
      <c r="B4514" s="12">
        <v>2503</v>
      </c>
      <c r="C4514" s="12" t="s">
        <v>22</v>
      </c>
      <c r="D4514" s="12" t="s">
        <v>10</v>
      </c>
      <c r="E4514" s="12">
        <v>-322</v>
      </c>
    </row>
    <row r="4515" spans="1:5">
      <c r="A4515" s="15">
        <v>43803</v>
      </c>
      <c r="B4515" s="13">
        <v>2505</v>
      </c>
      <c r="C4515" s="13" t="s">
        <v>9</v>
      </c>
      <c r="D4515" s="13" t="s">
        <v>13</v>
      </c>
      <c r="E4515" s="13">
        <v>-423</v>
      </c>
    </row>
    <row r="4516" spans="1:5">
      <c r="A4516" s="14">
        <v>43803</v>
      </c>
      <c r="B4516" s="12">
        <v>2508</v>
      </c>
      <c r="C4516" s="12" t="s">
        <v>15</v>
      </c>
      <c r="D4516" s="12" t="s">
        <v>10</v>
      </c>
      <c r="E4516" s="12">
        <v>-62938</v>
      </c>
    </row>
    <row r="4517" spans="1:5">
      <c r="A4517" s="15">
        <v>43803</v>
      </c>
      <c r="B4517" s="13">
        <v>2508</v>
      </c>
      <c r="C4517" s="13" t="s">
        <v>15</v>
      </c>
      <c r="D4517" s="13" t="s">
        <v>13</v>
      </c>
      <c r="E4517" s="13">
        <v>-45888</v>
      </c>
    </row>
    <row r="4518" spans="1:5">
      <c r="A4518" s="14">
        <v>43803</v>
      </c>
      <c r="B4518" s="12">
        <v>2508</v>
      </c>
      <c r="C4518" s="12" t="s">
        <v>15</v>
      </c>
      <c r="D4518" s="12" t="s">
        <v>10</v>
      </c>
      <c r="E4518" s="12">
        <v>-68219</v>
      </c>
    </row>
    <row r="4519" spans="1:5">
      <c r="A4519" s="15">
        <v>43803</v>
      </c>
      <c r="B4519" s="13">
        <v>2513</v>
      </c>
      <c r="C4519" s="13" t="s">
        <v>17</v>
      </c>
      <c r="D4519" s="13" t="s">
        <v>8</v>
      </c>
      <c r="E4519" s="13">
        <v>-765</v>
      </c>
    </row>
    <row r="4520" spans="1:5">
      <c r="A4520" s="14">
        <v>43803</v>
      </c>
      <c r="B4520" s="12">
        <v>2513</v>
      </c>
      <c r="C4520" s="12" t="s">
        <v>17</v>
      </c>
      <c r="D4520" s="12" t="s">
        <v>6</v>
      </c>
      <c r="E4520" s="12">
        <v>-867</v>
      </c>
    </row>
    <row r="4521" spans="1:5">
      <c r="A4521" s="15">
        <v>43803</v>
      </c>
      <c r="B4521" s="13">
        <v>2510</v>
      </c>
      <c r="C4521" s="13" t="s">
        <v>24</v>
      </c>
      <c r="D4521" s="13" t="s">
        <v>8</v>
      </c>
      <c r="E4521" s="13">
        <v>-1180</v>
      </c>
    </row>
    <row r="4522" spans="1:5">
      <c r="A4522" s="14">
        <v>43804</v>
      </c>
      <c r="B4522" s="12">
        <v>2000</v>
      </c>
      <c r="C4522" s="12" t="s">
        <v>18</v>
      </c>
      <c r="D4522" s="12" t="s">
        <v>19</v>
      </c>
      <c r="E4522" s="12">
        <v>-188040</v>
      </c>
    </row>
    <row r="4523" spans="1:5">
      <c r="A4523" s="15">
        <v>43804</v>
      </c>
      <c r="B4523" s="13">
        <v>2512</v>
      </c>
      <c r="C4523" s="13" t="s">
        <v>16</v>
      </c>
      <c r="D4523" s="13" t="s">
        <v>19</v>
      </c>
      <c r="E4523" s="13">
        <v>-7905</v>
      </c>
    </row>
    <row r="4524" spans="1:5">
      <c r="A4524" s="14">
        <v>43804</v>
      </c>
      <c r="B4524" s="12">
        <v>2514</v>
      </c>
      <c r="C4524" s="12" t="s">
        <v>20</v>
      </c>
      <c r="D4524" s="12" t="s">
        <v>19</v>
      </c>
      <c r="E4524" s="12">
        <v>-1212</v>
      </c>
    </row>
    <row r="4525" spans="1:5">
      <c r="A4525" s="15">
        <v>43804</v>
      </c>
      <c r="B4525" s="13">
        <v>2513</v>
      </c>
      <c r="C4525" s="13" t="s">
        <v>17</v>
      </c>
      <c r="D4525" s="13" t="s">
        <v>19</v>
      </c>
      <c r="E4525" s="13">
        <v>-587</v>
      </c>
    </row>
    <row r="4526" spans="1:5">
      <c r="A4526" s="14">
        <v>43804</v>
      </c>
      <c r="B4526" s="12">
        <v>2505</v>
      </c>
      <c r="C4526" s="12" t="s">
        <v>9</v>
      </c>
      <c r="D4526" s="12" t="s">
        <v>19</v>
      </c>
      <c r="E4526" s="12">
        <v>-292</v>
      </c>
    </row>
    <row r="4527" spans="1:5">
      <c r="A4527" s="15">
        <v>43804</v>
      </c>
      <c r="B4527" s="13">
        <v>2501</v>
      </c>
      <c r="C4527" s="13" t="s">
        <v>5</v>
      </c>
      <c r="D4527" s="13" t="s">
        <v>8</v>
      </c>
      <c r="E4527" s="13">
        <v>-197</v>
      </c>
    </row>
    <row r="4528" spans="1:5">
      <c r="A4528" s="14">
        <v>43804</v>
      </c>
      <c r="B4528" s="12">
        <v>2501</v>
      </c>
      <c r="C4528" s="12" t="s">
        <v>5</v>
      </c>
      <c r="D4528" s="12" t="s">
        <v>6</v>
      </c>
      <c r="E4528" s="12">
        <v>-188</v>
      </c>
    </row>
    <row r="4529" spans="1:5">
      <c r="A4529" s="15">
        <v>43804</v>
      </c>
      <c r="B4529" s="13">
        <v>2501</v>
      </c>
      <c r="C4529" s="13" t="s">
        <v>5</v>
      </c>
      <c r="D4529" s="13" t="s">
        <v>6</v>
      </c>
      <c r="E4529" s="13">
        <v>-111</v>
      </c>
    </row>
    <row r="4530" spans="1:5">
      <c r="A4530" s="14">
        <v>43804</v>
      </c>
      <c r="B4530" s="12">
        <v>2502</v>
      </c>
      <c r="C4530" s="12" t="s">
        <v>7</v>
      </c>
      <c r="D4530" s="12" t="s">
        <v>8</v>
      </c>
      <c r="E4530" s="12">
        <v>-5844</v>
      </c>
    </row>
    <row r="4531" spans="1:5">
      <c r="A4531" s="15">
        <v>43804</v>
      </c>
      <c r="B4531" s="13">
        <v>2503</v>
      </c>
      <c r="C4531" s="13" t="s">
        <v>22</v>
      </c>
      <c r="D4531" s="13" t="s">
        <v>6</v>
      </c>
      <c r="E4531" s="13">
        <v>-330</v>
      </c>
    </row>
    <row r="4532" spans="1:5">
      <c r="A4532" s="14">
        <v>43804</v>
      </c>
      <c r="B4532" s="12">
        <v>2505</v>
      </c>
      <c r="C4532" s="12" t="s">
        <v>9</v>
      </c>
      <c r="D4532" s="12" t="s">
        <v>12</v>
      </c>
      <c r="E4532" s="12">
        <v>-884</v>
      </c>
    </row>
    <row r="4533" spans="1:5">
      <c r="A4533" s="15">
        <v>43804</v>
      </c>
      <c r="B4533" s="13">
        <v>2508</v>
      </c>
      <c r="C4533" s="13" t="s">
        <v>15</v>
      </c>
      <c r="D4533" s="13" t="s">
        <v>13</v>
      </c>
      <c r="E4533" s="13">
        <v>-60942</v>
      </c>
    </row>
    <row r="4534" spans="1:5">
      <c r="A4534" s="14">
        <v>43804</v>
      </c>
      <c r="B4534" s="12">
        <v>2512</v>
      </c>
      <c r="C4534" s="12" t="s">
        <v>16</v>
      </c>
      <c r="D4534" s="12" t="s">
        <v>12</v>
      </c>
      <c r="E4534" s="12">
        <v>-903</v>
      </c>
    </row>
    <row r="4535" spans="1:5">
      <c r="A4535" s="15">
        <v>43804</v>
      </c>
      <c r="B4535" s="13">
        <v>2512</v>
      </c>
      <c r="C4535" s="13" t="s">
        <v>16</v>
      </c>
      <c r="D4535" s="13" t="s">
        <v>13</v>
      </c>
      <c r="E4535" s="13">
        <v>-544</v>
      </c>
    </row>
    <row r="4536" spans="1:5">
      <c r="A4536" s="14">
        <v>43804</v>
      </c>
      <c r="B4536" s="12">
        <v>2513</v>
      </c>
      <c r="C4536" s="12" t="s">
        <v>17</v>
      </c>
      <c r="D4536" s="12" t="s">
        <v>6</v>
      </c>
      <c r="E4536" s="12">
        <v>-740</v>
      </c>
    </row>
    <row r="4537" spans="1:5">
      <c r="A4537" s="15">
        <v>43805</v>
      </c>
      <c r="B4537" s="13">
        <v>2000</v>
      </c>
      <c r="C4537" s="13" t="s">
        <v>18</v>
      </c>
      <c r="D4537" s="13" t="s">
        <v>19</v>
      </c>
      <c r="E4537" s="13">
        <v>-178759</v>
      </c>
    </row>
    <row r="4538" spans="1:5">
      <c r="A4538" s="14">
        <v>43805</v>
      </c>
      <c r="B4538" s="12">
        <v>2508</v>
      </c>
      <c r="C4538" s="12" t="s">
        <v>15</v>
      </c>
      <c r="D4538" s="12" t="s">
        <v>19</v>
      </c>
      <c r="E4538" s="12">
        <v>-46312</v>
      </c>
    </row>
    <row r="4539" spans="1:5">
      <c r="A4539" s="15">
        <v>43805</v>
      </c>
      <c r="B4539" s="13">
        <v>1500</v>
      </c>
      <c r="C4539" s="13" t="s">
        <v>26</v>
      </c>
      <c r="D4539" s="13" t="s">
        <v>19</v>
      </c>
      <c r="E4539" s="13">
        <v>-36751</v>
      </c>
    </row>
    <row r="4540" spans="1:5">
      <c r="A4540" s="14">
        <v>43805</v>
      </c>
      <c r="B4540" s="12">
        <v>2504</v>
      </c>
      <c r="C4540" s="12" t="s">
        <v>21</v>
      </c>
      <c r="D4540" s="12" t="s">
        <v>19</v>
      </c>
      <c r="E4540" s="12">
        <v>-1564</v>
      </c>
    </row>
    <row r="4541" spans="1:5">
      <c r="A4541" s="15">
        <v>43805</v>
      </c>
      <c r="B4541" s="13">
        <v>2513</v>
      </c>
      <c r="C4541" s="13" t="s">
        <v>17</v>
      </c>
      <c r="D4541" s="13" t="s">
        <v>19</v>
      </c>
      <c r="E4541" s="13">
        <v>-781</v>
      </c>
    </row>
    <row r="4542" spans="1:5">
      <c r="A4542" s="14">
        <v>43805</v>
      </c>
      <c r="B4542" s="12">
        <v>2503</v>
      </c>
      <c r="C4542" s="12" t="s">
        <v>22</v>
      </c>
      <c r="D4542" s="12" t="s">
        <v>19</v>
      </c>
      <c r="E4542" s="12">
        <v>-239</v>
      </c>
    </row>
    <row r="4543" spans="1:5">
      <c r="A4543" s="15">
        <v>43805</v>
      </c>
      <c r="B4543" s="13">
        <v>2501</v>
      </c>
      <c r="C4543" s="13" t="s">
        <v>5</v>
      </c>
      <c r="D4543" s="13" t="s">
        <v>19</v>
      </c>
      <c r="E4543" s="13">
        <v>-71</v>
      </c>
    </row>
    <row r="4544" spans="1:5">
      <c r="A4544" s="14">
        <v>43805</v>
      </c>
      <c r="B4544" s="12">
        <v>2501</v>
      </c>
      <c r="C4544" s="12" t="s">
        <v>5</v>
      </c>
      <c r="D4544" s="12" t="s">
        <v>12</v>
      </c>
      <c r="E4544" s="12">
        <v>-176</v>
      </c>
    </row>
    <row r="4545" spans="1:5">
      <c r="A4545" s="15">
        <v>43805</v>
      </c>
      <c r="B4545" s="13">
        <v>2501</v>
      </c>
      <c r="C4545" s="13" t="s">
        <v>5</v>
      </c>
      <c r="D4545" s="13" t="s">
        <v>13</v>
      </c>
      <c r="E4545" s="13">
        <v>-94</v>
      </c>
    </row>
    <row r="4546" spans="1:5">
      <c r="A4546" s="14">
        <v>43805</v>
      </c>
      <c r="B4546" s="12">
        <v>2501</v>
      </c>
      <c r="C4546" s="12" t="s">
        <v>5</v>
      </c>
      <c r="D4546" s="12" t="s">
        <v>13</v>
      </c>
      <c r="E4546" s="12">
        <v>-127</v>
      </c>
    </row>
    <row r="4547" spans="1:5">
      <c r="A4547" s="15">
        <v>43805</v>
      </c>
      <c r="B4547" s="13">
        <v>2502</v>
      </c>
      <c r="C4547" s="13" t="s">
        <v>7</v>
      </c>
      <c r="D4547" s="13" t="s">
        <v>14</v>
      </c>
      <c r="E4547" s="13">
        <v>-3798</v>
      </c>
    </row>
    <row r="4548" spans="1:5">
      <c r="A4548" s="14">
        <v>43805</v>
      </c>
      <c r="B4548" s="12">
        <v>2503</v>
      </c>
      <c r="C4548" s="12" t="s">
        <v>22</v>
      </c>
      <c r="D4548" s="12" t="s">
        <v>14</v>
      </c>
      <c r="E4548" s="12">
        <v>-401</v>
      </c>
    </row>
    <row r="4549" spans="1:5">
      <c r="A4549" s="15">
        <v>43805</v>
      </c>
      <c r="B4549" s="13">
        <v>2512</v>
      </c>
      <c r="C4549" s="13" t="s">
        <v>16</v>
      </c>
      <c r="D4549" s="13" t="s">
        <v>10</v>
      </c>
      <c r="E4549" s="13">
        <v>-3962</v>
      </c>
    </row>
    <row r="4550" spans="1:5">
      <c r="A4550" s="14">
        <v>43805</v>
      </c>
      <c r="B4550" s="12">
        <v>2513</v>
      </c>
      <c r="C4550" s="12" t="s">
        <v>17</v>
      </c>
      <c r="D4550" s="12" t="s">
        <v>13</v>
      </c>
      <c r="E4550" s="12">
        <v>-591</v>
      </c>
    </row>
    <row r="4551" spans="1:5">
      <c r="A4551" s="15">
        <v>43805</v>
      </c>
      <c r="B4551" s="13">
        <v>1000</v>
      </c>
      <c r="C4551" s="13" t="s">
        <v>23</v>
      </c>
      <c r="D4551" s="13" t="s">
        <v>19</v>
      </c>
      <c r="E4551" s="13">
        <v>799088</v>
      </c>
    </row>
    <row r="4552" spans="1:5">
      <c r="A4552" s="14">
        <v>43805</v>
      </c>
      <c r="B4552" s="12">
        <v>1000</v>
      </c>
      <c r="C4552" s="12" t="s">
        <v>23</v>
      </c>
      <c r="D4552" s="12" t="s">
        <v>19</v>
      </c>
      <c r="E4552" s="12">
        <v>1385493</v>
      </c>
    </row>
    <row r="4553" spans="1:5">
      <c r="A4553" s="15">
        <v>43806</v>
      </c>
      <c r="B4553" s="13">
        <v>2000</v>
      </c>
      <c r="C4553" s="13" t="s">
        <v>18</v>
      </c>
      <c r="D4553" s="13" t="s">
        <v>19</v>
      </c>
      <c r="E4553" s="13">
        <v>-300972</v>
      </c>
    </row>
    <row r="4554" spans="1:5">
      <c r="A4554" s="14">
        <v>43806</v>
      </c>
      <c r="B4554" s="12">
        <v>2000</v>
      </c>
      <c r="C4554" s="12" t="s">
        <v>18</v>
      </c>
      <c r="D4554" s="12" t="s">
        <v>19</v>
      </c>
      <c r="E4554" s="12">
        <v>-190946</v>
      </c>
    </row>
    <row r="4555" spans="1:5">
      <c r="A4555" s="15">
        <v>43806</v>
      </c>
      <c r="B4555" s="13">
        <v>2000</v>
      </c>
      <c r="C4555" s="13" t="s">
        <v>18</v>
      </c>
      <c r="D4555" s="13" t="s">
        <v>19</v>
      </c>
      <c r="E4555" s="13">
        <v>-169274</v>
      </c>
    </row>
    <row r="4556" spans="1:5">
      <c r="A4556" s="14">
        <v>43806</v>
      </c>
      <c r="B4556" s="12">
        <v>2504</v>
      </c>
      <c r="C4556" s="12" t="s">
        <v>21</v>
      </c>
      <c r="D4556" s="12" t="s">
        <v>19</v>
      </c>
      <c r="E4556" s="12">
        <v>-1526</v>
      </c>
    </row>
    <row r="4557" spans="1:5">
      <c r="A4557" s="15">
        <v>43806</v>
      </c>
      <c r="B4557" s="13">
        <v>2503</v>
      </c>
      <c r="C4557" s="13" t="s">
        <v>22</v>
      </c>
      <c r="D4557" s="13" t="s">
        <v>19</v>
      </c>
      <c r="E4557" s="13">
        <v>-199</v>
      </c>
    </row>
    <row r="4558" spans="1:5">
      <c r="A4558" s="14">
        <v>43806</v>
      </c>
      <c r="B4558" s="12">
        <v>2501</v>
      </c>
      <c r="C4558" s="12" t="s">
        <v>5</v>
      </c>
      <c r="D4558" s="12" t="s">
        <v>8</v>
      </c>
      <c r="E4558" s="12">
        <v>-192</v>
      </c>
    </row>
    <row r="4559" spans="1:5">
      <c r="A4559" s="15">
        <v>43806</v>
      </c>
      <c r="B4559" s="13">
        <v>2502</v>
      </c>
      <c r="C4559" s="13" t="s">
        <v>7</v>
      </c>
      <c r="D4559" s="13" t="s">
        <v>12</v>
      </c>
      <c r="E4559" s="13">
        <v>-4561</v>
      </c>
    </row>
    <row r="4560" spans="1:5">
      <c r="A4560" s="14">
        <v>43806</v>
      </c>
      <c r="B4560" s="12">
        <v>2513</v>
      </c>
      <c r="C4560" s="12" t="s">
        <v>17</v>
      </c>
      <c r="D4560" s="12" t="s">
        <v>13</v>
      </c>
      <c r="E4560" s="12">
        <v>-764</v>
      </c>
    </row>
    <row r="4561" spans="1:5">
      <c r="A4561" s="15">
        <v>43806</v>
      </c>
      <c r="B4561" s="13">
        <v>2510</v>
      </c>
      <c r="C4561" s="13" t="s">
        <v>24</v>
      </c>
      <c r="D4561" s="13" t="s">
        <v>8</v>
      </c>
      <c r="E4561" s="13">
        <v>-1889</v>
      </c>
    </row>
    <row r="4562" spans="1:5">
      <c r="A4562" s="14">
        <v>43806</v>
      </c>
      <c r="B4562" s="12">
        <v>1000</v>
      </c>
      <c r="C4562" s="12" t="s">
        <v>23</v>
      </c>
      <c r="D4562" s="12" t="s">
        <v>19</v>
      </c>
      <c r="E4562" s="12">
        <v>995432</v>
      </c>
    </row>
    <row r="4563" spans="1:5">
      <c r="A4563" s="15">
        <v>43807</v>
      </c>
      <c r="B4563" s="13">
        <v>1500</v>
      </c>
      <c r="C4563" s="13" t="s">
        <v>26</v>
      </c>
      <c r="D4563" s="13" t="s">
        <v>19</v>
      </c>
      <c r="E4563" s="13">
        <v>-43652</v>
      </c>
    </row>
    <row r="4564" spans="1:5">
      <c r="A4564" s="14">
        <v>43807</v>
      </c>
      <c r="B4564" s="12">
        <v>2514</v>
      </c>
      <c r="C4564" s="12" t="s">
        <v>20</v>
      </c>
      <c r="D4564" s="12" t="s">
        <v>19</v>
      </c>
      <c r="E4564" s="12">
        <v>-1153</v>
      </c>
    </row>
    <row r="4565" spans="1:5">
      <c r="A4565" s="15">
        <v>43807</v>
      </c>
      <c r="B4565" s="13">
        <v>2510</v>
      </c>
      <c r="C4565" s="13" t="s">
        <v>24</v>
      </c>
      <c r="D4565" s="13" t="s">
        <v>19</v>
      </c>
      <c r="E4565" s="13">
        <v>-888</v>
      </c>
    </row>
    <row r="4566" spans="1:5">
      <c r="A4566" s="14">
        <v>43807</v>
      </c>
      <c r="B4566" s="12">
        <v>2501</v>
      </c>
      <c r="C4566" s="12" t="s">
        <v>5</v>
      </c>
      <c r="D4566" s="12" t="s">
        <v>19</v>
      </c>
      <c r="E4566" s="12">
        <v>-109</v>
      </c>
    </row>
    <row r="4567" spans="1:5">
      <c r="A4567" s="15">
        <v>43807</v>
      </c>
      <c r="B4567" s="13">
        <v>2503</v>
      </c>
      <c r="C4567" s="13" t="s">
        <v>22</v>
      </c>
      <c r="D4567" s="13" t="s">
        <v>14</v>
      </c>
      <c r="E4567" s="13">
        <v>-309</v>
      </c>
    </row>
    <row r="4568" spans="1:5">
      <c r="A4568" s="14">
        <v>43807</v>
      </c>
      <c r="B4568" s="12">
        <v>2505</v>
      </c>
      <c r="C4568" s="12" t="s">
        <v>9</v>
      </c>
      <c r="D4568" s="12" t="s">
        <v>10</v>
      </c>
      <c r="E4568" s="12">
        <v>-702</v>
      </c>
    </row>
    <row r="4569" spans="1:5">
      <c r="A4569" s="15">
        <v>43807</v>
      </c>
      <c r="B4569" s="13">
        <v>2512</v>
      </c>
      <c r="C4569" s="13" t="s">
        <v>16</v>
      </c>
      <c r="D4569" s="13" t="s">
        <v>10</v>
      </c>
      <c r="E4569" s="13">
        <v>-4273</v>
      </c>
    </row>
    <row r="4570" spans="1:5">
      <c r="A4570" s="14">
        <v>43807</v>
      </c>
      <c r="B4570" s="12">
        <v>2513</v>
      </c>
      <c r="C4570" s="12" t="s">
        <v>17</v>
      </c>
      <c r="D4570" s="12" t="s">
        <v>13</v>
      </c>
      <c r="E4570" s="12">
        <v>-530</v>
      </c>
    </row>
    <row r="4571" spans="1:5">
      <c r="A4571" s="15">
        <v>43807</v>
      </c>
      <c r="B4571" s="13">
        <v>2514</v>
      </c>
      <c r="C4571" s="13" t="s">
        <v>20</v>
      </c>
      <c r="D4571" s="13" t="s">
        <v>12</v>
      </c>
      <c r="E4571" s="13">
        <v>-2105</v>
      </c>
    </row>
    <row r="4572" spans="1:5">
      <c r="A4572" s="14">
        <v>43807</v>
      </c>
      <c r="B4572" s="12">
        <v>2510</v>
      </c>
      <c r="C4572" s="12" t="s">
        <v>24</v>
      </c>
      <c r="D4572" s="12" t="s">
        <v>14</v>
      </c>
      <c r="E4572" s="12">
        <v>-1358</v>
      </c>
    </row>
    <row r="4573" spans="1:5">
      <c r="A4573" s="15">
        <v>43808</v>
      </c>
      <c r="B4573" s="13">
        <v>2508</v>
      </c>
      <c r="C4573" s="13" t="s">
        <v>15</v>
      </c>
      <c r="D4573" s="13" t="s">
        <v>19</v>
      </c>
      <c r="E4573" s="13">
        <v>-50260</v>
      </c>
    </row>
    <row r="4574" spans="1:5">
      <c r="A4574" s="14">
        <v>43808</v>
      </c>
      <c r="B4574" s="12">
        <v>2508</v>
      </c>
      <c r="C4574" s="12" t="s">
        <v>15</v>
      </c>
      <c r="D4574" s="12" t="s">
        <v>19</v>
      </c>
      <c r="E4574" s="12">
        <v>-43475</v>
      </c>
    </row>
    <row r="4575" spans="1:5">
      <c r="A4575" s="15">
        <v>43808</v>
      </c>
      <c r="B4575" s="13">
        <v>2512</v>
      </c>
      <c r="C4575" s="13" t="s">
        <v>16</v>
      </c>
      <c r="D4575" s="13" t="s">
        <v>19</v>
      </c>
      <c r="E4575" s="13">
        <v>-11124</v>
      </c>
    </row>
    <row r="4576" spans="1:5">
      <c r="A4576" s="14">
        <v>43808</v>
      </c>
      <c r="B4576" s="12">
        <v>2512</v>
      </c>
      <c r="C4576" s="12" t="s">
        <v>16</v>
      </c>
      <c r="D4576" s="12" t="s">
        <v>19</v>
      </c>
      <c r="E4576" s="12">
        <v>-3914</v>
      </c>
    </row>
    <row r="4577" spans="1:5">
      <c r="A4577" s="15">
        <v>43808</v>
      </c>
      <c r="B4577" s="13">
        <v>2502</v>
      </c>
      <c r="C4577" s="13" t="s">
        <v>7</v>
      </c>
      <c r="D4577" s="13" t="s">
        <v>19</v>
      </c>
      <c r="E4577" s="13">
        <v>-3188</v>
      </c>
    </row>
    <row r="4578" spans="1:5">
      <c r="A4578" s="14">
        <v>43808</v>
      </c>
      <c r="B4578" s="12">
        <v>2514</v>
      </c>
      <c r="C4578" s="12" t="s">
        <v>20</v>
      </c>
      <c r="D4578" s="12" t="s">
        <v>19</v>
      </c>
      <c r="E4578" s="12">
        <v>-1159</v>
      </c>
    </row>
    <row r="4579" spans="1:5">
      <c r="A4579" s="15">
        <v>43808</v>
      </c>
      <c r="B4579" s="13">
        <v>2514</v>
      </c>
      <c r="C4579" s="13" t="s">
        <v>20</v>
      </c>
      <c r="D4579" s="13" t="s">
        <v>19</v>
      </c>
      <c r="E4579" s="13">
        <v>-1077</v>
      </c>
    </row>
    <row r="4580" spans="1:5">
      <c r="A4580" s="14">
        <v>43808</v>
      </c>
      <c r="B4580" s="12">
        <v>2504</v>
      </c>
      <c r="C4580" s="12" t="s">
        <v>21</v>
      </c>
      <c r="D4580" s="12" t="s">
        <v>19</v>
      </c>
      <c r="E4580" s="12">
        <v>-954</v>
      </c>
    </row>
    <row r="4581" spans="1:5">
      <c r="A4581" s="15">
        <v>43808</v>
      </c>
      <c r="B4581" s="13">
        <v>2505</v>
      </c>
      <c r="C4581" s="13" t="s">
        <v>9</v>
      </c>
      <c r="D4581" s="13" t="s">
        <v>14</v>
      </c>
      <c r="E4581" s="13">
        <v>-441</v>
      </c>
    </row>
    <row r="4582" spans="1:5">
      <c r="A4582" s="14">
        <v>43808</v>
      </c>
      <c r="B4582" s="12">
        <v>2508</v>
      </c>
      <c r="C4582" s="12" t="s">
        <v>15</v>
      </c>
      <c r="D4582" s="12" t="s">
        <v>10</v>
      </c>
      <c r="E4582" s="12">
        <v>-55617</v>
      </c>
    </row>
    <row r="4583" spans="1:5">
      <c r="A4583" s="15">
        <v>43808</v>
      </c>
      <c r="B4583" s="13">
        <v>2512</v>
      </c>
      <c r="C4583" s="13" t="s">
        <v>16</v>
      </c>
      <c r="D4583" s="13" t="s">
        <v>13</v>
      </c>
      <c r="E4583" s="13">
        <v>-453</v>
      </c>
    </row>
    <row r="4584" spans="1:5">
      <c r="A4584" s="14">
        <v>43808</v>
      </c>
      <c r="B4584" s="12">
        <v>2514</v>
      </c>
      <c r="C4584" s="12" t="s">
        <v>20</v>
      </c>
      <c r="D4584" s="12" t="s">
        <v>10</v>
      </c>
      <c r="E4584" s="12">
        <v>-1449</v>
      </c>
    </row>
    <row r="4585" spans="1:5">
      <c r="A4585" s="15">
        <v>43808</v>
      </c>
      <c r="B4585" s="13">
        <v>2510</v>
      </c>
      <c r="C4585" s="13" t="s">
        <v>24</v>
      </c>
      <c r="D4585" s="13" t="s">
        <v>14</v>
      </c>
      <c r="E4585" s="13">
        <v>-1087</v>
      </c>
    </row>
    <row r="4586" spans="1:5">
      <c r="A4586" s="14">
        <v>43808</v>
      </c>
      <c r="B4586" s="12">
        <v>2510</v>
      </c>
      <c r="C4586" s="12" t="s">
        <v>24</v>
      </c>
      <c r="D4586" s="12" t="s">
        <v>12</v>
      </c>
      <c r="E4586" s="12">
        <v>-1832</v>
      </c>
    </row>
    <row r="4587" spans="1:5">
      <c r="A4587" s="15">
        <v>43808</v>
      </c>
      <c r="B4587" s="13">
        <v>2510</v>
      </c>
      <c r="C4587" s="13" t="s">
        <v>24</v>
      </c>
      <c r="D4587" s="13" t="s">
        <v>14</v>
      </c>
      <c r="E4587" s="13">
        <v>-1301</v>
      </c>
    </row>
    <row r="4588" spans="1:5">
      <c r="A4588" s="14">
        <v>43808</v>
      </c>
      <c r="B4588" s="12">
        <v>1000</v>
      </c>
      <c r="C4588" s="12" t="s">
        <v>23</v>
      </c>
      <c r="D4588" s="12" t="s">
        <v>19</v>
      </c>
      <c r="E4588" s="12">
        <v>820118</v>
      </c>
    </row>
    <row r="4589" spans="1:5">
      <c r="A4589" s="15">
        <v>43809</v>
      </c>
      <c r="B4589" s="13">
        <v>2500</v>
      </c>
      <c r="C4589" s="13" t="s">
        <v>25</v>
      </c>
      <c r="D4589" s="13" t="s">
        <v>19</v>
      </c>
      <c r="E4589" s="13">
        <v>-32688</v>
      </c>
    </row>
    <row r="4590" spans="1:5">
      <c r="A4590" s="14">
        <v>43809</v>
      </c>
      <c r="B4590" s="12">
        <v>2502</v>
      </c>
      <c r="C4590" s="12" t="s">
        <v>7</v>
      </c>
      <c r="D4590" s="12" t="s">
        <v>19</v>
      </c>
      <c r="E4590" s="12">
        <v>-5225</v>
      </c>
    </row>
    <row r="4591" spans="1:5">
      <c r="A4591" s="15">
        <v>43809</v>
      </c>
      <c r="B4591" s="13">
        <v>2512</v>
      </c>
      <c r="C4591" s="13" t="s">
        <v>16</v>
      </c>
      <c r="D4591" s="13" t="s">
        <v>19</v>
      </c>
      <c r="E4591" s="13">
        <v>-3542</v>
      </c>
    </row>
    <row r="4592" spans="1:5">
      <c r="A4592" s="14">
        <v>43809</v>
      </c>
      <c r="B4592" s="12">
        <v>2504</v>
      </c>
      <c r="C4592" s="12" t="s">
        <v>21</v>
      </c>
      <c r="D4592" s="12" t="s">
        <v>19</v>
      </c>
      <c r="E4592" s="12">
        <v>-2214</v>
      </c>
    </row>
    <row r="4593" spans="1:5">
      <c r="A4593" s="15">
        <v>43809</v>
      </c>
      <c r="B4593" s="13">
        <v>2514</v>
      </c>
      <c r="C4593" s="13" t="s">
        <v>20</v>
      </c>
      <c r="D4593" s="13" t="s">
        <v>19</v>
      </c>
      <c r="E4593" s="13">
        <v>-975</v>
      </c>
    </row>
    <row r="4594" spans="1:5">
      <c r="A4594" s="14">
        <v>43809</v>
      </c>
      <c r="B4594" s="12">
        <v>2513</v>
      </c>
      <c r="C4594" s="12" t="s">
        <v>17</v>
      </c>
      <c r="D4594" s="12" t="s">
        <v>19</v>
      </c>
      <c r="E4594" s="12">
        <v>-936</v>
      </c>
    </row>
    <row r="4595" spans="1:5">
      <c r="A4595" s="15">
        <v>43809</v>
      </c>
      <c r="B4595" s="13">
        <v>2513</v>
      </c>
      <c r="C4595" s="13" t="s">
        <v>17</v>
      </c>
      <c r="D4595" s="13" t="s">
        <v>19</v>
      </c>
      <c r="E4595" s="13">
        <v>-582</v>
      </c>
    </row>
    <row r="4596" spans="1:5">
      <c r="A4596" s="14">
        <v>43809</v>
      </c>
      <c r="B4596" s="12">
        <v>2505</v>
      </c>
      <c r="C4596" s="12" t="s">
        <v>9</v>
      </c>
      <c r="D4596" s="12" t="s">
        <v>10</v>
      </c>
      <c r="E4596" s="12">
        <v>-441</v>
      </c>
    </row>
    <row r="4597" spans="1:5">
      <c r="A4597" s="15">
        <v>43810</v>
      </c>
      <c r="B4597" s="13">
        <v>2000</v>
      </c>
      <c r="C4597" s="13" t="s">
        <v>18</v>
      </c>
      <c r="D4597" s="13" t="s">
        <v>19</v>
      </c>
      <c r="E4597" s="13">
        <v>-334498</v>
      </c>
    </row>
    <row r="4598" spans="1:5">
      <c r="A4598" s="14">
        <v>43810</v>
      </c>
      <c r="B4598" s="12">
        <v>2000</v>
      </c>
      <c r="C4598" s="12" t="s">
        <v>18</v>
      </c>
      <c r="D4598" s="12" t="s">
        <v>19</v>
      </c>
      <c r="E4598" s="12">
        <v>-181176</v>
      </c>
    </row>
    <row r="4599" spans="1:5">
      <c r="A4599" s="15">
        <v>43810</v>
      </c>
      <c r="B4599" s="13">
        <v>2500</v>
      </c>
      <c r="C4599" s="13" t="s">
        <v>25</v>
      </c>
      <c r="D4599" s="13" t="s">
        <v>19</v>
      </c>
      <c r="E4599" s="13">
        <v>-46432</v>
      </c>
    </row>
    <row r="4600" spans="1:5">
      <c r="A4600" s="14">
        <v>43810</v>
      </c>
      <c r="B4600" s="12">
        <v>2514</v>
      </c>
      <c r="C4600" s="12" t="s">
        <v>20</v>
      </c>
      <c r="D4600" s="12" t="s">
        <v>19</v>
      </c>
      <c r="E4600" s="12">
        <v>-960</v>
      </c>
    </row>
    <row r="4601" spans="1:5">
      <c r="A4601" s="15">
        <v>43810</v>
      </c>
      <c r="B4601" s="13">
        <v>2514</v>
      </c>
      <c r="C4601" s="13" t="s">
        <v>20</v>
      </c>
      <c r="D4601" s="13" t="s">
        <v>19</v>
      </c>
      <c r="E4601" s="13">
        <v>-736</v>
      </c>
    </row>
    <row r="4602" spans="1:5">
      <c r="A4602" s="14">
        <v>43810</v>
      </c>
      <c r="B4602" s="12">
        <v>2505</v>
      </c>
      <c r="C4602" s="12" t="s">
        <v>9</v>
      </c>
      <c r="D4602" s="12" t="s">
        <v>19</v>
      </c>
      <c r="E4602" s="12">
        <v>-599</v>
      </c>
    </row>
    <row r="4603" spans="1:5">
      <c r="A4603" s="15">
        <v>43810</v>
      </c>
      <c r="B4603" s="13">
        <v>2503</v>
      </c>
      <c r="C4603" s="13" t="s">
        <v>22</v>
      </c>
      <c r="D4603" s="13" t="s">
        <v>19</v>
      </c>
      <c r="E4603" s="13">
        <v>-252</v>
      </c>
    </row>
    <row r="4604" spans="1:5">
      <c r="A4604" s="14">
        <v>43810</v>
      </c>
      <c r="B4604" s="12">
        <v>2503</v>
      </c>
      <c r="C4604" s="12" t="s">
        <v>22</v>
      </c>
      <c r="D4604" s="12" t="s">
        <v>19</v>
      </c>
      <c r="E4604" s="12">
        <v>-212</v>
      </c>
    </row>
    <row r="4605" spans="1:5">
      <c r="A4605" s="15">
        <v>43810</v>
      </c>
      <c r="B4605" s="13">
        <v>2501</v>
      </c>
      <c r="C4605" s="13" t="s">
        <v>5</v>
      </c>
      <c r="D4605" s="13" t="s">
        <v>19</v>
      </c>
      <c r="E4605" s="13">
        <v>-111</v>
      </c>
    </row>
    <row r="4606" spans="1:5">
      <c r="A4606" s="14">
        <v>43810</v>
      </c>
      <c r="B4606" s="12">
        <v>2501</v>
      </c>
      <c r="C4606" s="12" t="s">
        <v>5</v>
      </c>
      <c r="D4606" s="12" t="s">
        <v>13</v>
      </c>
      <c r="E4606" s="12">
        <v>-70</v>
      </c>
    </row>
    <row r="4607" spans="1:5">
      <c r="A4607" s="15">
        <v>43810</v>
      </c>
      <c r="B4607" s="13">
        <v>2503</v>
      </c>
      <c r="C4607" s="13" t="s">
        <v>22</v>
      </c>
      <c r="D4607" s="13" t="s">
        <v>14</v>
      </c>
      <c r="E4607" s="13">
        <v>-355</v>
      </c>
    </row>
    <row r="4608" spans="1:5">
      <c r="A4608" s="14">
        <v>43810</v>
      </c>
      <c r="B4608" s="12">
        <v>2508</v>
      </c>
      <c r="C4608" s="12" t="s">
        <v>15</v>
      </c>
      <c r="D4608" s="12" t="s">
        <v>12</v>
      </c>
      <c r="E4608" s="12">
        <v>-99428</v>
      </c>
    </row>
    <row r="4609" spans="1:5">
      <c r="A4609" s="15">
        <v>43810</v>
      </c>
      <c r="B4609" s="13">
        <v>2513</v>
      </c>
      <c r="C4609" s="13" t="s">
        <v>17</v>
      </c>
      <c r="D4609" s="13" t="s">
        <v>10</v>
      </c>
      <c r="E4609" s="13">
        <v>-1084</v>
      </c>
    </row>
    <row r="4610" spans="1:5">
      <c r="A4610" s="14">
        <v>43810</v>
      </c>
      <c r="B4610" s="12">
        <v>1000</v>
      </c>
      <c r="C4610" s="12" t="s">
        <v>23</v>
      </c>
      <c r="D4610" s="12" t="s">
        <v>19</v>
      </c>
      <c r="E4610" s="12">
        <v>1094202</v>
      </c>
    </row>
    <row r="4611" spans="1:5">
      <c r="A4611" s="15">
        <v>43810</v>
      </c>
      <c r="B4611" s="13">
        <v>1000</v>
      </c>
      <c r="C4611" s="13" t="s">
        <v>23</v>
      </c>
      <c r="D4611" s="13" t="s">
        <v>19</v>
      </c>
      <c r="E4611" s="13">
        <v>1266171</v>
      </c>
    </row>
    <row r="4612" spans="1:5">
      <c r="A4612" s="14">
        <v>43811</v>
      </c>
      <c r="B4612" s="12">
        <v>1500</v>
      </c>
      <c r="C4612" s="12" t="s">
        <v>26</v>
      </c>
      <c r="D4612" s="12" t="s">
        <v>19</v>
      </c>
      <c r="E4612" s="12">
        <v>-61548</v>
      </c>
    </row>
    <row r="4613" spans="1:5">
      <c r="A4613" s="15">
        <v>43811</v>
      </c>
      <c r="B4613" s="13">
        <v>1500</v>
      </c>
      <c r="C4613" s="13" t="s">
        <v>26</v>
      </c>
      <c r="D4613" s="13" t="s">
        <v>19</v>
      </c>
      <c r="E4613" s="13">
        <v>-25597</v>
      </c>
    </row>
    <row r="4614" spans="1:5">
      <c r="A4614" s="14">
        <v>43811</v>
      </c>
      <c r="B4614" s="12">
        <v>2504</v>
      </c>
      <c r="C4614" s="12" t="s">
        <v>21</v>
      </c>
      <c r="D4614" s="12" t="s">
        <v>19</v>
      </c>
      <c r="E4614" s="12">
        <v>-825</v>
      </c>
    </row>
    <row r="4615" spans="1:5">
      <c r="A4615" s="15">
        <v>43811</v>
      </c>
      <c r="B4615" s="13">
        <v>2505</v>
      </c>
      <c r="C4615" s="13" t="s">
        <v>9</v>
      </c>
      <c r="D4615" s="13" t="s">
        <v>19</v>
      </c>
      <c r="E4615" s="13">
        <v>-463</v>
      </c>
    </row>
    <row r="4616" spans="1:5">
      <c r="A4616" s="14">
        <v>43811</v>
      </c>
      <c r="B4616" s="12">
        <v>2501</v>
      </c>
      <c r="C4616" s="12" t="s">
        <v>5</v>
      </c>
      <c r="D4616" s="12" t="s">
        <v>19</v>
      </c>
      <c r="E4616" s="12">
        <v>-70</v>
      </c>
    </row>
    <row r="4617" spans="1:5">
      <c r="A4617" s="15">
        <v>43811</v>
      </c>
      <c r="B4617" s="13">
        <v>2501</v>
      </c>
      <c r="C4617" s="13" t="s">
        <v>5</v>
      </c>
      <c r="D4617" s="13" t="s">
        <v>6</v>
      </c>
      <c r="E4617" s="13">
        <v>-170</v>
      </c>
    </row>
    <row r="4618" spans="1:5">
      <c r="A4618" s="14">
        <v>43811</v>
      </c>
      <c r="B4618" s="12">
        <v>2503</v>
      </c>
      <c r="C4618" s="12" t="s">
        <v>22</v>
      </c>
      <c r="D4618" s="12" t="s">
        <v>10</v>
      </c>
      <c r="E4618" s="12">
        <v>-262</v>
      </c>
    </row>
    <row r="4619" spans="1:5">
      <c r="A4619" s="15">
        <v>43811</v>
      </c>
      <c r="B4619" s="13">
        <v>2503</v>
      </c>
      <c r="C4619" s="13" t="s">
        <v>22</v>
      </c>
      <c r="D4619" s="13" t="s">
        <v>8</v>
      </c>
      <c r="E4619" s="13">
        <v>-331</v>
      </c>
    </row>
    <row r="4620" spans="1:5">
      <c r="A4620" s="14">
        <v>43811</v>
      </c>
      <c r="B4620" s="12">
        <v>2506</v>
      </c>
      <c r="C4620" s="12" t="s">
        <v>27</v>
      </c>
      <c r="D4620" s="12" t="s">
        <v>8</v>
      </c>
      <c r="E4620" s="12">
        <v>-437</v>
      </c>
    </row>
    <row r="4621" spans="1:5">
      <c r="A4621" s="15">
        <v>43811</v>
      </c>
      <c r="B4621" s="13">
        <v>2512</v>
      </c>
      <c r="C4621" s="13" t="s">
        <v>16</v>
      </c>
      <c r="D4621" s="13" t="s">
        <v>8</v>
      </c>
      <c r="E4621" s="13">
        <v>-3781</v>
      </c>
    </row>
    <row r="4622" spans="1:5">
      <c r="A4622" s="14">
        <v>43811</v>
      </c>
      <c r="B4622" s="12">
        <v>2513</v>
      </c>
      <c r="C4622" s="12" t="s">
        <v>17</v>
      </c>
      <c r="D4622" s="12" t="s">
        <v>14</v>
      </c>
      <c r="E4622" s="12">
        <v>-983</v>
      </c>
    </row>
    <row r="4623" spans="1:5">
      <c r="A4623" s="15">
        <v>43811</v>
      </c>
      <c r="B4623" s="13">
        <v>2513</v>
      </c>
      <c r="C4623" s="13" t="s">
        <v>17</v>
      </c>
      <c r="D4623" s="13" t="s">
        <v>12</v>
      </c>
      <c r="E4623" s="13">
        <v>-1515</v>
      </c>
    </row>
    <row r="4624" spans="1:5">
      <c r="A4624" s="14">
        <v>43811</v>
      </c>
      <c r="B4624" s="12">
        <v>2513</v>
      </c>
      <c r="C4624" s="12" t="s">
        <v>17</v>
      </c>
      <c r="D4624" s="12" t="s">
        <v>13</v>
      </c>
      <c r="E4624" s="12">
        <v>-477</v>
      </c>
    </row>
    <row r="4625" spans="1:5">
      <c r="A4625" s="15">
        <v>43811</v>
      </c>
      <c r="B4625" s="13">
        <v>2514</v>
      </c>
      <c r="C4625" s="13" t="s">
        <v>20</v>
      </c>
      <c r="D4625" s="13" t="s">
        <v>6</v>
      </c>
      <c r="E4625" s="13">
        <v>-1339</v>
      </c>
    </row>
    <row r="4626" spans="1:5">
      <c r="A4626" s="14">
        <v>43811</v>
      </c>
      <c r="B4626" s="12">
        <v>1000</v>
      </c>
      <c r="C4626" s="12" t="s">
        <v>23</v>
      </c>
      <c r="D4626" s="12" t="s">
        <v>19</v>
      </c>
      <c r="E4626" s="12">
        <v>1087379</v>
      </c>
    </row>
    <row r="4627" spans="1:5">
      <c r="A4627" s="15">
        <v>43812</v>
      </c>
      <c r="B4627" s="13">
        <v>2000</v>
      </c>
      <c r="C4627" s="13" t="s">
        <v>18</v>
      </c>
      <c r="D4627" s="13" t="s">
        <v>19</v>
      </c>
      <c r="E4627" s="13">
        <v>-245642</v>
      </c>
    </row>
    <row r="4628" spans="1:5">
      <c r="A4628" s="14">
        <v>43812</v>
      </c>
      <c r="B4628" s="12">
        <v>2000</v>
      </c>
      <c r="C4628" s="12" t="s">
        <v>18</v>
      </c>
      <c r="D4628" s="12" t="s">
        <v>19</v>
      </c>
      <c r="E4628" s="12">
        <v>-228883</v>
      </c>
    </row>
    <row r="4629" spans="1:5">
      <c r="A4629" s="15">
        <v>43812</v>
      </c>
      <c r="B4629" s="13">
        <v>1500</v>
      </c>
      <c r="C4629" s="13" t="s">
        <v>26</v>
      </c>
      <c r="D4629" s="13" t="s">
        <v>19</v>
      </c>
      <c r="E4629" s="13">
        <v>-46644</v>
      </c>
    </row>
    <row r="4630" spans="1:5">
      <c r="A4630" s="14">
        <v>43812</v>
      </c>
      <c r="B4630" s="12">
        <v>1500</v>
      </c>
      <c r="C4630" s="12" t="s">
        <v>26</v>
      </c>
      <c r="D4630" s="12" t="s">
        <v>19</v>
      </c>
      <c r="E4630" s="12">
        <v>-37647</v>
      </c>
    </row>
    <row r="4631" spans="1:5">
      <c r="A4631" s="15">
        <v>43812</v>
      </c>
      <c r="B4631" s="13">
        <v>2512</v>
      </c>
      <c r="C4631" s="13" t="s">
        <v>16</v>
      </c>
      <c r="D4631" s="13" t="s">
        <v>19</v>
      </c>
      <c r="E4631" s="13">
        <v>-9836</v>
      </c>
    </row>
    <row r="4632" spans="1:5">
      <c r="A4632" s="14">
        <v>43812</v>
      </c>
      <c r="B4632" s="12">
        <v>2504</v>
      </c>
      <c r="C4632" s="12" t="s">
        <v>21</v>
      </c>
      <c r="D4632" s="12" t="s">
        <v>19</v>
      </c>
      <c r="E4632" s="12">
        <v>-949</v>
      </c>
    </row>
    <row r="4633" spans="1:5">
      <c r="A4633" s="15">
        <v>43812</v>
      </c>
      <c r="B4633" s="13">
        <v>2503</v>
      </c>
      <c r="C4633" s="13" t="s">
        <v>22</v>
      </c>
      <c r="D4633" s="13" t="s">
        <v>19</v>
      </c>
      <c r="E4633" s="13">
        <v>-338</v>
      </c>
    </row>
    <row r="4634" spans="1:5">
      <c r="A4634" s="14">
        <v>43812</v>
      </c>
      <c r="B4634" s="12">
        <v>2502</v>
      </c>
      <c r="C4634" s="12" t="s">
        <v>7</v>
      </c>
      <c r="D4634" s="12" t="s">
        <v>14</v>
      </c>
      <c r="E4634" s="12">
        <v>-3720</v>
      </c>
    </row>
    <row r="4635" spans="1:5">
      <c r="A4635" s="15">
        <v>43812</v>
      </c>
      <c r="B4635" s="13">
        <v>2502</v>
      </c>
      <c r="C4635" s="13" t="s">
        <v>7</v>
      </c>
      <c r="D4635" s="13" t="s">
        <v>12</v>
      </c>
      <c r="E4635" s="13">
        <v>-8474</v>
      </c>
    </row>
    <row r="4636" spans="1:5">
      <c r="A4636" s="14">
        <v>43812</v>
      </c>
      <c r="B4636" s="12">
        <v>2512</v>
      </c>
      <c r="C4636" s="12" t="s">
        <v>16</v>
      </c>
      <c r="D4636" s="12" t="s">
        <v>14</v>
      </c>
      <c r="E4636" s="12">
        <v>-2799</v>
      </c>
    </row>
    <row r="4637" spans="1:5">
      <c r="A4637" s="15">
        <v>43812</v>
      </c>
      <c r="B4637" s="13">
        <v>2512</v>
      </c>
      <c r="C4637" s="13" t="s">
        <v>16</v>
      </c>
      <c r="D4637" s="13" t="s">
        <v>14</v>
      </c>
      <c r="E4637" s="13">
        <v>-2761</v>
      </c>
    </row>
    <row r="4638" spans="1:5">
      <c r="A4638" s="14">
        <v>43812</v>
      </c>
      <c r="B4638" s="12">
        <v>1000</v>
      </c>
      <c r="C4638" s="12" t="s">
        <v>23</v>
      </c>
      <c r="D4638" s="12" t="s">
        <v>19</v>
      </c>
      <c r="E4638" s="12">
        <v>971665</v>
      </c>
    </row>
    <row r="4639" spans="1:5">
      <c r="A4639" s="15">
        <v>43813</v>
      </c>
      <c r="B4639" s="13">
        <v>2000</v>
      </c>
      <c r="C4639" s="13" t="s">
        <v>18</v>
      </c>
      <c r="D4639" s="13" t="s">
        <v>19</v>
      </c>
      <c r="E4639" s="13">
        <v>-257427</v>
      </c>
    </row>
    <row r="4640" spans="1:5">
      <c r="A4640" s="14">
        <v>43813</v>
      </c>
      <c r="B4640" s="12">
        <v>2500</v>
      </c>
      <c r="C4640" s="12" t="s">
        <v>25</v>
      </c>
      <c r="D4640" s="12" t="s">
        <v>19</v>
      </c>
      <c r="E4640" s="12">
        <v>-18530</v>
      </c>
    </row>
    <row r="4641" spans="1:5">
      <c r="A4641" s="15">
        <v>43813</v>
      </c>
      <c r="B4641" s="13">
        <v>2510</v>
      </c>
      <c r="C4641" s="13" t="s">
        <v>24</v>
      </c>
      <c r="D4641" s="13" t="s">
        <v>19</v>
      </c>
      <c r="E4641" s="13">
        <v>-1165</v>
      </c>
    </row>
    <row r="4642" spans="1:5">
      <c r="A4642" s="14">
        <v>43813</v>
      </c>
      <c r="B4642" s="12">
        <v>2514</v>
      </c>
      <c r="C4642" s="12" t="s">
        <v>20</v>
      </c>
      <c r="D4642" s="12" t="s">
        <v>19</v>
      </c>
      <c r="E4642" s="12">
        <v>-1089</v>
      </c>
    </row>
    <row r="4643" spans="1:5">
      <c r="A4643" s="15">
        <v>43813</v>
      </c>
      <c r="B4643" s="13">
        <v>2501</v>
      </c>
      <c r="C4643" s="13" t="s">
        <v>5</v>
      </c>
      <c r="D4643" s="13" t="s">
        <v>19</v>
      </c>
      <c r="E4643" s="13">
        <v>-69</v>
      </c>
    </row>
    <row r="4644" spans="1:5">
      <c r="A4644" s="14">
        <v>43813</v>
      </c>
      <c r="B4644" s="12">
        <v>2508</v>
      </c>
      <c r="C4644" s="12" t="s">
        <v>15</v>
      </c>
      <c r="D4644" s="12" t="s">
        <v>13</v>
      </c>
      <c r="E4644" s="12">
        <v>-40445</v>
      </c>
    </row>
    <row r="4645" spans="1:5">
      <c r="A4645" s="15">
        <v>43813</v>
      </c>
      <c r="B4645" s="13">
        <v>2508</v>
      </c>
      <c r="C4645" s="13" t="s">
        <v>15</v>
      </c>
      <c r="D4645" s="13" t="s">
        <v>14</v>
      </c>
      <c r="E4645" s="13">
        <v>-61371</v>
      </c>
    </row>
    <row r="4646" spans="1:5">
      <c r="A4646" s="14">
        <v>43813</v>
      </c>
      <c r="B4646" s="12">
        <v>2508</v>
      </c>
      <c r="C4646" s="12" t="s">
        <v>15</v>
      </c>
      <c r="D4646" s="12" t="s">
        <v>14</v>
      </c>
      <c r="E4646" s="12">
        <v>-70081</v>
      </c>
    </row>
    <row r="4647" spans="1:5">
      <c r="A4647" s="15">
        <v>43813</v>
      </c>
      <c r="B4647" s="13">
        <v>2513</v>
      </c>
      <c r="C4647" s="13" t="s">
        <v>17</v>
      </c>
      <c r="D4647" s="13" t="s">
        <v>10</v>
      </c>
      <c r="E4647" s="13">
        <v>-1081</v>
      </c>
    </row>
    <row r="4648" spans="1:5">
      <c r="A4648" s="14">
        <v>43813</v>
      </c>
      <c r="B4648" s="12">
        <v>1000</v>
      </c>
      <c r="C4648" s="12" t="s">
        <v>23</v>
      </c>
      <c r="D4648" s="12" t="s">
        <v>19</v>
      </c>
      <c r="E4648" s="12">
        <v>1297935</v>
      </c>
    </row>
    <row r="4649" spans="1:5">
      <c r="A4649" s="15">
        <v>43814</v>
      </c>
      <c r="B4649" s="13">
        <v>2508</v>
      </c>
      <c r="C4649" s="13" t="s">
        <v>15</v>
      </c>
      <c r="D4649" s="13" t="s">
        <v>19</v>
      </c>
      <c r="E4649" s="13">
        <v>-56416</v>
      </c>
    </row>
    <row r="4650" spans="1:5">
      <c r="A4650" s="14">
        <v>43814</v>
      </c>
      <c r="B4650" s="12">
        <v>2500</v>
      </c>
      <c r="C4650" s="12" t="s">
        <v>25</v>
      </c>
      <c r="D4650" s="12" t="s">
        <v>19</v>
      </c>
      <c r="E4650" s="12">
        <v>-44033</v>
      </c>
    </row>
    <row r="4651" spans="1:5">
      <c r="A4651" s="15">
        <v>43814</v>
      </c>
      <c r="B4651" s="13">
        <v>1500</v>
      </c>
      <c r="C4651" s="13" t="s">
        <v>26</v>
      </c>
      <c r="D4651" s="13" t="s">
        <v>19</v>
      </c>
      <c r="E4651" s="13">
        <v>-24189</v>
      </c>
    </row>
    <row r="4652" spans="1:5">
      <c r="A4652" s="14">
        <v>43814</v>
      </c>
      <c r="B4652" s="12">
        <v>2513</v>
      </c>
      <c r="C4652" s="12" t="s">
        <v>17</v>
      </c>
      <c r="D4652" s="12" t="s">
        <v>19</v>
      </c>
      <c r="E4652" s="12">
        <v>-747</v>
      </c>
    </row>
    <row r="4653" spans="1:5">
      <c r="A4653" s="15">
        <v>43814</v>
      </c>
      <c r="B4653" s="13">
        <v>2505</v>
      </c>
      <c r="C4653" s="13" t="s">
        <v>9</v>
      </c>
      <c r="D4653" s="13" t="s">
        <v>19</v>
      </c>
      <c r="E4653" s="13">
        <v>-484</v>
      </c>
    </row>
    <row r="4654" spans="1:5">
      <c r="A4654" s="14">
        <v>43814</v>
      </c>
      <c r="B4654" s="12">
        <v>2513</v>
      </c>
      <c r="C4654" s="12" t="s">
        <v>17</v>
      </c>
      <c r="D4654" s="12" t="s">
        <v>19</v>
      </c>
      <c r="E4654" s="12">
        <v>-377</v>
      </c>
    </row>
    <row r="4655" spans="1:5">
      <c r="A4655" s="15">
        <v>43814</v>
      </c>
      <c r="B4655" s="13">
        <v>2503</v>
      </c>
      <c r="C4655" s="13" t="s">
        <v>22</v>
      </c>
      <c r="D4655" s="13" t="s">
        <v>19</v>
      </c>
      <c r="E4655" s="13">
        <v>-212</v>
      </c>
    </row>
    <row r="4656" spans="1:5">
      <c r="A4656" s="14">
        <v>43814</v>
      </c>
      <c r="B4656" s="12">
        <v>2501</v>
      </c>
      <c r="C4656" s="12" t="s">
        <v>5</v>
      </c>
      <c r="D4656" s="12" t="s">
        <v>19</v>
      </c>
      <c r="E4656" s="12">
        <v>-143</v>
      </c>
    </row>
    <row r="4657" spans="1:5">
      <c r="A4657" s="15">
        <v>43814</v>
      </c>
      <c r="B4657" s="13">
        <v>2503</v>
      </c>
      <c r="C4657" s="13" t="s">
        <v>22</v>
      </c>
      <c r="D4657" s="13" t="s">
        <v>13</v>
      </c>
      <c r="E4657" s="13">
        <v>-216</v>
      </c>
    </row>
    <row r="4658" spans="1:5">
      <c r="A4658" s="14">
        <v>43814</v>
      </c>
      <c r="B4658" s="12">
        <v>2510</v>
      </c>
      <c r="C4658" s="12" t="s">
        <v>24</v>
      </c>
      <c r="D4658" s="12" t="s">
        <v>13</v>
      </c>
      <c r="E4658" s="12">
        <v>-1432</v>
      </c>
    </row>
    <row r="4659" spans="1:5">
      <c r="A4659" s="15">
        <v>43814</v>
      </c>
      <c r="B4659" s="13">
        <v>2510</v>
      </c>
      <c r="C4659" s="13" t="s">
        <v>24</v>
      </c>
      <c r="D4659" s="13" t="s">
        <v>10</v>
      </c>
      <c r="E4659" s="13">
        <v>-1524</v>
      </c>
    </row>
    <row r="4660" spans="1:5">
      <c r="A4660" s="14">
        <v>43815</v>
      </c>
      <c r="B4660" s="12">
        <v>2508</v>
      </c>
      <c r="C4660" s="12" t="s">
        <v>15</v>
      </c>
      <c r="D4660" s="12" t="s">
        <v>19</v>
      </c>
      <c r="E4660" s="12">
        <v>-53503</v>
      </c>
    </row>
    <row r="4661" spans="1:5">
      <c r="A4661" s="15">
        <v>43815</v>
      </c>
      <c r="B4661" s="13">
        <v>2508</v>
      </c>
      <c r="C4661" s="13" t="s">
        <v>15</v>
      </c>
      <c r="D4661" s="13" t="s">
        <v>19</v>
      </c>
      <c r="E4661" s="13">
        <v>-50149</v>
      </c>
    </row>
    <row r="4662" spans="1:5">
      <c r="A4662" s="14">
        <v>43815</v>
      </c>
      <c r="B4662" s="12">
        <v>2512</v>
      </c>
      <c r="C4662" s="12" t="s">
        <v>16</v>
      </c>
      <c r="D4662" s="12" t="s">
        <v>19</v>
      </c>
      <c r="E4662" s="12">
        <v>-8679</v>
      </c>
    </row>
    <row r="4663" spans="1:5">
      <c r="A4663" s="15">
        <v>43815</v>
      </c>
      <c r="B4663" s="13">
        <v>2514</v>
      </c>
      <c r="C4663" s="13" t="s">
        <v>20</v>
      </c>
      <c r="D4663" s="13" t="s">
        <v>19</v>
      </c>
      <c r="E4663" s="13">
        <v>-1124</v>
      </c>
    </row>
    <row r="4664" spans="1:5">
      <c r="A4664" s="14">
        <v>43815</v>
      </c>
      <c r="B4664" s="12">
        <v>2504</v>
      </c>
      <c r="C4664" s="12" t="s">
        <v>21</v>
      </c>
      <c r="D4664" s="12" t="s">
        <v>19</v>
      </c>
      <c r="E4664" s="12">
        <v>-980</v>
      </c>
    </row>
    <row r="4665" spans="1:5">
      <c r="A4665" s="15">
        <v>43815</v>
      </c>
      <c r="B4665" s="13">
        <v>2514</v>
      </c>
      <c r="C4665" s="13" t="s">
        <v>20</v>
      </c>
      <c r="D4665" s="13" t="s">
        <v>19</v>
      </c>
      <c r="E4665" s="13">
        <v>-943</v>
      </c>
    </row>
    <row r="4666" spans="1:5">
      <c r="A4666" s="14">
        <v>43815</v>
      </c>
      <c r="B4666" s="12">
        <v>2514</v>
      </c>
      <c r="C4666" s="12" t="s">
        <v>20</v>
      </c>
      <c r="D4666" s="12" t="s">
        <v>19</v>
      </c>
      <c r="E4666" s="12">
        <v>-935</v>
      </c>
    </row>
    <row r="4667" spans="1:5">
      <c r="A4667" s="15">
        <v>43815</v>
      </c>
      <c r="B4667" s="13">
        <v>2513</v>
      </c>
      <c r="C4667" s="13" t="s">
        <v>17</v>
      </c>
      <c r="D4667" s="13" t="s">
        <v>19</v>
      </c>
      <c r="E4667" s="13">
        <v>-888</v>
      </c>
    </row>
    <row r="4668" spans="1:5">
      <c r="A4668" s="14">
        <v>43815</v>
      </c>
      <c r="B4668" s="12">
        <v>2505</v>
      </c>
      <c r="C4668" s="12" t="s">
        <v>9</v>
      </c>
      <c r="D4668" s="12" t="s">
        <v>19</v>
      </c>
      <c r="E4668" s="12">
        <v>-409</v>
      </c>
    </row>
    <row r="4669" spans="1:5">
      <c r="A4669" s="15">
        <v>43815</v>
      </c>
      <c r="B4669" s="13">
        <v>2503</v>
      </c>
      <c r="C4669" s="13" t="s">
        <v>22</v>
      </c>
      <c r="D4669" s="13" t="s">
        <v>19</v>
      </c>
      <c r="E4669" s="13">
        <v>-238</v>
      </c>
    </row>
    <row r="4670" spans="1:5">
      <c r="A4670" s="14">
        <v>43815</v>
      </c>
      <c r="B4670" s="12">
        <v>2501</v>
      </c>
      <c r="C4670" s="12" t="s">
        <v>5</v>
      </c>
      <c r="D4670" s="12" t="s">
        <v>12</v>
      </c>
      <c r="E4670" s="12">
        <v>-159</v>
      </c>
    </row>
    <row r="4671" spans="1:5">
      <c r="A4671" s="15">
        <v>43815</v>
      </c>
      <c r="B4671" s="13">
        <v>2508</v>
      </c>
      <c r="C4671" s="13" t="s">
        <v>15</v>
      </c>
      <c r="D4671" s="13" t="s">
        <v>8</v>
      </c>
      <c r="E4671" s="13">
        <v>-78254</v>
      </c>
    </row>
    <row r="4672" spans="1:5">
      <c r="A4672" s="14">
        <v>43815</v>
      </c>
      <c r="B4672" s="12">
        <v>2512</v>
      </c>
      <c r="C4672" s="12" t="s">
        <v>16</v>
      </c>
      <c r="D4672" s="12" t="s">
        <v>14</v>
      </c>
      <c r="E4672" s="12">
        <v>-2769</v>
      </c>
    </row>
    <row r="4673" spans="1:5">
      <c r="A4673" s="15">
        <v>43816</v>
      </c>
      <c r="B4673" s="13">
        <v>1500</v>
      </c>
      <c r="C4673" s="13" t="s">
        <v>26</v>
      </c>
      <c r="D4673" s="13" t="s">
        <v>19</v>
      </c>
      <c r="E4673" s="13">
        <v>-49850</v>
      </c>
    </row>
    <row r="4674" spans="1:5">
      <c r="A4674" s="14">
        <v>43816</v>
      </c>
      <c r="B4674" s="12">
        <v>2508</v>
      </c>
      <c r="C4674" s="12" t="s">
        <v>15</v>
      </c>
      <c r="D4674" s="12" t="s">
        <v>19</v>
      </c>
      <c r="E4674" s="12">
        <v>-47519</v>
      </c>
    </row>
    <row r="4675" spans="1:5">
      <c r="A4675" s="15">
        <v>43816</v>
      </c>
      <c r="B4675" s="13">
        <v>2500</v>
      </c>
      <c r="C4675" s="13" t="s">
        <v>25</v>
      </c>
      <c r="D4675" s="13" t="s">
        <v>19</v>
      </c>
      <c r="E4675" s="13">
        <v>-41275</v>
      </c>
    </row>
    <row r="4676" spans="1:5">
      <c r="A4676" s="14">
        <v>43816</v>
      </c>
      <c r="B4676" s="12">
        <v>2502</v>
      </c>
      <c r="C4676" s="12" t="s">
        <v>7</v>
      </c>
      <c r="D4676" s="12" t="s">
        <v>19</v>
      </c>
      <c r="E4676" s="12">
        <v>-4294</v>
      </c>
    </row>
    <row r="4677" spans="1:5">
      <c r="A4677" s="15">
        <v>43816</v>
      </c>
      <c r="B4677" s="13">
        <v>2502</v>
      </c>
      <c r="C4677" s="13" t="s">
        <v>7</v>
      </c>
      <c r="D4677" s="13" t="s">
        <v>19</v>
      </c>
      <c r="E4677" s="13">
        <v>-3434</v>
      </c>
    </row>
    <row r="4678" spans="1:5">
      <c r="A4678" s="14">
        <v>43816</v>
      </c>
      <c r="B4678" s="12">
        <v>2504</v>
      </c>
      <c r="C4678" s="12" t="s">
        <v>21</v>
      </c>
      <c r="D4678" s="12" t="s">
        <v>19</v>
      </c>
      <c r="E4678" s="12">
        <v>-2312</v>
      </c>
    </row>
    <row r="4679" spans="1:5">
      <c r="A4679" s="15">
        <v>43816</v>
      </c>
      <c r="B4679" s="13">
        <v>2513</v>
      </c>
      <c r="C4679" s="13" t="s">
        <v>17</v>
      </c>
      <c r="D4679" s="13" t="s">
        <v>19</v>
      </c>
      <c r="E4679" s="13">
        <v>-574</v>
      </c>
    </row>
    <row r="4680" spans="1:5">
      <c r="A4680" s="14">
        <v>43816</v>
      </c>
      <c r="B4680" s="12">
        <v>2505</v>
      </c>
      <c r="C4680" s="12" t="s">
        <v>9</v>
      </c>
      <c r="D4680" s="12" t="s">
        <v>19</v>
      </c>
      <c r="E4680" s="12">
        <v>-533</v>
      </c>
    </row>
    <row r="4681" spans="1:5">
      <c r="A4681" s="15">
        <v>43816</v>
      </c>
      <c r="B4681" s="13">
        <v>2503</v>
      </c>
      <c r="C4681" s="13" t="s">
        <v>22</v>
      </c>
      <c r="D4681" s="13" t="s">
        <v>8</v>
      </c>
      <c r="E4681" s="13">
        <v>-420</v>
      </c>
    </row>
    <row r="4682" spans="1:5">
      <c r="A4682" s="14">
        <v>43816</v>
      </c>
      <c r="B4682" s="12">
        <v>2506</v>
      </c>
      <c r="C4682" s="12" t="s">
        <v>27</v>
      </c>
      <c r="D4682" s="12" t="s">
        <v>14</v>
      </c>
      <c r="E4682" s="12">
        <v>-541</v>
      </c>
    </row>
    <row r="4683" spans="1:5">
      <c r="A4683" s="15">
        <v>43816</v>
      </c>
      <c r="B4683" s="13">
        <v>2508</v>
      </c>
      <c r="C4683" s="13" t="s">
        <v>15</v>
      </c>
      <c r="D4683" s="13" t="s">
        <v>8</v>
      </c>
      <c r="E4683" s="13">
        <v>-78444</v>
      </c>
    </row>
    <row r="4684" spans="1:5">
      <c r="A4684" s="14">
        <v>43816</v>
      </c>
      <c r="B4684" s="12">
        <v>2513</v>
      </c>
      <c r="C4684" s="12" t="s">
        <v>17</v>
      </c>
      <c r="D4684" s="12" t="s">
        <v>6</v>
      </c>
      <c r="E4684" s="12">
        <v>-1024</v>
      </c>
    </row>
    <row r="4685" spans="1:5">
      <c r="A4685" s="15">
        <v>43816</v>
      </c>
      <c r="B4685" s="13">
        <v>2514</v>
      </c>
      <c r="C4685" s="13" t="s">
        <v>20</v>
      </c>
      <c r="D4685" s="13" t="s">
        <v>12</v>
      </c>
      <c r="E4685" s="13">
        <v>-1935</v>
      </c>
    </row>
    <row r="4686" spans="1:5">
      <c r="A4686" s="14">
        <v>43816</v>
      </c>
      <c r="B4686" s="12">
        <v>1000</v>
      </c>
      <c r="C4686" s="12" t="s">
        <v>23</v>
      </c>
      <c r="D4686" s="12" t="s">
        <v>19</v>
      </c>
      <c r="E4686" s="12">
        <v>1017611</v>
      </c>
    </row>
    <row r="4687" spans="1:5">
      <c r="A4687" s="15">
        <v>43817</v>
      </c>
      <c r="B4687" s="13">
        <v>2508</v>
      </c>
      <c r="C4687" s="13" t="s">
        <v>15</v>
      </c>
      <c r="D4687" s="13" t="s">
        <v>19</v>
      </c>
      <c r="E4687" s="13">
        <v>-50645</v>
      </c>
    </row>
    <row r="4688" spans="1:5">
      <c r="A4688" s="14">
        <v>43817</v>
      </c>
      <c r="B4688" s="12">
        <v>1500</v>
      </c>
      <c r="C4688" s="12" t="s">
        <v>26</v>
      </c>
      <c r="D4688" s="12" t="s">
        <v>19</v>
      </c>
      <c r="E4688" s="12">
        <v>-16918</v>
      </c>
    </row>
    <row r="4689" spans="1:5">
      <c r="A4689" s="15">
        <v>43817</v>
      </c>
      <c r="B4689" s="13">
        <v>2502</v>
      </c>
      <c r="C4689" s="13" t="s">
        <v>7</v>
      </c>
      <c r="D4689" s="13" t="s">
        <v>19</v>
      </c>
      <c r="E4689" s="13">
        <v>-4102</v>
      </c>
    </row>
    <row r="4690" spans="1:5">
      <c r="A4690" s="14">
        <v>43817</v>
      </c>
      <c r="B4690" s="12">
        <v>2504</v>
      </c>
      <c r="C4690" s="12" t="s">
        <v>21</v>
      </c>
      <c r="D4690" s="12" t="s">
        <v>19</v>
      </c>
      <c r="E4690" s="12">
        <v>-1937</v>
      </c>
    </row>
    <row r="4691" spans="1:5">
      <c r="A4691" s="15">
        <v>43817</v>
      </c>
      <c r="B4691" s="13">
        <v>2501</v>
      </c>
      <c r="C4691" s="13" t="s">
        <v>5</v>
      </c>
      <c r="D4691" s="13" t="s">
        <v>8</v>
      </c>
      <c r="E4691" s="13">
        <v>-166</v>
      </c>
    </row>
    <row r="4692" spans="1:5">
      <c r="A4692" s="14">
        <v>43817</v>
      </c>
      <c r="B4692" s="12">
        <v>2502</v>
      </c>
      <c r="C4692" s="12" t="s">
        <v>7</v>
      </c>
      <c r="D4692" s="12" t="s">
        <v>6</v>
      </c>
      <c r="E4692" s="12">
        <v>-2979</v>
      </c>
    </row>
    <row r="4693" spans="1:5">
      <c r="A4693" s="15">
        <v>43817</v>
      </c>
      <c r="B4693" s="13">
        <v>2503</v>
      </c>
      <c r="C4693" s="13" t="s">
        <v>22</v>
      </c>
      <c r="D4693" s="13" t="s">
        <v>12</v>
      </c>
      <c r="E4693" s="13">
        <v>-474</v>
      </c>
    </row>
    <row r="4694" spans="1:5">
      <c r="A4694" s="14">
        <v>43817</v>
      </c>
      <c r="B4694" s="12">
        <v>2505</v>
      </c>
      <c r="C4694" s="12" t="s">
        <v>9</v>
      </c>
      <c r="D4694" s="12" t="s">
        <v>13</v>
      </c>
      <c r="E4694" s="12">
        <v>-367</v>
      </c>
    </row>
    <row r="4695" spans="1:5">
      <c r="A4695" s="15">
        <v>43817</v>
      </c>
      <c r="B4695" s="13">
        <v>2505</v>
      </c>
      <c r="C4695" s="13" t="s">
        <v>9</v>
      </c>
      <c r="D4695" s="13" t="s">
        <v>13</v>
      </c>
      <c r="E4695" s="13">
        <v>-382</v>
      </c>
    </row>
    <row r="4696" spans="1:5">
      <c r="A4696" s="14">
        <v>43817</v>
      </c>
      <c r="B4696" s="12">
        <v>2506</v>
      </c>
      <c r="C4696" s="12" t="s">
        <v>27</v>
      </c>
      <c r="D4696" s="12" t="s">
        <v>14</v>
      </c>
      <c r="E4696" s="12">
        <v>-556</v>
      </c>
    </row>
    <row r="4697" spans="1:5">
      <c r="A4697" s="15">
        <v>43817</v>
      </c>
      <c r="B4697" s="13">
        <v>2508</v>
      </c>
      <c r="C4697" s="13" t="s">
        <v>15</v>
      </c>
      <c r="D4697" s="13" t="s">
        <v>14</v>
      </c>
      <c r="E4697" s="13">
        <v>-59669</v>
      </c>
    </row>
    <row r="4698" spans="1:5">
      <c r="A4698" s="14">
        <v>43817</v>
      </c>
      <c r="B4698" s="12">
        <v>2508</v>
      </c>
      <c r="C4698" s="12" t="s">
        <v>15</v>
      </c>
      <c r="D4698" s="12" t="s">
        <v>13</v>
      </c>
      <c r="E4698" s="12">
        <v>-54605</v>
      </c>
    </row>
    <row r="4699" spans="1:5">
      <c r="A4699" s="15">
        <v>43817</v>
      </c>
      <c r="B4699" s="13">
        <v>2512</v>
      </c>
      <c r="C4699" s="13" t="s">
        <v>16</v>
      </c>
      <c r="D4699" s="13" t="s">
        <v>8</v>
      </c>
      <c r="E4699" s="13">
        <v>-4598</v>
      </c>
    </row>
    <row r="4700" spans="1:5">
      <c r="A4700" s="14">
        <v>43817</v>
      </c>
      <c r="B4700" s="12">
        <v>2512</v>
      </c>
      <c r="C4700" s="12" t="s">
        <v>16</v>
      </c>
      <c r="D4700" s="12" t="s">
        <v>14</v>
      </c>
      <c r="E4700" s="12">
        <v>-3010</v>
      </c>
    </row>
    <row r="4701" spans="1:5">
      <c r="A4701" s="15">
        <v>43817</v>
      </c>
      <c r="B4701" s="13">
        <v>2514</v>
      </c>
      <c r="C4701" s="13" t="s">
        <v>20</v>
      </c>
      <c r="D4701" s="13" t="s">
        <v>8</v>
      </c>
      <c r="E4701" s="13">
        <v>-1403</v>
      </c>
    </row>
    <row r="4702" spans="1:5">
      <c r="A4702" s="14">
        <v>43818</v>
      </c>
      <c r="B4702" s="12">
        <v>2000</v>
      </c>
      <c r="C4702" s="12" t="s">
        <v>18</v>
      </c>
      <c r="D4702" s="12" t="s">
        <v>19</v>
      </c>
      <c r="E4702" s="12">
        <v>-263022</v>
      </c>
    </row>
    <row r="4703" spans="1:5">
      <c r="A4703" s="15">
        <v>43818</v>
      </c>
      <c r="B4703" s="13">
        <v>1500</v>
      </c>
      <c r="C4703" s="13" t="s">
        <v>26</v>
      </c>
      <c r="D4703" s="13" t="s">
        <v>19</v>
      </c>
      <c r="E4703" s="13">
        <v>-2335</v>
      </c>
    </row>
    <row r="4704" spans="1:5">
      <c r="A4704" s="14">
        <v>43818</v>
      </c>
      <c r="B4704" s="12">
        <v>2504</v>
      </c>
      <c r="C4704" s="12" t="s">
        <v>21</v>
      </c>
      <c r="D4704" s="12" t="s">
        <v>19</v>
      </c>
      <c r="E4704" s="12">
        <v>-2209</v>
      </c>
    </row>
    <row r="4705" spans="1:5">
      <c r="A4705" s="15">
        <v>43818</v>
      </c>
      <c r="B4705" s="13">
        <v>2510</v>
      </c>
      <c r="C4705" s="13" t="s">
        <v>24</v>
      </c>
      <c r="D4705" s="13" t="s">
        <v>19</v>
      </c>
      <c r="E4705" s="13">
        <v>-731</v>
      </c>
    </row>
    <row r="4706" spans="1:5">
      <c r="A4706" s="14">
        <v>43818</v>
      </c>
      <c r="B4706" s="12">
        <v>1000</v>
      </c>
      <c r="C4706" s="12" t="s">
        <v>23</v>
      </c>
      <c r="D4706" s="12" t="s">
        <v>19</v>
      </c>
      <c r="E4706" s="12">
        <v>792522</v>
      </c>
    </row>
    <row r="4707" spans="1:5">
      <c r="A4707" s="15">
        <v>43818</v>
      </c>
      <c r="B4707" s="13">
        <v>2501</v>
      </c>
      <c r="C4707" s="13" t="s">
        <v>5</v>
      </c>
      <c r="D4707" s="13" t="s">
        <v>14</v>
      </c>
      <c r="E4707" s="13">
        <v>-94</v>
      </c>
    </row>
    <row r="4708" spans="1:5">
      <c r="A4708" s="14">
        <v>43818</v>
      </c>
      <c r="B4708" s="12">
        <v>2503</v>
      </c>
      <c r="C4708" s="12" t="s">
        <v>22</v>
      </c>
      <c r="D4708" s="12" t="s">
        <v>6</v>
      </c>
      <c r="E4708" s="12">
        <v>-345</v>
      </c>
    </row>
    <row r="4709" spans="1:5">
      <c r="A4709" s="15">
        <v>43818</v>
      </c>
      <c r="B4709" s="13">
        <v>2505</v>
      </c>
      <c r="C4709" s="13" t="s">
        <v>9</v>
      </c>
      <c r="D4709" s="13" t="s">
        <v>13</v>
      </c>
      <c r="E4709" s="13">
        <v>-449</v>
      </c>
    </row>
    <row r="4710" spans="1:5">
      <c r="A4710" s="14">
        <v>43818</v>
      </c>
      <c r="B4710" s="12">
        <v>2514</v>
      </c>
      <c r="C4710" s="12" t="s">
        <v>20</v>
      </c>
      <c r="D4710" s="12" t="s">
        <v>12</v>
      </c>
      <c r="E4710" s="12">
        <v>-1686</v>
      </c>
    </row>
    <row r="4711" spans="1:5">
      <c r="A4711" s="15">
        <v>43819</v>
      </c>
      <c r="B4711" s="13">
        <v>2508</v>
      </c>
      <c r="C4711" s="13" t="s">
        <v>15</v>
      </c>
      <c r="D4711" s="13" t="s">
        <v>19</v>
      </c>
      <c r="E4711" s="13">
        <v>-40710</v>
      </c>
    </row>
    <row r="4712" spans="1:5">
      <c r="A4712" s="14">
        <v>43819</v>
      </c>
      <c r="B4712" s="12">
        <v>1500</v>
      </c>
      <c r="C4712" s="12" t="s">
        <v>26</v>
      </c>
      <c r="D4712" s="12" t="s">
        <v>19</v>
      </c>
      <c r="E4712" s="12">
        <v>-23595</v>
      </c>
    </row>
    <row r="4713" spans="1:5">
      <c r="A4713" s="15">
        <v>43819</v>
      </c>
      <c r="B4713" s="13">
        <v>2502</v>
      </c>
      <c r="C4713" s="13" t="s">
        <v>7</v>
      </c>
      <c r="D4713" s="13" t="s">
        <v>19</v>
      </c>
      <c r="E4713" s="13">
        <v>-3967</v>
      </c>
    </row>
    <row r="4714" spans="1:5">
      <c r="A4714" s="14">
        <v>43819</v>
      </c>
      <c r="B4714" s="12">
        <v>2510</v>
      </c>
      <c r="C4714" s="12" t="s">
        <v>24</v>
      </c>
      <c r="D4714" s="12" t="s">
        <v>19</v>
      </c>
      <c r="E4714" s="12">
        <v>-634</v>
      </c>
    </row>
    <row r="4715" spans="1:5">
      <c r="A4715" s="15">
        <v>43819</v>
      </c>
      <c r="B4715" s="13">
        <v>2505</v>
      </c>
      <c r="C4715" s="13" t="s">
        <v>9</v>
      </c>
      <c r="D4715" s="13" t="s">
        <v>19</v>
      </c>
      <c r="E4715" s="13">
        <v>-495</v>
      </c>
    </row>
    <row r="4716" spans="1:5">
      <c r="A4716" s="14">
        <v>43819</v>
      </c>
      <c r="B4716" s="12">
        <v>2501</v>
      </c>
      <c r="C4716" s="12" t="s">
        <v>5</v>
      </c>
      <c r="D4716" s="12" t="s">
        <v>19</v>
      </c>
      <c r="E4716" s="12">
        <v>-113</v>
      </c>
    </row>
    <row r="4717" spans="1:5">
      <c r="A4717" s="15">
        <v>43819</v>
      </c>
      <c r="B4717" s="13">
        <v>2501</v>
      </c>
      <c r="C4717" s="13" t="s">
        <v>5</v>
      </c>
      <c r="D4717" s="13" t="s">
        <v>12</v>
      </c>
      <c r="E4717" s="13">
        <v>-300</v>
      </c>
    </row>
    <row r="4718" spans="1:5">
      <c r="A4718" s="14">
        <v>43819</v>
      </c>
      <c r="B4718" s="12">
        <v>2503</v>
      </c>
      <c r="C4718" s="12" t="s">
        <v>22</v>
      </c>
      <c r="D4718" s="12" t="s">
        <v>12</v>
      </c>
      <c r="E4718" s="12">
        <v>-469</v>
      </c>
    </row>
    <row r="4719" spans="1:5">
      <c r="A4719" s="15">
        <v>43819</v>
      </c>
      <c r="B4719" s="13">
        <v>2503</v>
      </c>
      <c r="C4719" s="13" t="s">
        <v>22</v>
      </c>
      <c r="D4719" s="13" t="s">
        <v>13</v>
      </c>
      <c r="E4719" s="13">
        <v>-259</v>
      </c>
    </row>
    <row r="4720" spans="1:5">
      <c r="A4720" s="14">
        <v>43819</v>
      </c>
      <c r="B4720" s="12">
        <v>2505</v>
      </c>
      <c r="C4720" s="12" t="s">
        <v>9</v>
      </c>
      <c r="D4720" s="12" t="s">
        <v>12</v>
      </c>
      <c r="E4720" s="12">
        <v>-689</v>
      </c>
    </row>
    <row r="4721" spans="1:5">
      <c r="A4721" s="15">
        <v>43819</v>
      </c>
      <c r="B4721" s="13">
        <v>2508</v>
      </c>
      <c r="C4721" s="13" t="s">
        <v>15</v>
      </c>
      <c r="D4721" s="13" t="s">
        <v>12</v>
      </c>
      <c r="E4721" s="13">
        <v>-90184</v>
      </c>
    </row>
    <row r="4722" spans="1:5">
      <c r="A4722" s="14">
        <v>43819</v>
      </c>
      <c r="B4722" s="12">
        <v>2508</v>
      </c>
      <c r="C4722" s="12" t="s">
        <v>15</v>
      </c>
      <c r="D4722" s="12" t="s">
        <v>10</v>
      </c>
      <c r="E4722" s="12">
        <v>-63948</v>
      </c>
    </row>
    <row r="4723" spans="1:5">
      <c r="A4723" s="15">
        <v>43820</v>
      </c>
      <c r="B4723" s="13">
        <v>2508</v>
      </c>
      <c r="C4723" s="13" t="s">
        <v>15</v>
      </c>
      <c r="D4723" s="13" t="s">
        <v>19</v>
      </c>
      <c r="E4723" s="13">
        <v>-45955</v>
      </c>
    </row>
    <row r="4724" spans="1:5">
      <c r="A4724" s="14">
        <v>43820</v>
      </c>
      <c r="B4724" s="12">
        <v>2512</v>
      </c>
      <c r="C4724" s="12" t="s">
        <v>16</v>
      </c>
      <c r="D4724" s="12" t="s">
        <v>19</v>
      </c>
      <c r="E4724" s="12">
        <v>-5980</v>
      </c>
    </row>
    <row r="4725" spans="1:5">
      <c r="A4725" s="15">
        <v>43820</v>
      </c>
      <c r="B4725" s="13">
        <v>2514</v>
      </c>
      <c r="C4725" s="13" t="s">
        <v>20</v>
      </c>
      <c r="D4725" s="13" t="s">
        <v>19</v>
      </c>
      <c r="E4725" s="13">
        <v>-1125</v>
      </c>
    </row>
    <row r="4726" spans="1:5">
      <c r="A4726" s="14">
        <v>43820</v>
      </c>
      <c r="B4726" s="12">
        <v>2514</v>
      </c>
      <c r="C4726" s="12" t="s">
        <v>20</v>
      </c>
      <c r="D4726" s="12" t="s">
        <v>19</v>
      </c>
      <c r="E4726" s="12">
        <v>-944</v>
      </c>
    </row>
    <row r="4727" spans="1:5">
      <c r="A4727" s="15">
        <v>43820</v>
      </c>
      <c r="B4727" s="13">
        <v>2503</v>
      </c>
      <c r="C4727" s="13" t="s">
        <v>22</v>
      </c>
      <c r="D4727" s="13" t="s">
        <v>19</v>
      </c>
      <c r="E4727" s="13">
        <v>-229</v>
      </c>
    </row>
    <row r="4728" spans="1:5">
      <c r="A4728" s="14">
        <v>43820</v>
      </c>
      <c r="B4728" s="12">
        <v>2501</v>
      </c>
      <c r="C4728" s="12" t="s">
        <v>5</v>
      </c>
      <c r="D4728" s="12" t="s">
        <v>19</v>
      </c>
      <c r="E4728" s="12">
        <v>-77</v>
      </c>
    </row>
    <row r="4729" spans="1:5">
      <c r="A4729" s="15">
        <v>43820</v>
      </c>
      <c r="B4729" s="13">
        <v>2503</v>
      </c>
      <c r="C4729" s="13" t="s">
        <v>22</v>
      </c>
      <c r="D4729" s="13" t="s">
        <v>13</v>
      </c>
      <c r="E4729" s="13">
        <v>-251</v>
      </c>
    </row>
    <row r="4730" spans="1:5">
      <c r="A4730" s="14">
        <v>43820</v>
      </c>
      <c r="B4730" s="12">
        <v>2508</v>
      </c>
      <c r="C4730" s="12" t="s">
        <v>15</v>
      </c>
      <c r="D4730" s="12" t="s">
        <v>14</v>
      </c>
      <c r="E4730" s="12">
        <v>-68810</v>
      </c>
    </row>
    <row r="4731" spans="1:5">
      <c r="A4731" s="15">
        <v>43820</v>
      </c>
      <c r="B4731" s="13">
        <v>2512</v>
      </c>
      <c r="C4731" s="13" t="s">
        <v>16</v>
      </c>
      <c r="D4731" s="13" t="s">
        <v>14</v>
      </c>
      <c r="E4731" s="13">
        <v>-3357</v>
      </c>
    </row>
    <row r="4732" spans="1:5">
      <c r="A4732" s="14">
        <v>43820</v>
      </c>
      <c r="B4732" s="12">
        <v>2513</v>
      </c>
      <c r="C4732" s="12" t="s">
        <v>17</v>
      </c>
      <c r="D4732" s="12" t="s">
        <v>8</v>
      </c>
      <c r="E4732" s="12">
        <v>-585</v>
      </c>
    </row>
    <row r="4733" spans="1:5">
      <c r="A4733" s="15">
        <v>43820</v>
      </c>
      <c r="B4733" s="13">
        <v>2513</v>
      </c>
      <c r="C4733" s="13" t="s">
        <v>17</v>
      </c>
      <c r="D4733" s="13" t="s">
        <v>12</v>
      </c>
      <c r="E4733" s="13">
        <v>-1062</v>
      </c>
    </row>
    <row r="4734" spans="1:5">
      <c r="A4734" s="14">
        <v>43821</v>
      </c>
      <c r="B4734" s="12">
        <v>2000</v>
      </c>
      <c r="C4734" s="12" t="s">
        <v>18</v>
      </c>
      <c r="D4734" s="12" t="s">
        <v>19</v>
      </c>
      <c r="E4734" s="12">
        <v>-213893</v>
      </c>
    </row>
    <row r="4735" spans="1:5">
      <c r="A4735" s="15">
        <v>43821</v>
      </c>
      <c r="B4735" s="13">
        <v>2000</v>
      </c>
      <c r="C4735" s="13" t="s">
        <v>18</v>
      </c>
      <c r="D4735" s="13" t="s">
        <v>19</v>
      </c>
      <c r="E4735" s="13">
        <v>-187845</v>
      </c>
    </row>
    <row r="4736" spans="1:5">
      <c r="A4736" s="14">
        <v>43821</v>
      </c>
      <c r="B4736" s="12">
        <v>2512</v>
      </c>
      <c r="C4736" s="12" t="s">
        <v>16</v>
      </c>
      <c r="D4736" s="12" t="s">
        <v>19</v>
      </c>
      <c r="E4736" s="12">
        <v>-6868</v>
      </c>
    </row>
    <row r="4737" spans="1:5">
      <c r="A4737" s="15">
        <v>43821</v>
      </c>
      <c r="B4737" s="13">
        <v>2502</v>
      </c>
      <c r="C4737" s="13" t="s">
        <v>7</v>
      </c>
      <c r="D4737" s="13" t="s">
        <v>19</v>
      </c>
      <c r="E4737" s="13">
        <v>-4155</v>
      </c>
    </row>
    <row r="4738" spans="1:5">
      <c r="A4738" s="14">
        <v>43821</v>
      </c>
      <c r="B4738" s="12">
        <v>1000</v>
      </c>
      <c r="C4738" s="12" t="s">
        <v>23</v>
      </c>
      <c r="D4738" s="12" t="s">
        <v>19</v>
      </c>
      <c r="E4738" s="12">
        <v>1064091</v>
      </c>
    </row>
    <row r="4739" spans="1:5">
      <c r="A4739" s="15">
        <v>43821</v>
      </c>
      <c r="B4739" s="13">
        <v>2503</v>
      </c>
      <c r="C4739" s="13" t="s">
        <v>22</v>
      </c>
      <c r="D4739" s="13" t="s">
        <v>14</v>
      </c>
      <c r="E4739" s="13">
        <v>-373</v>
      </c>
    </row>
    <row r="4740" spans="1:5">
      <c r="A4740" s="14">
        <v>43821</v>
      </c>
      <c r="B4740" s="12">
        <v>2503</v>
      </c>
      <c r="C4740" s="12" t="s">
        <v>22</v>
      </c>
      <c r="D4740" s="12" t="s">
        <v>10</v>
      </c>
      <c r="E4740" s="12">
        <v>-290</v>
      </c>
    </row>
    <row r="4741" spans="1:5">
      <c r="A4741" s="15">
        <v>43821</v>
      </c>
      <c r="B4741" s="13">
        <v>2503</v>
      </c>
      <c r="C4741" s="13" t="s">
        <v>22</v>
      </c>
      <c r="D4741" s="13" t="s">
        <v>10</v>
      </c>
      <c r="E4741" s="13">
        <v>-354</v>
      </c>
    </row>
    <row r="4742" spans="1:5">
      <c r="A4742" s="14">
        <v>43821</v>
      </c>
      <c r="B4742" s="12">
        <v>2505</v>
      </c>
      <c r="C4742" s="12" t="s">
        <v>9</v>
      </c>
      <c r="D4742" s="12" t="s">
        <v>14</v>
      </c>
      <c r="E4742" s="12">
        <v>-551</v>
      </c>
    </row>
    <row r="4743" spans="1:5">
      <c r="A4743" s="15">
        <v>43821</v>
      </c>
      <c r="B4743" s="13">
        <v>2505</v>
      </c>
      <c r="C4743" s="13" t="s">
        <v>9</v>
      </c>
      <c r="D4743" s="13" t="s">
        <v>8</v>
      </c>
      <c r="E4743" s="13">
        <v>-440</v>
      </c>
    </row>
    <row r="4744" spans="1:5">
      <c r="A4744" s="14">
        <v>43821</v>
      </c>
      <c r="B4744" s="12">
        <v>2508</v>
      </c>
      <c r="C4744" s="12" t="s">
        <v>15</v>
      </c>
      <c r="D4744" s="12" t="s">
        <v>6</v>
      </c>
      <c r="E4744" s="12">
        <v>-55678</v>
      </c>
    </row>
    <row r="4745" spans="1:5">
      <c r="A4745" s="15">
        <v>43821</v>
      </c>
      <c r="B4745" s="13">
        <v>2512</v>
      </c>
      <c r="C4745" s="13" t="s">
        <v>16</v>
      </c>
      <c r="D4745" s="13" t="s">
        <v>14</v>
      </c>
      <c r="E4745" s="13">
        <v>-1823</v>
      </c>
    </row>
    <row r="4746" spans="1:5">
      <c r="A4746" s="14">
        <v>43821</v>
      </c>
      <c r="B4746" s="12">
        <v>2513</v>
      </c>
      <c r="C4746" s="12" t="s">
        <v>17</v>
      </c>
      <c r="D4746" s="12" t="s">
        <v>13</v>
      </c>
      <c r="E4746" s="12">
        <v>-518</v>
      </c>
    </row>
    <row r="4747" spans="1:5">
      <c r="A4747" s="15">
        <v>43821</v>
      </c>
      <c r="B4747" s="13">
        <v>2510</v>
      </c>
      <c r="C4747" s="13" t="s">
        <v>24</v>
      </c>
      <c r="D4747" s="13" t="s">
        <v>12</v>
      </c>
      <c r="E4747" s="13">
        <v>-1987</v>
      </c>
    </row>
    <row r="4748" spans="1:5">
      <c r="A4748" s="14">
        <v>43822</v>
      </c>
      <c r="B4748" s="12">
        <v>2513</v>
      </c>
      <c r="C4748" s="12" t="s">
        <v>17</v>
      </c>
      <c r="D4748" s="12" t="s">
        <v>19</v>
      </c>
      <c r="E4748" s="12">
        <v>-699</v>
      </c>
    </row>
    <row r="4749" spans="1:5">
      <c r="A4749" s="15">
        <v>43822</v>
      </c>
      <c r="B4749" s="13">
        <v>2510</v>
      </c>
      <c r="C4749" s="13" t="s">
        <v>24</v>
      </c>
      <c r="D4749" s="13" t="s">
        <v>19</v>
      </c>
      <c r="E4749" s="13">
        <v>-605</v>
      </c>
    </row>
    <row r="4750" spans="1:5">
      <c r="A4750" s="14">
        <v>43822</v>
      </c>
      <c r="B4750" s="12">
        <v>2502</v>
      </c>
      <c r="C4750" s="12" t="s">
        <v>7</v>
      </c>
      <c r="D4750" s="12" t="s">
        <v>6</v>
      </c>
      <c r="E4750" s="12">
        <v>-5658</v>
      </c>
    </row>
    <row r="4751" spans="1:5">
      <c r="A4751" s="15">
        <v>43822</v>
      </c>
      <c r="B4751" s="13">
        <v>2513</v>
      </c>
      <c r="C4751" s="13" t="s">
        <v>17</v>
      </c>
      <c r="D4751" s="13" t="s">
        <v>8</v>
      </c>
      <c r="E4751" s="13">
        <v>-1168</v>
      </c>
    </row>
    <row r="4752" spans="1:5">
      <c r="A4752" s="14">
        <v>43822</v>
      </c>
      <c r="B4752" s="12">
        <v>2510</v>
      </c>
      <c r="C4752" s="12" t="s">
        <v>24</v>
      </c>
      <c r="D4752" s="12" t="s">
        <v>12</v>
      </c>
      <c r="E4752" s="12">
        <v>-2977</v>
      </c>
    </row>
    <row r="4753" spans="1:5">
      <c r="A4753" s="15">
        <v>43823</v>
      </c>
      <c r="B4753" s="13">
        <v>2512</v>
      </c>
      <c r="C4753" s="13" t="s">
        <v>16</v>
      </c>
      <c r="D4753" s="13" t="s">
        <v>19</v>
      </c>
      <c r="E4753" s="13">
        <v>-6759</v>
      </c>
    </row>
    <row r="4754" spans="1:5">
      <c r="A4754" s="14">
        <v>43823</v>
      </c>
      <c r="B4754" s="12">
        <v>2502</v>
      </c>
      <c r="C4754" s="12" t="s">
        <v>7</v>
      </c>
      <c r="D4754" s="12" t="s">
        <v>19</v>
      </c>
      <c r="E4754" s="12">
        <v>-4986</v>
      </c>
    </row>
    <row r="4755" spans="1:5">
      <c r="A4755" s="15">
        <v>43823</v>
      </c>
      <c r="B4755" s="13">
        <v>2504</v>
      </c>
      <c r="C4755" s="13" t="s">
        <v>21</v>
      </c>
      <c r="D4755" s="13" t="s">
        <v>19</v>
      </c>
      <c r="E4755" s="13">
        <v>-2419</v>
      </c>
    </row>
    <row r="4756" spans="1:5">
      <c r="A4756" s="14">
        <v>43823</v>
      </c>
      <c r="B4756" s="12">
        <v>2510</v>
      </c>
      <c r="C4756" s="12" t="s">
        <v>24</v>
      </c>
      <c r="D4756" s="12" t="s">
        <v>19</v>
      </c>
      <c r="E4756" s="12">
        <v>-901</v>
      </c>
    </row>
    <row r="4757" spans="1:5">
      <c r="A4757" s="15">
        <v>43823</v>
      </c>
      <c r="B4757" s="13">
        <v>2514</v>
      </c>
      <c r="C4757" s="13" t="s">
        <v>20</v>
      </c>
      <c r="D4757" s="13" t="s">
        <v>19</v>
      </c>
      <c r="E4757" s="13">
        <v>-816</v>
      </c>
    </row>
    <row r="4758" spans="1:5">
      <c r="A4758" s="14">
        <v>43823</v>
      </c>
      <c r="B4758" s="12">
        <v>2513</v>
      </c>
      <c r="C4758" s="12" t="s">
        <v>17</v>
      </c>
      <c r="D4758" s="12" t="s">
        <v>19</v>
      </c>
      <c r="E4758" s="12">
        <v>-746</v>
      </c>
    </row>
    <row r="4759" spans="1:5">
      <c r="A4759" s="15">
        <v>43823</v>
      </c>
      <c r="B4759" s="13">
        <v>2502</v>
      </c>
      <c r="C4759" s="13" t="s">
        <v>7</v>
      </c>
      <c r="D4759" s="13" t="s">
        <v>13</v>
      </c>
      <c r="E4759" s="13">
        <v>-2645</v>
      </c>
    </row>
    <row r="4760" spans="1:5">
      <c r="A4760" s="14">
        <v>43823</v>
      </c>
      <c r="B4760" s="12">
        <v>2505</v>
      </c>
      <c r="C4760" s="12" t="s">
        <v>9</v>
      </c>
      <c r="D4760" s="12" t="s">
        <v>8</v>
      </c>
      <c r="E4760" s="12">
        <v>-519</v>
      </c>
    </row>
    <row r="4761" spans="1:5">
      <c r="A4761" s="15">
        <v>43823</v>
      </c>
      <c r="B4761" s="13">
        <v>2513</v>
      </c>
      <c r="C4761" s="13" t="s">
        <v>17</v>
      </c>
      <c r="D4761" s="13" t="s">
        <v>8</v>
      </c>
      <c r="E4761" s="13">
        <v>-1138</v>
      </c>
    </row>
    <row r="4762" spans="1:5">
      <c r="A4762" s="14">
        <v>43823</v>
      </c>
      <c r="B4762" s="12">
        <v>1000</v>
      </c>
      <c r="C4762" s="12" t="s">
        <v>23</v>
      </c>
      <c r="D4762" s="12" t="s">
        <v>19</v>
      </c>
      <c r="E4762" s="12">
        <v>1183705</v>
      </c>
    </row>
    <row r="4763" spans="1:5">
      <c r="A4763" s="15">
        <v>43824</v>
      </c>
      <c r="B4763" s="13">
        <v>2000</v>
      </c>
      <c r="C4763" s="13" t="s">
        <v>18</v>
      </c>
      <c r="D4763" s="13" t="s">
        <v>19</v>
      </c>
      <c r="E4763" s="13">
        <v>-199413</v>
      </c>
    </row>
    <row r="4764" spans="1:5">
      <c r="A4764" s="14">
        <v>43824</v>
      </c>
      <c r="B4764" s="12">
        <v>2512</v>
      </c>
      <c r="C4764" s="12" t="s">
        <v>16</v>
      </c>
      <c r="D4764" s="12" t="s">
        <v>19</v>
      </c>
      <c r="E4764" s="12">
        <v>-10522</v>
      </c>
    </row>
    <row r="4765" spans="1:5">
      <c r="A4765" s="15">
        <v>43824</v>
      </c>
      <c r="B4765" s="13">
        <v>2502</v>
      </c>
      <c r="C4765" s="13" t="s">
        <v>7</v>
      </c>
      <c r="D4765" s="13" t="s">
        <v>19</v>
      </c>
      <c r="E4765" s="13">
        <v>-5302</v>
      </c>
    </row>
    <row r="4766" spans="1:5">
      <c r="A4766" s="14">
        <v>43824</v>
      </c>
      <c r="B4766" s="12">
        <v>2502</v>
      </c>
      <c r="C4766" s="12" t="s">
        <v>7</v>
      </c>
      <c r="D4766" s="12" t="s">
        <v>19</v>
      </c>
      <c r="E4766" s="12">
        <v>-3802</v>
      </c>
    </row>
    <row r="4767" spans="1:5">
      <c r="A4767" s="15">
        <v>43824</v>
      </c>
      <c r="B4767" s="13">
        <v>2514</v>
      </c>
      <c r="C4767" s="13" t="s">
        <v>20</v>
      </c>
      <c r="D4767" s="13" t="s">
        <v>19</v>
      </c>
      <c r="E4767" s="13">
        <v>-880</v>
      </c>
    </row>
    <row r="4768" spans="1:5">
      <c r="A4768" s="14">
        <v>43824</v>
      </c>
      <c r="B4768" s="12">
        <v>2505</v>
      </c>
      <c r="C4768" s="12" t="s">
        <v>9</v>
      </c>
      <c r="D4768" s="12" t="s">
        <v>19</v>
      </c>
      <c r="E4768" s="12">
        <v>-435</v>
      </c>
    </row>
    <row r="4769" spans="1:5">
      <c r="A4769" s="15">
        <v>43824</v>
      </c>
      <c r="B4769" s="13">
        <v>1000</v>
      </c>
      <c r="C4769" s="13" t="s">
        <v>23</v>
      </c>
      <c r="D4769" s="13" t="s">
        <v>19</v>
      </c>
      <c r="E4769" s="13">
        <v>699042</v>
      </c>
    </row>
    <row r="4770" spans="1:5">
      <c r="A4770" s="14">
        <v>43824</v>
      </c>
      <c r="B4770" s="12">
        <v>2501</v>
      </c>
      <c r="C4770" s="12" t="s">
        <v>5</v>
      </c>
      <c r="D4770" s="12" t="s">
        <v>12</v>
      </c>
      <c r="E4770" s="12">
        <v>-165</v>
      </c>
    </row>
    <row r="4771" spans="1:5">
      <c r="A4771" s="15">
        <v>43824</v>
      </c>
      <c r="B4771" s="13">
        <v>2508</v>
      </c>
      <c r="C4771" s="13" t="s">
        <v>15</v>
      </c>
      <c r="D4771" s="13" t="s">
        <v>14</v>
      </c>
      <c r="E4771" s="13">
        <v>-78053</v>
      </c>
    </row>
    <row r="4772" spans="1:5">
      <c r="A4772" s="14">
        <v>43824</v>
      </c>
      <c r="B4772" s="12">
        <v>2508</v>
      </c>
      <c r="C4772" s="12" t="s">
        <v>15</v>
      </c>
      <c r="D4772" s="12" t="s">
        <v>14</v>
      </c>
      <c r="E4772" s="12">
        <v>-53982</v>
      </c>
    </row>
    <row r="4773" spans="1:5">
      <c r="A4773" s="15">
        <v>43825</v>
      </c>
      <c r="B4773" s="13">
        <v>2508</v>
      </c>
      <c r="C4773" s="13" t="s">
        <v>15</v>
      </c>
      <c r="D4773" s="13" t="s">
        <v>19</v>
      </c>
      <c r="E4773" s="13">
        <v>-60268</v>
      </c>
    </row>
    <row r="4774" spans="1:5">
      <c r="A4774" s="14">
        <v>43825</v>
      </c>
      <c r="B4774" s="12">
        <v>2500</v>
      </c>
      <c r="C4774" s="12" t="s">
        <v>25</v>
      </c>
      <c r="D4774" s="12" t="s">
        <v>19</v>
      </c>
      <c r="E4774" s="12">
        <v>-17442</v>
      </c>
    </row>
    <row r="4775" spans="1:5">
      <c r="A4775" s="15">
        <v>43825</v>
      </c>
      <c r="B4775" s="13">
        <v>1500</v>
      </c>
      <c r="C4775" s="13" t="s">
        <v>26</v>
      </c>
      <c r="D4775" s="13" t="s">
        <v>19</v>
      </c>
      <c r="E4775" s="13">
        <v>-13902</v>
      </c>
    </row>
    <row r="4776" spans="1:5">
      <c r="A4776" s="14">
        <v>43825</v>
      </c>
      <c r="B4776" s="12">
        <v>1500</v>
      </c>
      <c r="C4776" s="12" t="s">
        <v>26</v>
      </c>
      <c r="D4776" s="12" t="s">
        <v>19</v>
      </c>
      <c r="E4776" s="12">
        <v>-11398</v>
      </c>
    </row>
    <row r="4777" spans="1:5">
      <c r="A4777" s="15">
        <v>43825</v>
      </c>
      <c r="B4777" s="13">
        <v>2512</v>
      </c>
      <c r="C4777" s="13" t="s">
        <v>16</v>
      </c>
      <c r="D4777" s="13" t="s">
        <v>19</v>
      </c>
      <c r="E4777" s="13">
        <v>-8864</v>
      </c>
    </row>
    <row r="4778" spans="1:5">
      <c r="A4778" s="14">
        <v>43825</v>
      </c>
      <c r="B4778" s="12">
        <v>2504</v>
      </c>
      <c r="C4778" s="12" t="s">
        <v>21</v>
      </c>
      <c r="D4778" s="12" t="s">
        <v>19</v>
      </c>
      <c r="E4778" s="12">
        <v>-1363</v>
      </c>
    </row>
    <row r="4779" spans="1:5">
      <c r="A4779" s="15">
        <v>43825</v>
      </c>
      <c r="B4779" s="13">
        <v>2514</v>
      </c>
      <c r="C4779" s="13" t="s">
        <v>20</v>
      </c>
      <c r="D4779" s="13" t="s">
        <v>19</v>
      </c>
      <c r="E4779" s="13">
        <v>-1212</v>
      </c>
    </row>
    <row r="4780" spans="1:5">
      <c r="A4780" s="14">
        <v>43825</v>
      </c>
      <c r="B4780" s="12">
        <v>2514</v>
      </c>
      <c r="C4780" s="12" t="s">
        <v>20</v>
      </c>
      <c r="D4780" s="12" t="s">
        <v>19</v>
      </c>
      <c r="E4780" s="12">
        <v>-1146</v>
      </c>
    </row>
    <row r="4781" spans="1:5">
      <c r="A4781" s="15">
        <v>43825</v>
      </c>
      <c r="B4781" s="13">
        <v>2505</v>
      </c>
      <c r="C4781" s="13" t="s">
        <v>9</v>
      </c>
      <c r="D4781" s="13" t="s">
        <v>19</v>
      </c>
      <c r="E4781" s="13">
        <v>-299</v>
      </c>
    </row>
    <row r="4782" spans="1:5">
      <c r="A4782" s="14">
        <v>43825</v>
      </c>
      <c r="B4782" s="12">
        <v>2501</v>
      </c>
      <c r="C4782" s="12" t="s">
        <v>5</v>
      </c>
      <c r="D4782" s="12" t="s">
        <v>8</v>
      </c>
      <c r="E4782" s="12">
        <v>-191</v>
      </c>
    </row>
    <row r="4783" spans="1:5">
      <c r="A4783" s="15">
        <v>43825</v>
      </c>
      <c r="B4783" s="13">
        <v>2501</v>
      </c>
      <c r="C4783" s="13" t="s">
        <v>5</v>
      </c>
      <c r="D4783" s="13" t="s">
        <v>10</v>
      </c>
      <c r="E4783" s="13">
        <v>-119</v>
      </c>
    </row>
    <row r="4784" spans="1:5">
      <c r="A4784" s="14">
        <v>43825</v>
      </c>
      <c r="B4784" s="12">
        <v>2505</v>
      </c>
      <c r="C4784" s="12" t="s">
        <v>9</v>
      </c>
      <c r="D4784" s="12" t="s">
        <v>13</v>
      </c>
      <c r="E4784" s="12">
        <v>-489</v>
      </c>
    </row>
    <row r="4785" spans="1:5">
      <c r="A4785" s="15">
        <v>43825</v>
      </c>
      <c r="B4785" s="13">
        <v>2506</v>
      </c>
      <c r="C4785" s="13" t="s">
        <v>27</v>
      </c>
      <c r="D4785" s="13" t="s">
        <v>14</v>
      </c>
      <c r="E4785" s="13">
        <v>-618</v>
      </c>
    </row>
    <row r="4786" spans="1:5">
      <c r="A4786" s="14">
        <v>43825</v>
      </c>
      <c r="B4786" s="12">
        <v>2508</v>
      </c>
      <c r="C4786" s="12" t="s">
        <v>15</v>
      </c>
      <c r="D4786" s="12" t="s">
        <v>14</v>
      </c>
      <c r="E4786" s="12">
        <v>-79901</v>
      </c>
    </row>
    <row r="4787" spans="1:5">
      <c r="A4787" s="15">
        <v>43825</v>
      </c>
      <c r="B4787" s="13">
        <v>2512</v>
      </c>
      <c r="C4787" s="13" t="s">
        <v>16</v>
      </c>
      <c r="D4787" s="13" t="s">
        <v>12</v>
      </c>
      <c r="E4787" s="13">
        <v>-1019</v>
      </c>
    </row>
    <row r="4788" spans="1:5">
      <c r="A4788" s="14">
        <v>43825</v>
      </c>
      <c r="B4788" s="12">
        <v>2513</v>
      </c>
      <c r="C4788" s="12" t="s">
        <v>17</v>
      </c>
      <c r="D4788" s="12" t="s">
        <v>8</v>
      </c>
      <c r="E4788" s="12">
        <v>-1288</v>
      </c>
    </row>
    <row r="4789" spans="1:5">
      <c r="A4789" s="15">
        <v>43826</v>
      </c>
      <c r="B4789" s="13">
        <v>2000</v>
      </c>
      <c r="C4789" s="13" t="s">
        <v>18</v>
      </c>
      <c r="D4789" s="13" t="s">
        <v>19</v>
      </c>
      <c r="E4789" s="13">
        <v>-149342</v>
      </c>
    </row>
    <row r="4790" spans="1:5">
      <c r="A4790" s="14">
        <v>43826</v>
      </c>
      <c r="B4790" s="12">
        <v>2508</v>
      </c>
      <c r="C4790" s="12" t="s">
        <v>15</v>
      </c>
      <c r="D4790" s="12" t="s">
        <v>19</v>
      </c>
      <c r="E4790" s="12">
        <v>-59758</v>
      </c>
    </row>
    <row r="4791" spans="1:5">
      <c r="A4791" s="15">
        <v>43826</v>
      </c>
      <c r="B4791" s="13">
        <v>2508</v>
      </c>
      <c r="C4791" s="13" t="s">
        <v>15</v>
      </c>
      <c r="D4791" s="13" t="s">
        <v>19</v>
      </c>
      <c r="E4791" s="13">
        <v>-59021</v>
      </c>
    </row>
    <row r="4792" spans="1:5">
      <c r="A4792" s="14">
        <v>43826</v>
      </c>
      <c r="B4792" s="12">
        <v>2504</v>
      </c>
      <c r="C4792" s="12" t="s">
        <v>21</v>
      </c>
      <c r="D4792" s="12" t="s">
        <v>19</v>
      </c>
      <c r="E4792" s="12">
        <v>-1591</v>
      </c>
    </row>
    <row r="4793" spans="1:5">
      <c r="A4793" s="15">
        <v>43826</v>
      </c>
      <c r="B4793" s="13">
        <v>2502</v>
      </c>
      <c r="C4793" s="13" t="s">
        <v>7</v>
      </c>
      <c r="D4793" s="13" t="s">
        <v>6</v>
      </c>
      <c r="E4793" s="13">
        <v>-3370</v>
      </c>
    </row>
    <row r="4794" spans="1:5">
      <c r="A4794" s="14">
        <v>43826</v>
      </c>
      <c r="B4794" s="12">
        <v>2505</v>
      </c>
      <c r="C4794" s="12" t="s">
        <v>9</v>
      </c>
      <c r="D4794" s="12" t="s">
        <v>10</v>
      </c>
      <c r="E4794" s="12">
        <v>-744</v>
      </c>
    </row>
    <row r="4795" spans="1:5">
      <c r="A4795" s="15">
        <v>43826</v>
      </c>
      <c r="B4795" s="13">
        <v>2508</v>
      </c>
      <c r="C4795" s="13" t="s">
        <v>15</v>
      </c>
      <c r="D4795" s="13" t="s">
        <v>12</v>
      </c>
      <c r="E4795" s="13">
        <v>-90055</v>
      </c>
    </row>
    <row r="4796" spans="1:5">
      <c r="A4796" s="14">
        <v>43826</v>
      </c>
      <c r="B4796" s="12">
        <v>2512</v>
      </c>
      <c r="C4796" s="12" t="s">
        <v>16</v>
      </c>
      <c r="D4796" s="12" t="s">
        <v>13</v>
      </c>
      <c r="E4796" s="12">
        <v>-467</v>
      </c>
    </row>
    <row r="4797" spans="1:5">
      <c r="A4797" s="15">
        <v>43826</v>
      </c>
      <c r="B4797" s="13">
        <v>2513</v>
      </c>
      <c r="C4797" s="13" t="s">
        <v>17</v>
      </c>
      <c r="D4797" s="13" t="s">
        <v>14</v>
      </c>
      <c r="E4797" s="13">
        <v>-1158</v>
      </c>
    </row>
    <row r="4798" spans="1:5">
      <c r="A4798" s="14">
        <v>43826</v>
      </c>
      <c r="B4798" s="12">
        <v>2513</v>
      </c>
      <c r="C4798" s="12" t="s">
        <v>17</v>
      </c>
      <c r="D4798" s="12" t="s">
        <v>14</v>
      </c>
      <c r="E4798" s="12">
        <v>-808</v>
      </c>
    </row>
    <row r="4799" spans="1:5">
      <c r="A4799" s="15">
        <v>43826</v>
      </c>
      <c r="B4799" s="13">
        <v>2513</v>
      </c>
      <c r="C4799" s="13" t="s">
        <v>17</v>
      </c>
      <c r="D4799" s="13" t="s">
        <v>12</v>
      </c>
      <c r="E4799" s="13">
        <v>-992</v>
      </c>
    </row>
    <row r="4800" spans="1:5">
      <c r="A4800" s="14">
        <v>43827</v>
      </c>
      <c r="B4800" s="12">
        <v>2512</v>
      </c>
      <c r="C4800" s="12" t="s">
        <v>16</v>
      </c>
      <c r="D4800" s="12" t="s">
        <v>19</v>
      </c>
      <c r="E4800" s="12">
        <v>-5490</v>
      </c>
    </row>
    <row r="4801" spans="1:5">
      <c r="A4801" s="15">
        <v>43827</v>
      </c>
      <c r="B4801" s="13">
        <v>2512</v>
      </c>
      <c r="C4801" s="13" t="s">
        <v>16</v>
      </c>
      <c r="D4801" s="13" t="s">
        <v>19</v>
      </c>
      <c r="E4801" s="13">
        <v>-4437</v>
      </c>
    </row>
    <row r="4802" spans="1:5">
      <c r="A4802" s="14">
        <v>43827</v>
      </c>
      <c r="B4802" s="12">
        <v>2502</v>
      </c>
      <c r="C4802" s="12" t="s">
        <v>7</v>
      </c>
      <c r="D4802" s="12" t="s">
        <v>19</v>
      </c>
      <c r="E4802" s="12">
        <v>-2875</v>
      </c>
    </row>
    <row r="4803" spans="1:5">
      <c r="A4803" s="15">
        <v>43827</v>
      </c>
      <c r="B4803" s="13">
        <v>2504</v>
      </c>
      <c r="C4803" s="13" t="s">
        <v>21</v>
      </c>
      <c r="D4803" s="13" t="s">
        <v>19</v>
      </c>
      <c r="E4803" s="13">
        <v>-1250</v>
      </c>
    </row>
    <row r="4804" spans="1:5">
      <c r="A4804" s="14">
        <v>43827</v>
      </c>
      <c r="B4804" s="12">
        <v>2510</v>
      </c>
      <c r="C4804" s="12" t="s">
        <v>24</v>
      </c>
      <c r="D4804" s="12" t="s">
        <v>19</v>
      </c>
      <c r="E4804" s="12">
        <v>-1211</v>
      </c>
    </row>
    <row r="4805" spans="1:5">
      <c r="A4805" s="15">
        <v>43827</v>
      </c>
      <c r="B4805" s="13">
        <v>2510</v>
      </c>
      <c r="C4805" s="13" t="s">
        <v>24</v>
      </c>
      <c r="D4805" s="13" t="s">
        <v>19</v>
      </c>
      <c r="E4805" s="13">
        <v>-1003</v>
      </c>
    </row>
    <row r="4806" spans="1:5">
      <c r="A4806" s="14">
        <v>43827</v>
      </c>
      <c r="B4806" s="12">
        <v>2513</v>
      </c>
      <c r="C4806" s="12" t="s">
        <v>17</v>
      </c>
      <c r="D4806" s="12" t="s">
        <v>19</v>
      </c>
      <c r="E4806" s="12">
        <v>-362</v>
      </c>
    </row>
    <row r="4807" spans="1:5">
      <c r="A4807" s="15">
        <v>43827</v>
      </c>
      <c r="B4807" s="13">
        <v>2501</v>
      </c>
      <c r="C4807" s="13" t="s">
        <v>5</v>
      </c>
      <c r="D4807" s="13" t="s">
        <v>8</v>
      </c>
      <c r="E4807" s="13">
        <v>-123</v>
      </c>
    </row>
    <row r="4808" spans="1:5">
      <c r="A4808" s="14">
        <v>43827</v>
      </c>
      <c r="B4808" s="12">
        <v>2501</v>
      </c>
      <c r="C4808" s="12" t="s">
        <v>5</v>
      </c>
      <c r="D4808" s="12" t="s">
        <v>10</v>
      </c>
      <c r="E4808" s="12">
        <v>-107</v>
      </c>
    </row>
    <row r="4809" spans="1:5">
      <c r="A4809" s="15">
        <v>43827</v>
      </c>
      <c r="B4809" s="13">
        <v>2503</v>
      </c>
      <c r="C4809" s="13" t="s">
        <v>22</v>
      </c>
      <c r="D4809" s="13" t="s">
        <v>6</v>
      </c>
      <c r="E4809" s="13">
        <v>-303</v>
      </c>
    </row>
    <row r="4810" spans="1:5">
      <c r="A4810" s="14">
        <v>43827</v>
      </c>
      <c r="B4810" s="12">
        <v>2506</v>
      </c>
      <c r="C4810" s="12" t="s">
        <v>27</v>
      </c>
      <c r="D4810" s="12" t="s">
        <v>8</v>
      </c>
      <c r="E4810" s="12">
        <v>-631</v>
      </c>
    </row>
    <row r="4811" spans="1:5">
      <c r="A4811" s="15">
        <v>43828</v>
      </c>
      <c r="B4811" s="13">
        <v>2508</v>
      </c>
      <c r="C4811" s="13" t="s">
        <v>15</v>
      </c>
      <c r="D4811" s="13" t="s">
        <v>19</v>
      </c>
      <c r="E4811" s="13">
        <v>-41334</v>
      </c>
    </row>
    <row r="4812" spans="1:5">
      <c r="A4812" s="14">
        <v>43828</v>
      </c>
      <c r="B4812" s="12">
        <v>2501</v>
      </c>
      <c r="C4812" s="12" t="s">
        <v>5</v>
      </c>
      <c r="D4812" s="12" t="s">
        <v>19</v>
      </c>
      <c r="E4812" s="12">
        <v>-128</v>
      </c>
    </row>
    <row r="4813" spans="1:5">
      <c r="A4813" s="15">
        <v>43828</v>
      </c>
      <c r="B4813" s="13">
        <v>1000</v>
      </c>
      <c r="C4813" s="13" t="s">
        <v>23</v>
      </c>
      <c r="D4813" s="13" t="s">
        <v>19</v>
      </c>
      <c r="E4813" s="13">
        <v>1202000</v>
      </c>
    </row>
    <row r="4814" spans="1:5">
      <c r="A4814" s="14">
        <v>43828</v>
      </c>
      <c r="B4814" s="12">
        <v>2502</v>
      </c>
      <c r="C4814" s="12" t="s">
        <v>7</v>
      </c>
      <c r="D4814" s="12" t="s">
        <v>10</v>
      </c>
      <c r="E4814" s="12">
        <v>-7463</v>
      </c>
    </row>
    <row r="4815" spans="1:5">
      <c r="A4815" s="15">
        <v>43828</v>
      </c>
      <c r="B4815" s="13">
        <v>2503</v>
      </c>
      <c r="C4815" s="13" t="s">
        <v>22</v>
      </c>
      <c r="D4815" s="13" t="s">
        <v>6</v>
      </c>
      <c r="E4815" s="13">
        <v>-376</v>
      </c>
    </row>
    <row r="4816" spans="1:5">
      <c r="A4816" s="14">
        <v>43828</v>
      </c>
      <c r="B4816" s="12">
        <v>2505</v>
      </c>
      <c r="C4816" s="12" t="s">
        <v>9</v>
      </c>
      <c r="D4816" s="12" t="s">
        <v>12</v>
      </c>
      <c r="E4816" s="12">
        <v>-1159</v>
      </c>
    </row>
    <row r="4817" spans="1:5">
      <c r="A4817" s="15">
        <v>43828</v>
      </c>
      <c r="B4817" s="13">
        <v>2505</v>
      </c>
      <c r="C4817" s="13" t="s">
        <v>9</v>
      </c>
      <c r="D4817" s="13" t="s">
        <v>13</v>
      </c>
      <c r="E4817" s="13">
        <v>-399</v>
      </c>
    </row>
    <row r="4818" spans="1:5">
      <c r="A4818" s="14">
        <v>43828</v>
      </c>
      <c r="B4818" s="12">
        <v>2508</v>
      </c>
      <c r="C4818" s="12" t="s">
        <v>15</v>
      </c>
      <c r="D4818" s="12" t="s">
        <v>10</v>
      </c>
      <c r="E4818" s="12">
        <v>-79350</v>
      </c>
    </row>
    <row r="4819" spans="1:5">
      <c r="A4819" s="15">
        <v>43828</v>
      </c>
      <c r="B4819" s="13">
        <v>2513</v>
      </c>
      <c r="C4819" s="13" t="s">
        <v>17</v>
      </c>
      <c r="D4819" s="13" t="s">
        <v>14</v>
      </c>
      <c r="E4819" s="13">
        <v>-1257</v>
      </c>
    </row>
    <row r="4820" spans="1:5">
      <c r="A4820" s="14">
        <v>43828</v>
      </c>
      <c r="B4820" s="12">
        <v>2513</v>
      </c>
      <c r="C4820" s="12" t="s">
        <v>17</v>
      </c>
      <c r="D4820" s="12" t="s">
        <v>12</v>
      </c>
      <c r="E4820" s="12">
        <v>-1007</v>
      </c>
    </row>
    <row r="4821" spans="1:5">
      <c r="A4821" s="15">
        <v>43829</v>
      </c>
      <c r="B4821" s="13">
        <v>2502</v>
      </c>
      <c r="C4821" s="13" t="s">
        <v>7</v>
      </c>
      <c r="D4821" s="13" t="s">
        <v>19</v>
      </c>
      <c r="E4821" s="13">
        <v>-5951</v>
      </c>
    </row>
    <row r="4822" spans="1:5">
      <c r="A4822" s="14">
        <v>43829</v>
      </c>
      <c r="B4822" s="12">
        <v>2505</v>
      </c>
      <c r="C4822" s="12" t="s">
        <v>9</v>
      </c>
      <c r="D4822" s="12" t="s">
        <v>19</v>
      </c>
      <c r="E4822" s="12">
        <v>-309</v>
      </c>
    </row>
    <row r="4823" spans="1:5">
      <c r="A4823" s="15">
        <v>43829</v>
      </c>
      <c r="B4823" s="13">
        <v>1000</v>
      </c>
      <c r="C4823" s="13" t="s">
        <v>23</v>
      </c>
      <c r="D4823" s="13" t="s">
        <v>19</v>
      </c>
      <c r="E4823" s="13">
        <v>1015523</v>
      </c>
    </row>
    <row r="4824" spans="1:5">
      <c r="A4824" s="14">
        <v>43829</v>
      </c>
      <c r="B4824" s="12">
        <v>2501</v>
      </c>
      <c r="C4824" s="12" t="s">
        <v>5</v>
      </c>
      <c r="D4824" s="12" t="s">
        <v>14</v>
      </c>
      <c r="E4824" s="12">
        <v>-114</v>
      </c>
    </row>
    <row r="4825" spans="1:5">
      <c r="A4825" s="15">
        <v>43829</v>
      </c>
      <c r="B4825" s="13">
        <v>2505</v>
      </c>
      <c r="C4825" s="13" t="s">
        <v>9</v>
      </c>
      <c r="D4825" s="13" t="s">
        <v>12</v>
      </c>
      <c r="E4825" s="13">
        <v>-976</v>
      </c>
    </row>
    <row r="4826" spans="1:5">
      <c r="A4826" s="14">
        <v>43829</v>
      </c>
      <c r="B4826" s="12">
        <v>2512</v>
      </c>
      <c r="C4826" s="12" t="s">
        <v>16</v>
      </c>
      <c r="D4826" s="12" t="s">
        <v>12</v>
      </c>
      <c r="E4826" s="12">
        <v>-1014</v>
      </c>
    </row>
    <row r="4827" spans="1:5">
      <c r="A4827" s="15">
        <v>43829</v>
      </c>
      <c r="B4827" s="13">
        <v>2513</v>
      </c>
      <c r="C4827" s="13" t="s">
        <v>17</v>
      </c>
      <c r="D4827" s="13" t="s">
        <v>10</v>
      </c>
      <c r="E4827" s="13">
        <v>-529</v>
      </c>
    </row>
    <row r="4828" spans="1:5">
      <c r="A4828" s="14">
        <v>43829</v>
      </c>
      <c r="B4828" s="12">
        <v>2514</v>
      </c>
      <c r="C4828" s="12" t="s">
        <v>20</v>
      </c>
      <c r="D4828" s="12" t="s">
        <v>10</v>
      </c>
      <c r="E4828" s="12">
        <v>-1574</v>
      </c>
    </row>
    <row r="4829" spans="1:5">
      <c r="A4829" s="15">
        <v>43830</v>
      </c>
      <c r="B4829" s="13">
        <v>2000</v>
      </c>
      <c r="C4829" s="13" t="s">
        <v>18</v>
      </c>
      <c r="D4829" s="13" t="s">
        <v>19</v>
      </c>
      <c r="E4829" s="13">
        <v>-214295</v>
      </c>
    </row>
    <row r="4830" spans="1:5">
      <c r="A4830" s="14">
        <v>43830</v>
      </c>
      <c r="B4830" s="12">
        <v>2000</v>
      </c>
      <c r="C4830" s="12" t="s">
        <v>18</v>
      </c>
      <c r="D4830" s="12" t="s">
        <v>19</v>
      </c>
      <c r="E4830" s="12">
        <v>-196836</v>
      </c>
    </row>
    <row r="4831" spans="1:5">
      <c r="A4831" s="15">
        <v>43830</v>
      </c>
      <c r="B4831" s="13">
        <v>2000</v>
      </c>
      <c r="C4831" s="13" t="s">
        <v>18</v>
      </c>
      <c r="D4831" s="13" t="s">
        <v>19</v>
      </c>
      <c r="E4831" s="13">
        <v>-132836</v>
      </c>
    </row>
    <row r="4832" spans="1:5">
      <c r="A4832" s="14">
        <v>43830</v>
      </c>
      <c r="B4832" s="12">
        <v>2502</v>
      </c>
      <c r="C4832" s="12" t="s">
        <v>7</v>
      </c>
      <c r="D4832" s="12" t="s">
        <v>19</v>
      </c>
      <c r="E4832" s="12">
        <v>-4206</v>
      </c>
    </row>
    <row r="4833" spans="1:5">
      <c r="A4833" s="15">
        <v>43830</v>
      </c>
      <c r="B4833" s="13">
        <v>2510</v>
      </c>
      <c r="C4833" s="13" t="s">
        <v>24</v>
      </c>
      <c r="D4833" s="13" t="s">
        <v>19</v>
      </c>
      <c r="E4833" s="13">
        <v>-930</v>
      </c>
    </row>
    <row r="4834" spans="1:5">
      <c r="A4834" s="14">
        <v>43830</v>
      </c>
      <c r="B4834" s="12">
        <v>2513</v>
      </c>
      <c r="C4834" s="12" t="s">
        <v>17</v>
      </c>
      <c r="D4834" s="12" t="s">
        <v>19</v>
      </c>
      <c r="E4834" s="12">
        <v>-912</v>
      </c>
    </row>
    <row r="4835" spans="1:5">
      <c r="A4835" s="15">
        <v>43830</v>
      </c>
      <c r="B4835" s="13">
        <v>2503</v>
      </c>
      <c r="C4835" s="13" t="s">
        <v>22</v>
      </c>
      <c r="D4835" s="13" t="s">
        <v>10</v>
      </c>
      <c r="E4835" s="13">
        <v>-331</v>
      </c>
    </row>
    <row r="4836" spans="1:5">
      <c r="A4836" s="14">
        <v>43830</v>
      </c>
      <c r="B4836" s="12">
        <v>2503</v>
      </c>
      <c r="C4836" s="12" t="s">
        <v>22</v>
      </c>
      <c r="D4836" s="12" t="s">
        <v>10</v>
      </c>
      <c r="E4836" s="12">
        <v>-400</v>
      </c>
    </row>
    <row r="4837" spans="1:5">
      <c r="A4837" s="15">
        <v>43830</v>
      </c>
      <c r="B4837" s="13">
        <v>2508</v>
      </c>
      <c r="C4837" s="13" t="s">
        <v>15</v>
      </c>
      <c r="D4837" s="13" t="s">
        <v>13</v>
      </c>
      <c r="E4837" s="13">
        <v>-60601</v>
      </c>
    </row>
    <row r="4838" spans="1:5">
      <c r="A4838" s="14">
        <v>43830</v>
      </c>
      <c r="B4838" s="12">
        <v>2513</v>
      </c>
      <c r="C4838" s="12" t="s">
        <v>17</v>
      </c>
      <c r="D4838" s="12" t="s">
        <v>13</v>
      </c>
      <c r="E4838" s="12">
        <v>-812</v>
      </c>
    </row>
    <row r="4839" spans="1:5">
      <c r="A4839" s="15">
        <v>43830</v>
      </c>
      <c r="B4839" s="13">
        <v>2514</v>
      </c>
      <c r="C4839" s="13" t="s">
        <v>20</v>
      </c>
      <c r="D4839" s="13" t="s">
        <v>12</v>
      </c>
      <c r="E4839" s="13">
        <v>-2263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25"/>
  <sheetViews>
    <sheetView workbookViewId="0">
      <selection activeCell="L24" sqref="L24:M24"/>
    </sheetView>
  </sheetViews>
  <sheetFormatPr defaultRowHeight="13.8"/>
  <cols>
    <col min="1" max="1" width="12.5" customWidth="1"/>
    <col min="2" max="2" width="11.8984375" bestFit="1" customWidth="1"/>
    <col min="3" max="3" width="28.8984375" bestFit="1" customWidth="1"/>
    <col min="4" max="4" width="23" bestFit="1" customWidth="1"/>
    <col min="5" max="5" width="12.8984375" customWidth="1"/>
  </cols>
  <sheetData>
    <row r="1" spans="1:5">
      <c r="A1" s="17" t="s">
        <v>0</v>
      </c>
      <c r="B1" s="16" t="s">
        <v>1</v>
      </c>
      <c r="C1" s="16" t="s">
        <v>2</v>
      </c>
      <c r="D1" s="16" t="s">
        <v>3</v>
      </c>
      <c r="E1" s="16" t="s">
        <v>4</v>
      </c>
    </row>
    <row r="2" spans="1:5">
      <c r="A2" s="14" t="s">
        <v>28</v>
      </c>
      <c r="B2" s="12">
        <v>2508</v>
      </c>
      <c r="C2" s="12" t="s">
        <v>15</v>
      </c>
      <c r="D2" s="12" t="s">
        <v>13</v>
      </c>
      <c r="E2" s="12">
        <v>-275534.75</v>
      </c>
    </row>
    <row r="3" spans="1:5">
      <c r="A3" s="15" t="s">
        <v>28</v>
      </c>
      <c r="B3" s="13">
        <v>2508</v>
      </c>
      <c r="C3" s="13" t="s">
        <v>15</v>
      </c>
      <c r="D3" s="13" t="s">
        <v>6</v>
      </c>
      <c r="E3" s="13">
        <v>-261651</v>
      </c>
    </row>
    <row r="4" spans="1:5">
      <c r="A4" s="14" t="s">
        <v>28</v>
      </c>
      <c r="B4" s="12">
        <v>2508</v>
      </c>
      <c r="C4" s="12" t="s">
        <v>15</v>
      </c>
      <c r="D4" s="12" t="s">
        <v>12</v>
      </c>
      <c r="E4" s="12">
        <v>-247981.25</v>
      </c>
    </row>
    <row r="5" spans="1:5">
      <c r="A5" s="15" t="s">
        <v>28</v>
      </c>
      <c r="B5" s="13">
        <v>2508</v>
      </c>
      <c r="C5" s="13" t="s">
        <v>15</v>
      </c>
      <c r="D5" s="13" t="s">
        <v>10</v>
      </c>
      <c r="E5" s="13">
        <v>-218538.5</v>
      </c>
    </row>
    <row r="6" spans="1:5">
      <c r="A6" s="14" t="s">
        <v>28</v>
      </c>
      <c r="B6" s="12">
        <v>2508</v>
      </c>
      <c r="C6" s="12" t="s">
        <v>15</v>
      </c>
      <c r="D6" s="12" t="s">
        <v>8</v>
      </c>
      <c r="E6" s="12">
        <v>-210305.75</v>
      </c>
    </row>
    <row r="7" spans="1:5">
      <c r="A7" s="15" t="s">
        <v>28</v>
      </c>
      <c r="B7" s="13">
        <v>2508</v>
      </c>
      <c r="C7" s="13" t="s">
        <v>15</v>
      </c>
      <c r="D7" s="13" t="s">
        <v>19</v>
      </c>
      <c r="E7" s="13">
        <v>-184702.25</v>
      </c>
    </row>
    <row r="8" spans="1:5">
      <c r="A8" s="14" t="s">
        <v>28</v>
      </c>
      <c r="B8" s="12">
        <v>2508</v>
      </c>
      <c r="C8" s="12" t="s">
        <v>15</v>
      </c>
      <c r="D8" s="12" t="s">
        <v>14</v>
      </c>
      <c r="E8" s="12">
        <v>-184253</v>
      </c>
    </row>
    <row r="9" spans="1:5">
      <c r="A9" s="15" t="s">
        <v>28</v>
      </c>
      <c r="B9" s="13">
        <v>2000</v>
      </c>
      <c r="C9" s="13" t="s">
        <v>18</v>
      </c>
      <c r="D9" s="13" t="s">
        <v>19</v>
      </c>
      <c r="E9" s="13">
        <v>-97133.833333333328</v>
      </c>
    </row>
    <row r="10" spans="1:5">
      <c r="A10" s="14" t="s">
        <v>28</v>
      </c>
      <c r="B10" s="12">
        <v>2500</v>
      </c>
      <c r="C10" s="12" t="s">
        <v>25</v>
      </c>
      <c r="D10" s="12" t="s">
        <v>19</v>
      </c>
      <c r="E10" s="12">
        <v>-37210.5</v>
      </c>
    </row>
    <row r="11" spans="1:5">
      <c r="A11" s="15" t="s">
        <v>28</v>
      </c>
      <c r="B11" s="13">
        <v>2502</v>
      </c>
      <c r="C11" s="13" t="s">
        <v>7</v>
      </c>
      <c r="D11" s="13" t="s">
        <v>8</v>
      </c>
      <c r="E11" s="13">
        <v>-20462.5</v>
      </c>
    </row>
    <row r="12" spans="1:5">
      <c r="A12" s="14" t="s">
        <v>28</v>
      </c>
      <c r="B12" s="12">
        <v>2502</v>
      </c>
      <c r="C12" s="12" t="s">
        <v>7</v>
      </c>
      <c r="D12" s="12" t="s">
        <v>10</v>
      </c>
      <c r="E12" s="12">
        <v>-20240</v>
      </c>
    </row>
    <row r="13" spans="1:5">
      <c r="A13" s="15" t="s">
        <v>28</v>
      </c>
      <c r="B13" s="13">
        <v>2512</v>
      </c>
      <c r="C13" s="13" t="s">
        <v>16</v>
      </c>
      <c r="D13" s="13" t="s">
        <v>10</v>
      </c>
      <c r="E13" s="13">
        <v>-19193</v>
      </c>
    </row>
    <row r="14" spans="1:5">
      <c r="A14" s="14" t="s">
        <v>28</v>
      </c>
      <c r="B14" s="12">
        <v>2502</v>
      </c>
      <c r="C14" s="12" t="s">
        <v>7</v>
      </c>
      <c r="D14" s="12" t="s">
        <v>19</v>
      </c>
      <c r="E14" s="12">
        <v>-18051.5</v>
      </c>
    </row>
    <row r="15" spans="1:5">
      <c r="A15" s="15" t="s">
        <v>28</v>
      </c>
      <c r="B15" s="13">
        <v>2512</v>
      </c>
      <c r="C15" s="13" t="s">
        <v>16</v>
      </c>
      <c r="D15" s="13" t="s">
        <v>8</v>
      </c>
      <c r="E15" s="13">
        <v>-17479.25</v>
      </c>
    </row>
    <row r="16" spans="1:5">
      <c r="A16" s="14" t="s">
        <v>28</v>
      </c>
      <c r="B16" s="12">
        <v>2502</v>
      </c>
      <c r="C16" s="12" t="s">
        <v>7</v>
      </c>
      <c r="D16" s="12" t="s">
        <v>6</v>
      </c>
      <c r="E16" s="12">
        <v>-17338</v>
      </c>
    </row>
    <row r="17" spans="1:5">
      <c r="A17" s="15" t="s">
        <v>28</v>
      </c>
      <c r="B17" s="13">
        <v>2502</v>
      </c>
      <c r="C17" s="13" t="s">
        <v>7</v>
      </c>
      <c r="D17" s="13" t="s">
        <v>12</v>
      </c>
      <c r="E17" s="13">
        <v>-16859.25</v>
      </c>
    </row>
    <row r="18" spans="1:5">
      <c r="A18" s="14" t="s">
        <v>28</v>
      </c>
      <c r="B18" s="12">
        <v>2502</v>
      </c>
      <c r="C18" s="12" t="s">
        <v>7</v>
      </c>
      <c r="D18" s="12" t="s">
        <v>13</v>
      </c>
      <c r="E18" s="12">
        <v>-16294</v>
      </c>
    </row>
    <row r="19" spans="1:5">
      <c r="A19" s="15" t="s">
        <v>28</v>
      </c>
      <c r="B19" s="13">
        <v>2512</v>
      </c>
      <c r="C19" s="13" t="s">
        <v>16</v>
      </c>
      <c r="D19" s="13" t="s">
        <v>14</v>
      </c>
      <c r="E19" s="13">
        <v>-16102.75</v>
      </c>
    </row>
    <row r="20" spans="1:5">
      <c r="A20" s="14" t="s">
        <v>28</v>
      </c>
      <c r="B20" s="12">
        <v>2502</v>
      </c>
      <c r="C20" s="12" t="s">
        <v>7</v>
      </c>
      <c r="D20" s="12" t="s">
        <v>14</v>
      </c>
      <c r="E20" s="12">
        <v>-16068</v>
      </c>
    </row>
    <row r="21" spans="1:5">
      <c r="A21" s="15" t="s">
        <v>28</v>
      </c>
      <c r="B21" s="13">
        <v>2512</v>
      </c>
      <c r="C21" s="13" t="s">
        <v>16</v>
      </c>
      <c r="D21" s="13" t="s">
        <v>12</v>
      </c>
      <c r="E21" s="13">
        <v>-12713.75</v>
      </c>
    </row>
    <row r="22" spans="1:5">
      <c r="A22" s="14" t="s">
        <v>28</v>
      </c>
      <c r="B22" s="12">
        <v>2512</v>
      </c>
      <c r="C22" s="12" t="s">
        <v>16</v>
      </c>
      <c r="D22" s="12" t="s">
        <v>13</v>
      </c>
      <c r="E22" s="12">
        <v>-12320.5</v>
      </c>
    </row>
    <row r="23" spans="1:5">
      <c r="A23" s="15" t="s">
        <v>28</v>
      </c>
      <c r="B23" s="13">
        <v>2512</v>
      </c>
      <c r="C23" s="13" t="s">
        <v>16</v>
      </c>
      <c r="D23" s="13" t="s">
        <v>19</v>
      </c>
      <c r="E23" s="13">
        <v>-10639.5</v>
      </c>
    </row>
    <row r="24" spans="1:5">
      <c r="A24" s="14" t="s">
        <v>28</v>
      </c>
      <c r="B24" s="12">
        <v>2512</v>
      </c>
      <c r="C24" s="12" t="s">
        <v>16</v>
      </c>
      <c r="D24" s="12" t="s">
        <v>6</v>
      </c>
      <c r="E24" s="12">
        <v>-9847.25</v>
      </c>
    </row>
    <row r="25" spans="1:5">
      <c r="A25" s="15" t="s">
        <v>28</v>
      </c>
      <c r="B25" s="13">
        <v>2513</v>
      </c>
      <c r="C25" s="13" t="s">
        <v>17</v>
      </c>
      <c r="D25" s="13" t="s">
        <v>6</v>
      </c>
      <c r="E25" s="13">
        <v>-8617.5</v>
      </c>
    </row>
    <row r="26" spans="1:5">
      <c r="A26" s="14" t="s">
        <v>28</v>
      </c>
      <c r="B26" s="12">
        <v>2513</v>
      </c>
      <c r="C26" s="12" t="s">
        <v>17</v>
      </c>
      <c r="D26" s="12" t="s">
        <v>19</v>
      </c>
      <c r="E26" s="12">
        <v>-7878.75</v>
      </c>
    </row>
    <row r="27" spans="1:5">
      <c r="A27" s="15" t="s">
        <v>28</v>
      </c>
      <c r="B27" s="13">
        <v>2510</v>
      </c>
      <c r="C27" s="13" t="s">
        <v>24</v>
      </c>
      <c r="D27" s="13" t="s">
        <v>19</v>
      </c>
      <c r="E27" s="13">
        <v>-7166.25</v>
      </c>
    </row>
    <row r="28" spans="1:5">
      <c r="A28" s="14" t="s">
        <v>28</v>
      </c>
      <c r="B28" s="12">
        <v>2510</v>
      </c>
      <c r="C28" s="12" t="s">
        <v>24</v>
      </c>
      <c r="D28" s="12" t="s">
        <v>13</v>
      </c>
      <c r="E28" s="12">
        <v>-6935.75</v>
      </c>
    </row>
    <row r="29" spans="1:5">
      <c r="A29" s="15" t="s">
        <v>28</v>
      </c>
      <c r="B29" s="13">
        <v>2513</v>
      </c>
      <c r="C29" s="13" t="s">
        <v>17</v>
      </c>
      <c r="D29" s="13" t="s">
        <v>13</v>
      </c>
      <c r="E29" s="13">
        <v>-6340.25</v>
      </c>
    </row>
    <row r="30" spans="1:5">
      <c r="A30" s="14" t="s">
        <v>28</v>
      </c>
      <c r="B30" s="12">
        <v>2513</v>
      </c>
      <c r="C30" s="12" t="s">
        <v>17</v>
      </c>
      <c r="D30" s="12" t="s">
        <v>12</v>
      </c>
      <c r="E30" s="12">
        <v>-6173.25</v>
      </c>
    </row>
    <row r="31" spans="1:5">
      <c r="A31" s="15" t="s">
        <v>28</v>
      </c>
      <c r="B31" s="13">
        <v>2510</v>
      </c>
      <c r="C31" s="13" t="s">
        <v>24</v>
      </c>
      <c r="D31" s="13" t="s">
        <v>14</v>
      </c>
      <c r="E31" s="13">
        <v>-6080</v>
      </c>
    </row>
    <row r="32" spans="1:5">
      <c r="A32" s="14" t="s">
        <v>28</v>
      </c>
      <c r="B32" s="12">
        <v>2510</v>
      </c>
      <c r="C32" s="12" t="s">
        <v>24</v>
      </c>
      <c r="D32" s="12" t="s">
        <v>10</v>
      </c>
      <c r="E32" s="12">
        <v>-6006</v>
      </c>
    </row>
    <row r="33" spans="1:5">
      <c r="A33" s="15" t="s">
        <v>28</v>
      </c>
      <c r="B33" s="13">
        <v>2513</v>
      </c>
      <c r="C33" s="13" t="s">
        <v>17</v>
      </c>
      <c r="D33" s="13" t="s">
        <v>8</v>
      </c>
      <c r="E33" s="13">
        <v>-5555.75</v>
      </c>
    </row>
    <row r="34" spans="1:5">
      <c r="A34" s="14" t="s">
        <v>28</v>
      </c>
      <c r="B34" s="12">
        <v>2510</v>
      </c>
      <c r="C34" s="12" t="s">
        <v>24</v>
      </c>
      <c r="D34" s="12" t="s">
        <v>8</v>
      </c>
      <c r="E34" s="12">
        <v>-5511.5</v>
      </c>
    </row>
    <row r="35" spans="1:5">
      <c r="A35" s="15" t="s">
        <v>28</v>
      </c>
      <c r="B35" s="13">
        <v>2510</v>
      </c>
      <c r="C35" s="13" t="s">
        <v>24</v>
      </c>
      <c r="D35" s="13" t="s">
        <v>6</v>
      </c>
      <c r="E35" s="13">
        <v>-5402.25</v>
      </c>
    </row>
    <row r="36" spans="1:5">
      <c r="A36" s="14" t="s">
        <v>28</v>
      </c>
      <c r="B36" s="12">
        <v>2514</v>
      </c>
      <c r="C36" s="12" t="s">
        <v>20</v>
      </c>
      <c r="D36" s="12" t="s">
        <v>6</v>
      </c>
      <c r="E36" s="12">
        <v>-5368</v>
      </c>
    </row>
    <row r="37" spans="1:5">
      <c r="A37" s="15" t="s">
        <v>28</v>
      </c>
      <c r="B37" s="13">
        <v>2514</v>
      </c>
      <c r="C37" s="13" t="s">
        <v>20</v>
      </c>
      <c r="D37" s="13" t="s">
        <v>14</v>
      </c>
      <c r="E37" s="13">
        <v>-5229.25</v>
      </c>
    </row>
    <row r="38" spans="1:5">
      <c r="A38" s="14" t="s">
        <v>28</v>
      </c>
      <c r="B38" s="12">
        <v>2507</v>
      </c>
      <c r="C38" s="12" t="s">
        <v>11</v>
      </c>
      <c r="D38" s="12" t="s">
        <v>6</v>
      </c>
      <c r="E38" s="12">
        <v>-5149.5</v>
      </c>
    </row>
    <row r="39" spans="1:5">
      <c r="A39" s="15" t="s">
        <v>28</v>
      </c>
      <c r="B39" s="13">
        <v>2513</v>
      </c>
      <c r="C39" s="13" t="s">
        <v>17</v>
      </c>
      <c r="D39" s="13" t="s">
        <v>14</v>
      </c>
      <c r="E39" s="13">
        <v>-5118.75</v>
      </c>
    </row>
    <row r="40" spans="1:5">
      <c r="A40" s="14" t="s">
        <v>28</v>
      </c>
      <c r="B40" s="12">
        <v>2507</v>
      </c>
      <c r="C40" s="12" t="s">
        <v>11</v>
      </c>
      <c r="D40" s="12" t="s">
        <v>10</v>
      </c>
      <c r="E40" s="12">
        <v>-4926</v>
      </c>
    </row>
    <row r="41" spans="1:5">
      <c r="A41" s="15" t="s">
        <v>28</v>
      </c>
      <c r="B41" s="13">
        <v>2507</v>
      </c>
      <c r="C41" s="13" t="s">
        <v>11</v>
      </c>
      <c r="D41" s="13" t="s">
        <v>13</v>
      </c>
      <c r="E41" s="13">
        <v>-4824.75</v>
      </c>
    </row>
    <row r="42" spans="1:5">
      <c r="A42" s="14" t="s">
        <v>28</v>
      </c>
      <c r="B42" s="12">
        <v>2507</v>
      </c>
      <c r="C42" s="12" t="s">
        <v>11</v>
      </c>
      <c r="D42" s="12" t="s">
        <v>8</v>
      </c>
      <c r="E42" s="12">
        <v>-4808.25</v>
      </c>
    </row>
    <row r="43" spans="1:5">
      <c r="A43" s="15" t="s">
        <v>28</v>
      </c>
      <c r="B43" s="13">
        <v>2514</v>
      </c>
      <c r="C43" s="13" t="s">
        <v>20</v>
      </c>
      <c r="D43" s="13" t="s">
        <v>12</v>
      </c>
      <c r="E43" s="13">
        <v>-4759</v>
      </c>
    </row>
    <row r="44" spans="1:5">
      <c r="A44" s="14" t="s">
        <v>28</v>
      </c>
      <c r="B44" s="12">
        <v>2513</v>
      </c>
      <c r="C44" s="12" t="s">
        <v>17</v>
      </c>
      <c r="D44" s="12" t="s">
        <v>10</v>
      </c>
      <c r="E44" s="12">
        <v>-4741.5</v>
      </c>
    </row>
    <row r="45" spans="1:5">
      <c r="A45" s="15" t="s">
        <v>28</v>
      </c>
      <c r="B45" s="13">
        <v>2507</v>
      </c>
      <c r="C45" s="13" t="s">
        <v>11</v>
      </c>
      <c r="D45" s="13" t="s">
        <v>19</v>
      </c>
      <c r="E45" s="13">
        <v>-4612.25</v>
      </c>
    </row>
    <row r="46" spans="1:5">
      <c r="A46" s="14" t="s">
        <v>28</v>
      </c>
      <c r="B46" s="12">
        <v>2514</v>
      </c>
      <c r="C46" s="12" t="s">
        <v>20</v>
      </c>
      <c r="D46" s="12" t="s">
        <v>8</v>
      </c>
      <c r="E46" s="12">
        <v>-4401.5</v>
      </c>
    </row>
    <row r="47" spans="1:5">
      <c r="A47" s="15" t="s">
        <v>28</v>
      </c>
      <c r="B47" s="13">
        <v>2514</v>
      </c>
      <c r="C47" s="13" t="s">
        <v>20</v>
      </c>
      <c r="D47" s="13" t="s">
        <v>19</v>
      </c>
      <c r="E47" s="13">
        <v>-4229.75</v>
      </c>
    </row>
    <row r="48" spans="1:5">
      <c r="A48" s="14" t="s">
        <v>28</v>
      </c>
      <c r="B48" s="12">
        <v>2514</v>
      </c>
      <c r="C48" s="12" t="s">
        <v>20</v>
      </c>
      <c r="D48" s="12" t="s">
        <v>10</v>
      </c>
      <c r="E48" s="12">
        <v>-4082.5</v>
      </c>
    </row>
    <row r="49" spans="1:5">
      <c r="A49" s="15" t="s">
        <v>28</v>
      </c>
      <c r="B49" s="13">
        <v>2507</v>
      </c>
      <c r="C49" s="13" t="s">
        <v>11</v>
      </c>
      <c r="D49" s="13" t="s">
        <v>12</v>
      </c>
      <c r="E49" s="13">
        <v>-3891.5</v>
      </c>
    </row>
    <row r="50" spans="1:5">
      <c r="A50" s="14" t="s">
        <v>28</v>
      </c>
      <c r="B50" s="12">
        <v>2514</v>
      </c>
      <c r="C50" s="12" t="s">
        <v>20</v>
      </c>
      <c r="D50" s="12" t="s">
        <v>13</v>
      </c>
      <c r="E50" s="12">
        <v>-3882.5</v>
      </c>
    </row>
    <row r="51" spans="1:5">
      <c r="A51" s="15" t="s">
        <v>28</v>
      </c>
      <c r="B51" s="13">
        <v>2507</v>
      </c>
      <c r="C51" s="13" t="s">
        <v>11</v>
      </c>
      <c r="D51" s="13" t="s">
        <v>14</v>
      </c>
      <c r="E51" s="13">
        <v>-3682.25</v>
      </c>
    </row>
    <row r="52" spans="1:5">
      <c r="A52" s="14" t="s">
        <v>28</v>
      </c>
      <c r="B52" s="12">
        <v>2510</v>
      </c>
      <c r="C52" s="12" t="s">
        <v>24</v>
      </c>
      <c r="D52" s="12" t="s">
        <v>12</v>
      </c>
      <c r="E52" s="12">
        <v>-3397</v>
      </c>
    </row>
    <row r="53" spans="1:5">
      <c r="A53" s="15" t="s">
        <v>28</v>
      </c>
      <c r="B53" s="13">
        <v>2505</v>
      </c>
      <c r="C53" s="13" t="s">
        <v>9</v>
      </c>
      <c r="D53" s="13" t="s">
        <v>6</v>
      </c>
      <c r="E53" s="13">
        <v>-2774.25</v>
      </c>
    </row>
    <row r="54" spans="1:5">
      <c r="A54" s="14" t="s">
        <v>28</v>
      </c>
      <c r="B54" s="12">
        <v>2504</v>
      </c>
      <c r="C54" s="12" t="s">
        <v>21</v>
      </c>
      <c r="D54" s="12" t="s">
        <v>19</v>
      </c>
      <c r="E54" s="12">
        <v>-2772</v>
      </c>
    </row>
    <row r="55" spans="1:5">
      <c r="A55" s="15" t="s">
        <v>28</v>
      </c>
      <c r="B55" s="13">
        <v>2505</v>
      </c>
      <c r="C55" s="13" t="s">
        <v>9</v>
      </c>
      <c r="D55" s="13" t="s">
        <v>12</v>
      </c>
      <c r="E55" s="13">
        <v>-2674.25</v>
      </c>
    </row>
    <row r="56" spans="1:5">
      <c r="A56" s="14" t="s">
        <v>28</v>
      </c>
      <c r="B56" s="12">
        <v>2505</v>
      </c>
      <c r="C56" s="12" t="s">
        <v>9</v>
      </c>
      <c r="D56" s="12" t="s">
        <v>19</v>
      </c>
      <c r="E56" s="12">
        <v>-2553.75</v>
      </c>
    </row>
    <row r="57" spans="1:5">
      <c r="A57" s="15" t="s">
        <v>28</v>
      </c>
      <c r="B57" s="13">
        <v>2505</v>
      </c>
      <c r="C57" s="13" t="s">
        <v>9</v>
      </c>
      <c r="D57" s="13" t="s">
        <v>14</v>
      </c>
      <c r="E57" s="13">
        <v>-2337.5</v>
      </c>
    </row>
    <row r="58" spans="1:5">
      <c r="A58" s="14" t="s">
        <v>28</v>
      </c>
      <c r="B58" s="12">
        <v>2506</v>
      </c>
      <c r="C58" s="12" t="s">
        <v>27</v>
      </c>
      <c r="D58" s="12" t="s">
        <v>14</v>
      </c>
      <c r="E58" s="12">
        <v>-2312</v>
      </c>
    </row>
    <row r="59" spans="1:5">
      <c r="A59" s="15" t="s">
        <v>28</v>
      </c>
      <c r="B59" s="13">
        <v>2505</v>
      </c>
      <c r="C59" s="13" t="s">
        <v>9</v>
      </c>
      <c r="D59" s="13" t="s">
        <v>8</v>
      </c>
      <c r="E59" s="13">
        <v>-2274.25</v>
      </c>
    </row>
    <row r="60" spans="1:5">
      <c r="A60" s="14" t="s">
        <v>28</v>
      </c>
      <c r="B60" s="12">
        <v>2505</v>
      </c>
      <c r="C60" s="12" t="s">
        <v>9</v>
      </c>
      <c r="D60" s="12" t="s">
        <v>10</v>
      </c>
      <c r="E60" s="12">
        <v>-2154</v>
      </c>
    </row>
    <row r="61" spans="1:5">
      <c r="A61" s="15" t="s">
        <v>28</v>
      </c>
      <c r="B61" s="13">
        <v>2506</v>
      </c>
      <c r="C61" s="13" t="s">
        <v>27</v>
      </c>
      <c r="D61" s="13" t="s">
        <v>8</v>
      </c>
      <c r="E61" s="13">
        <v>-2023</v>
      </c>
    </row>
    <row r="62" spans="1:5">
      <c r="A62" s="14" t="s">
        <v>28</v>
      </c>
      <c r="B62" s="12">
        <v>2505</v>
      </c>
      <c r="C62" s="12" t="s">
        <v>9</v>
      </c>
      <c r="D62" s="12" t="s">
        <v>13</v>
      </c>
      <c r="E62" s="12">
        <v>-1828.75</v>
      </c>
    </row>
    <row r="63" spans="1:5">
      <c r="A63" s="15" t="s">
        <v>28</v>
      </c>
      <c r="B63" s="13">
        <v>2503</v>
      </c>
      <c r="C63" s="13" t="s">
        <v>22</v>
      </c>
      <c r="D63" s="13" t="s">
        <v>19</v>
      </c>
      <c r="E63" s="13">
        <v>-1384.5</v>
      </c>
    </row>
    <row r="64" spans="1:5">
      <c r="A64" s="14" t="s">
        <v>28</v>
      </c>
      <c r="B64" s="12">
        <v>2503</v>
      </c>
      <c r="C64" s="12" t="s">
        <v>22</v>
      </c>
      <c r="D64" s="12" t="s">
        <v>10</v>
      </c>
      <c r="E64" s="12">
        <v>-1325.5</v>
      </c>
    </row>
    <row r="65" spans="1:5">
      <c r="A65" s="15" t="s">
        <v>28</v>
      </c>
      <c r="B65" s="13">
        <v>2503</v>
      </c>
      <c r="C65" s="13" t="s">
        <v>22</v>
      </c>
      <c r="D65" s="13" t="s">
        <v>13</v>
      </c>
      <c r="E65" s="13">
        <v>-1287</v>
      </c>
    </row>
    <row r="66" spans="1:5">
      <c r="A66" s="14" t="s">
        <v>28</v>
      </c>
      <c r="B66" s="12">
        <v>2503</v>
      </c>
      <c r="C66" s="12" t="s">
        <v>22</v>
      </c>
      <c r="D66" s="12" t="s">
        <v>8</v>
      </c>
      <c r="E66" s="12">
        <v>-1233.75</v>
      </c>
    </row>
    <row r="67" spans="1:5">
      <c r="A67" s="15" t="s">
        <v>28</v>
      </c>
      <c r="B67" s="13">
        <v>2503</v>
      </c>
      <c r="C67" s="13" t="s">
        <v>22</v>
      </c>
      <c r="D67" s="13" t="s">
        <v>14</v>
      </c>
      <c r="E67" s="13">
        <v>-1204</v>
      </c>
    </row>
    <row r="68" spans="1:5">
      <c r="A68" s="14" t="s">
        <v>28</v>
      </c>
      <c r="B68" s="12">
        <v>2503</v>
      </c>
      <c r="C68" s="12" t="s">
        <v>22</v>
      </c>
      <c r="D68" s="12" t="s">
        <v>6</v>
      </c>
      <c r="E68" s="12">
        <v>-1139.75</v>
      </c>
    </row>
    <row r="69" spans="1:5">
      <c r="A69" s="15" t="s">
        <v>28</v>
      </c>
      <c r="B69" s="13">
        <v>2503</v>
      </c>
      <c r="C69" s="13" t="s">
        <v>22</v>
      </c>
      <c r="D69" s="13" t="s">
        <v>12</v>
      </c>
      <c r="E69" s="13">
        <v>-1079</v>
      </c>
    </row>
    <row r="70" spans="1:5">
      <c r="A70" s="14" t="s">
        <v>28</v>
      </c>
      <c r="B70" s="12">
        <v>1500</v>
      </c>
      <c r="C70" s="12" t="s">
        <v>26</v>
      </c>
      <c r="D70" s="12" t="s">
        <v>19</v>
      </c>
      <c r="E70" s="12">
        <v>-996.5</v>
      </c>
    </row>
    <row r="71" spans="1:5">
      <c r="A71" s="15" t="s">
        <v>28</v>
      </c>
      <c r="B71" s="13">
        <v>2501</v>
      </c>
      <c r="C71" s="13" t="s">
        <v>5</v>
      </c>
      <c r="D71" s="13" t="s">
        <v>19</v>
      </c>
      <c r="E71" s="13">
        <v>-665.5</v>
      </c>
    </row>
    <row r="72" spans="1:5">
      <c r="A72" s="14" t="s">
        <v>28</v>
      </c>
      <c r="B72" s="12">
        <v>2501</v>
      </c>
      <c r="C72" s="12" t="s">
        <v>5</v>
      </c>
      <c r="D72" s="12" t="s">
        <v>12</v>
      </c>
      <c r="E72" s="12">
        <v>-580.5</v>
      </c>
    </row>
    <row r="73" spans="1:5">
      <c r="A73" s="15" t="s">
        <v>28</v>
      </c>
      <c r="B73" s="13">
        <v>2501</v>
      </c>
      <c r="C73" s="13" t="s">
        <v>5</v>
      </c>
      <c r="D73" s="13" t="s">
        <v>13</v>
      </c>
      <c r="E73" s="13">
        <v>-555</v>
      </c>
    </row>
    <row r="74" spans="1:5">
      <c r="A74" s="14" t="s">
        <v>28</v>
      </c>
      <c r="B74" s="12">
        <v>2501</v>
      </c>
      <c r="C74" s="12" t="s">
        <v>5</v>
      </c>
      <c r="D74" s="12" t="s">
        <v>8</v>
      </c>
      <c r="E74" s="12">
        <v>-544.25</v>
      </c>
    </row>
    <row r="75" spans="1:5">
      <c r="A75" s="15" t="s">
        <v>28</v>
      </c>
      <c r="B75" s="13">
        <v>2501</v>
      </c>
      <c r="C75" s="13" t="s">
        <v>5</v>
      </c>
      <c r="D75" s="13" t="s">
        <v>10</v>
      </c>
      <c r="E75" s="13">
        <v>-514.25</v>
      </c>
    </row>
    <row r="76" spans="1:5">
      <c r="A76" s="14" t="s">
        <v>28</v>
      </c>
      <c r="B76" s="12">
        <v>2501</v>
      </c>
      <c r="C76" s="12" t="s">
        <v>5</v>
      </c>
      <c r="D76" s="12" t="s">
        <v>6</v>
      </c>
      <c r="E76" s="12">
        <v>-493.75</v>
      </c>
    </row>
    <row r="77" spans="1:5">
      <c r="A77" s="15" t="s">
        <v>28</v>
      </c>
      <c r="B77" s="13">
        <v>2501</v>
      </c>
      <c r="C77" s="13" t="s">
        <v>5</v>
      </c>
      <c r="D77" s="13" t="s">
        <v>14</v>
      </c>
      <c r="E77" s="13">
        <v>-419.75</v>
      </c>
    </row>
    <row r="78" spans="1:5">
      <c r="A78" s="14" t="s">
        <v>28</v>
      </c>
      <c r="B78" s="12">
        <v>1000</v>
      </c>
      <c r="C78" s="12" t="s">
        <v>23</v>
      </c>
      <c r="D78" s="12" t="s">
        <v>19</v>
      </c>
      <c r="E78" s="12">
        <v>7995921</v>
      </c>
    </row>
    <row r="79" spans="1:5">
      <c r="A79" s="15" t="s">
        <v>29</v>
      </c>
      <c r="B79" s="13">
        <v>2508</v>
      </c>
      <c r="C79" s="13" t="s">
        <v>15</v>
      </c>
      <c r="D79" s="13" t="s">
        <v>12</v>
      </c>
      <c r="E79" s="13">
        <v>-288059</v>
      </c>
    </row>
    <row r="80" spans="1:5">
      <c r="A80" s="14" t="s">
        <v>29</v>
      </c>
      <c r="B80" s="12">
        <v>2508</v>
      </c>
      <c r="C80" s="12" t="s">
        <v>15</v>
      </c>
      <c r="D80" s="12" t="s">
        <v>14</v>
      </c>
      <c r="E80" s="12">
        <v>-275825.5</v>
      </c>
    </row>
    <row r="81" spans="1:5">
      <c r="A81" s="15" t="s">
        <v>29</v>
      </c>
      <c r="B81" s="13">
        <v>2508</v>
      </c>
      <c r="C81" s="13" t="s">
        <v>15</v>
      </c>
      <c r="D81" s="13" t="s">
        <v>19</v>
      </c>
      <c r="E81" s="13">
        <v>-242633.5</v>
      </c>
    </row>
    <row r="82" spans="1:5">
      <c r="A82" s="14" t="s">
        <v>29</v>
      </c>
      <c r="B82" s="12">
        <v>2508</v>
      </c>
      <c r="C82" s="12" t="s">
        <v>15</v>
      </c>
      <c r="D82" s="12" t="s">
        <v>8</v>
      </c>
      <c r="E82" s="12">
        <v>-201260.25</v>
      </c>
    </row>
    <row r="83" spans="1:5">
      <c r="A83" s="15" t="s">
        <v>29</v>
      </c>
      <c r="B83" s="13">
        <v>2508</v>
      </c>
      <c r="C83" s="13" t="s">
        <v>15</v>
      </c>
      <c r="D83" s="13" t="s">
        <v>13</v>
      </c>
      <c r="E83" s="13">
        <v>-197139.75</v>
      </c>
    </row>
    <row r="84" spans="1:5">
      <c r="A84" s="14" t="s">
        <v>29</v>
      </c>
      <c r="B84" s="12">
        <v>2508</v>
      </c>
      <c r="C84" s="12" t="s">
        <v>15</v>
      </c>
      <c r="D84" s="12" t="s">
        <v>10</v>
      </c>
      <c r="E84" s="12">
        <v>-194029.5</v>
      </c>
    </row>
    <row r="85" spans="1:5">
      <c r="A85" s="15" t="s">
        <v>29</v>
      </c>
      <c r="B85" s="13">
        <v>2508</v>
      </c>
      <c r="C85" s="13" t="s">
        <v>15</v>
      </c>
      <c r="D85" s="13" t="s">
        <v>6</v>
      </c>
      <c r="E85" s="13">
        <v>-191221.25</v>
      </c>
    </row>
    <row r="86" spans="1:5">
      <c r="A86" s="14" t="s">
        <v>29</v>
      </c>
      <c r="B86" s="12">
        <v>2000</v>
      </c>
      <c r="C86" s="12" t="s">
        <v>18</v>
      </c>
      <c r="D86" s="12" t="s">
        <v>19</v>
      </c>
      <c r="E86" s="12">
        <v>-125065.08333333333</v>
      </c>
    </row>
    <row r="87" spans="1:5">
      <c r="A87" s="15" t="s">
        <v>29</v>
      </c>
      <c r="B87" s="13">
        <v>2500</v>
      </c>
      <c r="C87" s="13" t="s">
        <v>25</v>
      </c>
      <c r="D87" s="13" t="s">
        <v>19</v>
      </c>
      <c r="E87" s="13">
        <v>-28829.75</v>
      </c>
    </row>
    <row r="88" spans="1:5">
      <c r="A88" s="14" t="s">
        <v>29</v>
      </c>
      <c r="B88" s="12">
        <v>2502</v>
      </c>
      <c r="C88" s="12" t="s">
        <v>7</v>
      </c>
      <c r="D88" s="12" t="s">
        <v>10</v>
      </c>
      <c r="E88" s="12">
        <v>-24567.75</v>
      </c>
    </row>
    <row r="89" spans="1:5">
      <c r="A89" s="15" t="s">
        <v>29</v>
      </c>
      <c r="B89" s="13">
        <v>2502</v>
      </c>
      <c r="C89" s="13" t="s">
        <v>7</v>
      </c>
      <c r="D89" s="13" t="s">
        <v>13</v>
      </c>
      <c r="E89" s="13">
        <v>-19584</v>
      </c>
    </row>
    <row r="90" spans="1:5">
      <c r="A90" s="14" t="s">
        <v>29</v>
      </c>
      <c r="B90" s="12">
        <v>2502</v>
      </c>
      <c r="C90" s="12" t="s">
        <v>7</v>
      </c>
      <c r="D90" s="12" t="s">
        <v>8</v>
      </c>
      <c r="E90" s="12">
        <v>-19584</v>
      </c>
    </row>
    <row r="91" spans="1:5">
      <c r="A91" s="15" t="s">
        <v>29</v>
      </c>
      <c r="B91" s="13">
        <v>2502</v>
      </c>
      <c r="C91" s="13" t="s">
        <v>7</v>
      </c>
      <c r="D91" s="13" t="s">
        <v>6</v>
      </c>
      <c r="E91" s="13">
        <v>-16113</v>
      </c>
    </row>
    <row r="92" spans="1:5">
      <c r="A92" s="14" t="s">
        <v>29</v>
      </c>
      <c r="B92" s="12">
        <v>2512</v>
      </c>
      <c r="C92" s="12" t="s">
        <v>16</v>
      </c>
      <c r="D92" s="12" t="s">
        <v>6</v>
      </c>
      <c r="E92" s="12">
        <v>-15073</v>
      </c>
    </row>
    <row r="93" spans="1:5">
      <c r="A93" s="15" t="s">
        <v>29</v>
      </c>
      <c r="B93" s="13">
        <v>2512</v>
      </c>
      <c r="C93" s="13" t="s">
        <v>16</v>
      </c>
      <c r="D93" s="13" t="s">
        <v>8</v>
      </c>
      <c r="E93" s="13">
        <v>-14737.5</v>
      </c>
    </row>
    <row r="94" spans="1:5">
      <c r="A94" s="14" t="s">
        <v>29</v>
      </c>
      <c r="B94" s="12">
        <v>2502</v>
      </c>
      <c r="C94" s="12" t="s">
        <v>7</v>
      </c>
      <c r="D94" s="12" t="s">
        <v>12</v>
      </c>
      <c r="E94" s="12">
        <v>-14701</v>
      </c>
    </row>
    <row r="95" spans="1:5">
      <c r="A95" s="15" t="s">
        <v>29</v>
      </c>
      <c r="B95" s="13">
        <v>2502</v>
      </c>
      <c r="C95" s="13" t="s">
        <v>7</v>
      </c>
      <c r="D95" s="13" t="s">
        <v>14</v>
      </c>
      <c r="E95" s="13">
        <v>-14567.5</v>
      </c>
    </row>
    <row r="96" spans="1:5">
      <c r="A96" s="14" t="s">
        <v>29</v>
      </c>
      <c r="B96" s="12">
        <v>2512</v>
      </c>
      <c r="C96" s="12" t="s">
        <v>16</v>
      </c>
      <c r="D96" s="12" t="s">
        <v>10</v>
      </c>
      <c r="E96" s="12">
        <v>-14517.75</v>
      </c>
    </row>
    <row r="97" spans="1:5">
      <c r="A97" s="15" t="s">
        <v>29</v>
      </c>
      <c r="B97" s="13">
        <v>2512</v>
      </c>
      <c r="C97" s="13" t="s">
        <v>16</v>
      </c>
      <c r="D97" s="13" t="s">
        <v>19</v>
      </c>
      <c r="E97" s="13">
        <v>-13708.75</v>
      </c>
    </row>
    <row r="98" spans="1:5">
      <c r="A98" s="14" t="s">
        <v>29</v>
      </c>
      <c r="B98" s="12">
        <v>2512</v>
      </c>
      <c r="C98" s="12" t="s">
        <v>16</v>
      </c>
      <c r="D98" s="12" t="s">
        <v>14</v>
      </c>
      <c r="E98" s="12">
        <v>-13589.5</v>
      </c>
    </row>
    <row r="99" spans="1:5">
      <c r="A99" s="15" t="s">
        <v>29</v>
      </c>
      <c r="B99" s="13">
        <v>2512</v>
      </c>
      <c r="C99" s="13" t="s">
        <v>16</v>
      </c>
      <c r="D99" s="13" t="s">
        <v>13</v>
      </c>
      <c r="E99" s="13">
        <v>-12465.25</v>
      </c>
    </row>
    <row r="100" spans="1:5">
      <c r="A100" s="14" t="s">
        <v>29</v>
      </c>
      <c r="B100" s="12">
        <v>2502</v>
      </c>
      <c r="C100" s="12" t="s">
        <v>7</v>
      </c>
      <c r="D100" s="12" t="s">
        <v>19</v>
      </c>
      <c r="E100" s="12">
        <v>-12429</v>
      </c>
    </row>
    <row r="101" spans="1:5">
      <c r="A101" s="15" t="s">
        <v>29</v>
      </c>
      <c r="B101" s="13">
        <v>2512</v>
      </c>
      <c r="C101" s="13" t="s">
        <v>16</v>
      </c>
      <c r="D101" s="13" t="s">
        <v>12</v>
      </c>
      <c r="E101" s="13">
        <v>-11601.25</v>
      </c>
    </row>
    <row r="102" spans="1:5">
      <c r="A102" s="14" t="s">
        <v>29</v>
      </c>
      <c r="B102" s="12">
        <v>2513</v>
      </c>
      <c r="C102" s="12" t="s">
        <v>17</v>
      </c>
      <c r="D102" s="12" t="s">
        <v>10</v>
      </c>
      <c r="E102" s="12">
        <v>-7320.75</v>
      </c>
    </row>
    <row r="103" spans="1:5">
      <c r="A103" s="15" t="s">
        <v>29</v>
      </c>
      <c r="B103" s="13">
        <v>2513</v>
      </c>
      <c r="C103" s="13" t="s">
        <v>17</v>
      </c>
      <c r="D103" s="13" t="s">
        <v>14</v>
      </c>
      <c r="E103" s="13">
        <v>-7320.75</v>
      </c>
    </row>
    <row r="104" spans="1:5">
      <c r="A104" s="14" t="s">
        <v>29</v>
      </c>
      <c r="B104" s="12">
        <v>2510</v>
      </c>
      <c r="C104" s="12" t="s">
        <v>24</v>
      </c>
      <c r="D104" s="12" t="s">
        <v>19</v>
      </c>
      <c r="E104" s="12">
        <v>-7294.25</v>
      </c>
    </row>
    <row r="105" spans="1:5">
      <c r="A105" s="15" t="s">
        <v>29</v>
      </c>
      <c r="B105" s="13">
        <v>2513</v>
      </c>
      <c r="C105" s="13" t="s">
        <v>17</v>
      </c>
      <c r="D105" s="13" t="s">
        <v>12</v>
      </c>
      <c r="E105" s="13">
        <v>-6471</v>
      </c>
    </row>
    <row r="106" spans="1:5">
      <c r="A106" s="14" t="s">
        <v>29</v>
      </c>
      <c r="B106" s="12">
        <v>2513</v>
      </c>
      <c r="C106" s="12" t="s">
        <v>17</v>
      </c>
      <c r="D106" s="12" t="s">
        <v>6</v>
      </c>
      <c r="E106" s="12">
        <v>-6248.5</v>
      </c>
    </row>
    <row r="107" spans="1:5">
      <c r="A107" s="15" t="s">
        <v>29</v>
      </c>
      <c r="B107" s="13">
        <v>2514</v>
      </c>
      <c r="C107" s="13" t="s">
        <v>20</v>
      </c>
      <c r="D107" s="13" t="s">
        <v>6</v>
      </c>
      <c r="E107" s="13">
        <v>-5722.5</v>
      </c>
    </row>
    <row r="108" spans="1:5">
      <c r="A108" s="14" t="s">
        <v>29</v>
      </c>
      <c r="B108" s="12">
        <v>2513</v>
      </c>
      <c r="C108" s="12" t="s">
        <v>17</v>
      </c>
      <c r="D108" s="12" t="s">
        <v>19</v>
      </c>
      <c r="E108" s="12">
        <v>-5707.25</v>
      </c>
    </row>
    <row r="109" spans="1:5">
      <c r="A109" s="15" t="s">
        <v>29</v>
      </c>
      <c r="B109" s="13">
        <v>2510</v>
      </c>
      <c r="C109" s="13" t="s">
        <v>24</v>
      </c>
      <c r="D109" s="13" t="s">
        <v>8</v>
      </c>
      <c r="E109" s="13">
        <v>-5502.5</v>
      </c>
    </row>
    <row r="110" spans="1:5">
      <c r="A110" s="14" t="s">
        <v>29</v>
      </c>
      <c r="B110" s="12">
        <v>2514</v>
      </c>
      <c r="C110" s="12" t="s">
        <v>20</v>
      </c>
      <c r="D110" s="12" t="s">
        <v>12</v>
      </c>
      <c r="E110" s="12">
        <v>-5471</v>
      </c>
    </row>
    <row r="111" spans="1:5">
      <c r="A111" s="15" t="s">
        <v>29</v>
      </c>
      <c r="B111" s="13">
        <v>2510</v>
      </c>
      <c r="C111" s="13" t="s">
        <v>24</v>
      </c>
      <c r="D111" s="13" t="s">
        <v>10</v>
      </c>
      <c r="E111" s="13">
        <v>-5329.5</v>
      </c>
    </row>
    <row r="112" spans="1:5">
      <c r="A112" s="14" t="s">
        <v>29</v>
      </c>
      <c r="B112" s="12">
        <v>2514</v>
      </c>
      <c r="C112" s="12" t="s">
        <v>20</v>
      </c>
      <c r="D112" s="12" t="s">
        <v>8</v>
      </c>
      <c r="E112" s="12">
        <v>-5220.25</v>
      </c>
    </row>
    <row r="113" spans="1:5">
      <c r="A113" s="15" t="s">
        <v>29</v>
      </c>
      <c r="B113" s="13">
        <v>2513</v>
      </c>
      <c r="C113" s="13" t="s">
        <v>17</v>
      </c>
      <c r="D113" s="13" t="s">
        <v>8</v>
      </c>
      <c r="E113" s="13">
        <v>-5105.75</v>
      </c>
    </row>
    <row r="114" spans="1:5">
      <c r="A114" s="14" t="s">
        <v>29</v>
      </c>
      <c r="B114" s="12">
        <v>2510</v>
      </c>
      <c r="C114" s="12" t="s">
        <v>24</v>
      </c>
      <c r="D114" s="12" t="s">
        <v>6</v>
      </c>
      <c r="E114" s="12">
        <v>-5094.25</v>
      </c>
    </row>
    <row r="115" spans="1:5">
      <c r="A115" s="15" t="s">
        <v>29</v>
      </c>
      <c r="B115" s="13">
        <v>2510</v>
      </c>
      <c r="C115" s="13" t="s">
        <v>24</v>
      </c>
      <c r="D115" s="13" t="s">
        <v>14</v>
      </c>
      <c r="E115" s="13">
        <v>-5075.75</v>
      </c>
    </row>
    <row r="116" spans="1:5">
      <c r="A116" s="14" t="s">
        <v>29</v>
      </c>
      <c r="B116" s="12">
        <v>2513</v>
      </c>
      <c r="C116" s="12" t="s">
        <v>17</v>
      </c>
      <c r="D116" s="12" t="s">
        <v>13</v>
      </c>
      <c r="E116" s="12">
        <v>-5047.75</v>
      </c>
    </row>
    <row r="117" spans="1:5">
      <c r="A117" s="15" t="s">
        <v>29</v>
      </c>
      <c r="B117" s="13">
        <v>2507</v>
      </c>
      <c r="C117" s="13" t="s">
        <v>11</v>
      </c>
      <c r="D117" s="13" t="s">
        <v>19</v>
      </c>
      <c r="E117" s="13">
        <v>-5021</v>
      </c>
    </row>
    <row r="118" spans="1:5">
      <c r="A118" s="14" t="s">
        <v>29</v>
      </c>
      <c r="B118" s="12">
        <v>2514</v>
      </c>
      <c r="C118" s="12" t="s">
        <v>20</v>
      </c>
      <c r="D118" s="12" t="s">
        <v>14</v>
      </c>
      <c r="E118" s="12">
        <v>-4968.5</v>
      </c>
    </row>
    <row r="119" spans="1:5">
      <c r="A119" s="15" t="s">
        <v>29</v>
      </c>
      <c r="B119" s="13">
        <v>2514</v>
      </c>
      <c r="C119" s="13" t="s">
        <v>20</v>
      </c>
      <c r="D119" s="13" t="s">
        <v>10</v>
      </c>
      <c r="E119" s="13">
        <v>-4811</v>
      </c>
    </row>
    <row r="120" spans="1:5">
      <c r="A120" s="14" t="s">
        <v>29</v>
      </c>
      <c r="B120" s="12">
        <v>2507</v>
      </c>
      <c r="C120" s="12" t="s">
        <v>11</v>
      </c>
      <c r="D120" s="12" t="s">
        <v>12</v>
      </c>
      <c r="E120" s="12">
        <v>-4733.25</v>
      </c>
    </row>
    <row r="121" spans="1:5">
      <c r="A121" s="15" t="s">
        <v>29</v>
      </c>
      <c r="B121" s="13">
        <v>2514</v>
      </c>
      <c r="C121" s="13" t="s">
        <v>20</v>
      </c>
      <c r="D121" s="13" t="s">
        <v>13</v>
      </c>
      <c r="E121" s="13">
        <v>-4592</v>
      </c>
    </row>
    <row r="122" spans="1:5">
      <c r="A122" s="14" t="s">
        <v>29</v>
      </c>
      <c r="B122" s="12">
        <v>2507</v>
      </c>
      <c r="C122" s="12" t="s">
        <v>11</v>
      </c>
      <c r="D122" s="12" t="s">
        <v>14</v>
      </c>
      <c r="E122" s="12">
        <v>-4393.5</v>
      </c>
    </row>
    <row r="123" spans="1:5">
      <c r="A123" s="15" t="s">
        <v>29</v>
      </c>
      <c r="B123" s="13">
        <v>2510</v>
      </c>
      <c r="C123" s="13" t="s">
        <v>24</v>
      </c>
      <c r="D123" s="13" t="s">
        <v>12</v>
      </c>
      <c r="E123" s="13">
        <v>-4105.75</v>
      </c>
    </row>
    <row r="124" spans="1:5">
      <c r="A124" s="14" t="s">
        <v>29</v>
      </c>
      <c r="B124" s="12">
        <v>2514</v>
      </c>
      <c r="C124" s="12" t="s">
        <v>20</v>
      </c>
      <c r="D124" s="12" t="s">
        <v>19</v>
      </c>
      <c r="E124" s="12">
        <v>-4083.25</v>
      </c>
    </row>
    <row r="125" spans="1:5">
      <c r="A125" s="15" t="s">
        <v>29</v>
      </c>
      <c r="B125" s="13">
        <v>2507</v>
      </c>
      <c r="C125" s="13" t="s">
        <v>11</v>
      </c>
      <c r="D125" s="13" t="s">
        <v>6</v>
      </c>
      <c r="E125" s="13">
        <v>-4051.5</v>
      </c>
    </row>
    <row r="126" spans="1:5">
      <c r="A126" s="14" t="s">
        <v>29</v>
      </c>
      <c r="B126" s="12">
        <v>2507</v>
      </c>
      <c r="C126" s="12" t="s">
        <v>11</v>
      </c>
      <c r="D126" s="12" t="s">
        <v>10</v>
      </c>
      <c r="E126" s="12">
        <v>-3946.5</v>
      </c>
    </row>
    <row r="127" spans="1:5">
      <c r="A127" s="15" t="s">
        <v>29</v>
      </c>
      <c r="B127" s="13">
        <v>2507</v>
      </c>
      <c r="C127" s="13" t="s">
        <v>11</v>
      </c>
      <c r="D127" s="13" t="s">
        <v>8</v>
      </c>
      <c r="E127" s="13">
        <v>-3844.25</v>
      </c>
    </row>
    <row r="128" spans="1:5">
      <c r="A128" s="14" t="s">
        <v>29</v>
      </c>
      <c r="B128" s="12">
        <v>2507</v>
      </c>
      <c r="C128" s="12" t="s">
        <v>11</v>
      </c>
      <c r="D128" s="12" t="s">
        <v>13</v>
      </c>
      <c r="E128" s="12">
        <v>-3689</v>
      </c>
    </row>
    <row r="129" spans="1:5">
      <c r="A129" s="15" t="s">
        <v>29</v>
      </c>
      <c r="B129" s="13">
        <v>2510</v>
      </c>
      <c r="C129" s="13" t="s">
        <v>24</v>
      </c>
      <c r="D129" s="13" t="s">
        <v>13</v>
      </c>
      <c r="E129" s="13">
        <v>-3649.5</v>
      </c>
    </row>
    <row r="130" spans="1:5">
      <c r="A130" s="14" t="s">
        <v>29</v>
      </c>
      <c r="B130" s="12">
        <v>1500</v>
      </c>
      <c r="C130" s="12" t="s">
        <v>26</v>
      </c>
      <c r="D130" s="12" t="s">
        <v>19</v>
      </c>
      <c r="E130" s="12">
        <v>-3523.75</v>
      </c>
    </row>
    <row r="131" spans="1:5">
      <c r="A131" s="15" t="s">
        <v>29</v>
      </c>
      <c r="B131" s="13">
        <v>2504</v>
      </c>
      <c r="C131" s="13" t="s">
        <v>21</v>
      </c>
      <c r="D131" s="13" t="s">
        <v>19</v>
      </c>
      <c r="E131" s="13">
        <v>-3177.25</v>
      </c>
    </row>
    <row r="132" spans="1:5">
      <c r="A132" s="14" t="s">
        <v>29</v>
      </c>
      <c r="B132" s="12">
        <v>2505</v>
      </c>
      <c r="C132" s="12" t="s">
        <v>9</v>
      </c>
      <c r="D132" s="12" t="s">
        <v>6</v>
      </c>
      <c r="E132" s="12">
        <v>-2809.5</v>
      </c>
    </row>
    <row r="133" spans="1:5">
      <c r="A133" s="15" t="s">
        <v>29</v>
      </c>
      <c r="B133" s="13">
        <v>2505</v>
      </c>
      <c r="C133" s="13" t="s">
        <v>9</v>
      </c>
      <c r="D133" s="13" t="s">
        <v>10</v>
      </c>
      <c r="E133" s="13">
        <v>-2588.75</v>
      </c>
    </row>
    <row r="134" spans="1:5">
      <c r="A134" s="14" t="s">
        <v>29</v>
      </c>
      <c r="B134" s="12">
        <v>2505</v>
      </c>
      <c r="C134" s="12" t="s">
        <v>9</v>
      </c>
      <c r="D134" s="12" t="s">
        <v>8</v>
      </c>
      <c r="E134" s="12">
        <v>-2293.5</v>
      </c>
    </row>
    <row r="135" spans="1:5">
      <c r="A135" s="15" t="s">
        <v>29</v>
      </c>
      <c r="B135" s="13">
        <v>2505</v>
      </c>
      <c r="C135" s="13" t="s">
        <v>9</v>
      </c>
      <c r="D135" s="13" t="s">
        <v>13</v>
      </c>
      <c r="E135" s="13">
        <v>-2043.25</v>
      </c>
    </row>
    <row r="136" spans="1:5">
      <c r="A136" s="14" t="s">
        <v>29</v>
      </c>
      <c r="B136" s="12">
        <v>2506</v>
      </c>
      <c r="C136" s="12" t="s">
        <v>27</v>
      </c>
      <c r="D136" s="12" t="s">
        <v>14</v>
      </c>
      <c r="E136" s="12">
        <v>-1976</v>
      </c>
    </row>
    <row r="137" spans="1:5">
      <c r="A137" s="15" t="s">
        <v>29</v>
      </c>
      <c r="B137" s="13">
        <v>2506</v>
      </c>
      <c r="C137" s="13" t="s">
        <v>27</v>
      </c>
      <c r="D137" s="13" t="s">
        <v>8</v>
      </c>
      <c r="E137" s="13">
        <v>-1955.75</v>
      </c>
    </row>
    <row r="138" spans="1:5">
      <c r="A138" s="14" t="s">
        <v>29</v>
      </c>
      <c r="B138" s="12">
        <v>2505</v>
      </c>
      <c r="C138" s="12" t="s">
        <v>9</v>
      </c>
      <c r="D138" s="12" t="s">
        <v>14</v>
      </c>
      <c r="E138" s="12">
        <v>-1919.5</v>
      </c>
    </row>
    <row r="139" spans="1:5">
      <c r="A139" s="15" t="s">
        <v>29</v>
      </c>
      <c r="B139" s="13">
        <v>2505</v>
      </c>
      <c r="C139" s="13" t="s">
        <v>9</v>
      </c>
      <c r="D139" s="13" t="s">
        <v>19</v>
      </c>
      <c r="E139" s="13">
        <v>-1911.75</v>
      </c>
    </row>
    <row r="140" spans="1:5">
      <c r="A140" s="14" t="s">
        <v>29</v>
      </c>
      <c r="B140" s="12">
        <v>2505</v>
      </c>
      <c r="C140" s="12" t="s">
        <v>9</v>
      </c>
      <c r="D140" s="12" t="s">
        <v>12</v>
      </c>
      <c r="E140" s="12">
        <v>-1843.5</v>
      </c>
    </row>
    <row r="141" spans="1:5">
      <c r="A141" s="15" t="s">
        <v>29</v>
      </c>
      <c r="B141" s="13">
        <v>2503</v>
      </c>
      <c r="C141" s="13" t="s">
        <v>22</v>
      </c>
      <c r="D141" s="13" t="s">
        <v>13</v>
      </c>
      <c r="E141" s="13">
        <v>-1421.75</v>
      </c>
    </row>
    <row r="142" spans="1:5">
      <c r="A142" s="14" t="s">
        <v>29</v>
      </c>
      <c r="B142" s="12">
        <v>2503</v>
      </c>
      <c r="C142" s="12" t="s">
        <v>22</v>
      </c>
      <c r="D142" s="12" t="s">
        <v>8</v>
      </c>
      <c r="E142" s="12">
        <v>-1345</v>
      </c>
    </row>
    <row r="143" spans="1:5">
      <c r="A143" s="15" t="s">
        <v>29</v>
      </c>
      <c r="B143" s="13">
        <v>2503</v>
      </c>
      <c r="C143" s="13" t="s">
        <v>22</v>
      </c>
      <c r="D143" s="13" t="s">
        <v>6</v>
      </c>
      <c r="E143" s="13">
        <v>-1336</v>
      </c>
    </row>
    <row r="144" spans="1:5">
      <c r="A144" s="14" t="s">
        <v>29</v>
      </c>
      <c r="B144" s="12">
        <v>2503</v>
      </c>
      <c r="C144" s="12" t="s">
        <v>22</v>
      </c>
      <c r="D144" s="12" t="s">
        <v>10</v>
      </c>
      <c r="E144" s="12">
        <v>-1183.75</v>
      </c>
    </row>
    <row r="145" spans="1:5">
      <c r="A145" s="15" t="s">
        <v>29</v>
      </c>
      <c r="B145" s="13">
        <v>2503</v>
      </c>
      <c r="C145" s="13" t="s">
        <v>22</v>
      </c>
      <c r="D145" s="13" t="s">
        <v>14</v>
      </c>
      <c r="E145" s="13">
        <v>-1127.5</v>
      </c>
    </row>
    <row r="146" spans="1:5">
      <c r="A146" s="14" t="s">
        <v>29</v>
      </c>
      <c r="B146" s="12">
        <v>2503</v>
      </c>
      <c r="C146" s="12" t="s">
        <v>22</v>
      </c>
      <c r="D146" s="12" t="s">
        <v>19</v>
      </c>
      <c r="E146" s="12">
        <v>-1115.25</v>
      </c>
    </row>
    <row r="147" spans="1:5">
      <c r="A147" s="15" t="s">
        <v>29</v>
      </c>
      <c r="B147" s="13">
        <v>2503</v>
      </c>
      <c r="C147" s="13" t="s">
        <v>22</v>
      </c>
      <c r="D147" s="13" t="s">
        <v>12</v>
      </c>
      <c r="E147" s="13">
        <v>-1071</v>
      </c>
    </row>
    <row r="148" spans="1:5">
      <c r="A148" s="14" t="s">
        <v>29</v>
      </c>
      <c r="B148" s="12">
        <v>2501</v>
      </c>
      <c r="C148" s="12" t="s">
        <v>5</v>
      </c>
      <c r="D148" s="12" t="s">
        <v>10</v>
      </c>
      <c r="E148" s="12">
        <v>-622.5</v>
      </c>
    </row>
    <row r="149" spans="1:5">
      <c r="A149" s="15" t="s">
        <v>29</v>
      </c>
      <c r="B149" s="13">
        <v>2501</v>
      </c>
      <c r="C149" s="13" t="s">
        <v>5</v>
      </c>
      <c r="D149" s="13" t="s">
        <v>6</v>
      </c>
      <c r="E149" s="13">
        <v>-548.75</v>
      </c>
    </row>
    <row r="150" spans="1:5">
      <c r="A150" s="14" t="s">
        <v>29</v>
      </c>
      <c r="B150" s="12">
        <v>2501</v>
      </c>
      <c r="C150" s="12" t="s">
        <v>5</v>
      </c>
      <c r="D150" s="12" t="s">
        <v>19</v>
      </c>
      <c r="E150" s="12">
        <v>-546.75</v>
      </c>
    </row>
    <row r="151" spans="1:5">
      <c r="A151" s="15" t="s">
        <v>29</v>
      </c>
      <c r="B151" s="13">
        <v>2501</v>
      </c>
      <c r="C151" s="13" t="s">
        <v>5</v>
      </c>
      <c r="D151" s="13" t="s">
        <v>12</v>
      </c>
      <c r="E151" s="13">
        <v>-508.25</v>
      </c>
    </row>
    <row r="152" spans="1:5">
      <c r="A152" s="14" t="s">
        <v>29</v>
      </c>
      <c r="B152" s="12">
        <v>2501</v>
      </c>
      <c r="C152" s="12" t="s">
        <v>5</v>
      </c>
      <c r="D152" s="12" t="s">
        <v>13</v>
      </c>
      <c r="E152" s="12">
        <v>-487.5</v>
      </c>
    </row>
    <row r="153" spans="1:5">
      <c r="A153" s="15" t="s">
        <v>29</v>
      </c>
      <c r="B153" s="13">
        <v>2501</v>
      </c>
      <c r="C153" s="13" t="s">
        <v>5</v>
      </c>
      <c r="D153" s="13" t="s">
        <v>14</v>
      </c>
      <c r="E153" s="13">
        <v>-463</v>
      </c>
    </row>
    <row r="154" spans="1:5">
      <c r="A154" s="14" t="s">
        <v>29</v>
      </c>
      <c r="B154" s="12">
        <v>2501</v>
      </c>
      <c r="C154" s="12" t="s">
        <v>5</v>
      </c>
      <c r="D154" s="12" t="s">
        <v>8</v>
      </c>
      <c r="E154" s="12">
        <v>-421.75</v>
      </c>
    </row>
    <row r="155" spans="1:5">
      <c r="A155" s="15" t="s">
        <v>29</v>
      </c>
      <c r="B155" s="13">
        <v>1000</v>
      </c>
      <c r="C155" s="13" t="s">
        <v>23</v>
      </c>
      <c r="D155" s="13" t="s">
        <v>19</v>
      </c>
      <c r="E155" s="13">
        <v>7155365</v>
      </c>
    </row>
    <row r="156" spans="1:5">
      <c r="A156" s="14" t="s">
        <v>30</v>
      </c>
      <c r="B156" s="12">
        <v>2508</v>
      </c>
      <c r="C156" s="12" t="s">
        <v>15</v>
      </c>
      <c r="D156" s="12" t="s">
        <v>13</v>
      </c>
      <c r="E156" s="12">
        <v>-288059</v>
      </c>
    </row>
    <row r="157" spans="1:5">
      <c r="A157" s="15" t="s">
        <v>30</v>
      </c>
      <c r="B157" s="13">
        <v>2508</v>
      </c>
      <c r="C157" s="13" t="s">
        <v>15</v>
      </c>
      <c r="D157" s="13" t="s">
        <v>6</v>
      </c>
      <c r="E157" s="13">
        <v>-279336.5</v>
      </c>
    </row>
    <row r="158" spans="1:5">
      <c r="A158" s="14" t="s">
        <v>30</v>
      </c>
      <c r="B158" s="12">
        <v>2508</v>
      </c>
      <c r="C158" s="12" t="s">
        <v>15</v>
      </c>
      <c r="D158" s="12" t="s">
        <v>12</v>
      </c>
      <c r="E158" s="12">
        <v>-253176.5</v>
      </c>
    </row>
    <row r="159" spans="1:5">
      <c r="A159" s="15" t="s">
        <v>30</v>
      </c>
      <c r="B159" s="13">
        <v>2508</v>
      </c>
      <c r="C159" s="13" t="s">
        <v>15</v>
      </c>
      <c r="D159" s="13" t="s">
        <v>19</v>
      </c>
      <c r="E159" s="13">
        <v>-243372.5</v>
      </c>
    </row>
    <row r="160" spans="1:5">
      <c r="A160" s="14" t="s">
        <v>30</v>
      </c>
      <c r="B160" s="12">
        <v>2508</v>
      </c>
      <c r="C160" s="12" t="s">
        <v>15</v>
      </c>
      <c r="D160" s="12" t="s">
        <v>8</v>
      </c>
      <c r="E160" s="12">
        <v>-242447.25</v>
      </c>
    </row>
    <row r="161" spans="1:5">
      <c r="A161" s="15" t="s">
        <v>30</v>
      </c>
      <c r="B161" s="13">
        <v>2508</v>
      </c>
      <c r="C161" s="13" t="s">
        <v>15</v>
      </c>
      <c r="D161" s="13" t="s">
        <v>10</v>
      </c>
      <c r="E161" s="13">
        <v>-241004.5</v>
      </c>
    </row>
    <row r="162" spans="1:5">
      <c r="A162" s="14" t="s">
        <v>30</v>
      </c>
      <c r="B162" s="12">
        <v>2508</v>
      </c>
      <c r="C162" s="12" t="s">
        <v>15</v>
      </c>
      <c r="D162" s="12" t="s">
        <v>14</v>
      </c>
      <c r="E162" s="12">
        <v>-232345.25</v>
      </c>
    </row>
    <row r="163" spans="1:5">
      <c r="A163" s="15" t="s">
        <v>30</v>
      </c>
      <c r="B163" s="13">
        <v>2000</v>
      </c>
      <c r="C163" s="13" t="s">
        <v>18</v>
      </c>
      <c r="D163" s="13" t="s">
        <v>19</v>
      </c>
      <c r="E163" s="13">
        <v>-101243.16666666667</v>
      </c>
    </row>
    <row r="164" spans="1:5">
      <c r="A164" s="14" t="s">
        <v>30</v>
      </c>
      <c r="B164" s="12">
        <v>2500</v>
      </c>
      <c r="C164" s="12" t="s">
        <v>25</v>
      </c>
      <c r="D164" s="12" t="s">
        <v>19</v>
      </c>
      <c r="E164" s="12">
        <v>-23071.25</v>
      </c>
    </row>
    <row r="165" spans="1:5">
      <c r="A165" s="15" t="s">
        <v>30</v>
      </c>
      <c r="B165" s="13">
        <v>2502</v>
      </c>
      <c r="C165" s="13" t="s">
        <v>7</v>
      </c>
      <c r="D165" s="13" t="s">
        <v>8</v>
      </c>
      <c r="E165" s="13">
        <v>-19654.25</v>
      </c>
    </row>
    <row r="166" spans="1:5">
      <c r="A166" s="14" t="s">
        <v>30</v>
      </c>
      <c r="B166" s="12">
        <v>2502</v>
      </c>
      <c r="C166" s="12" t="s">
        <v>7</v>
      </c>
      <c r="D166" s="12" t="s">
        <v>13</v>
      </c>
      <c r="E166" s="12">
        <v>-17881</v>
      </c>
    </row>
    <row r="167" spans="1:5">
      <c r="A167" s="15" t="s">
        <v>30</v>
      </c>
      <c r="B167" s="13">
        <v>2502</v>
      </c>
      <c r="C167" s="13" t="s">
        <v>7</v>
      </c>
      <c r="D167" s="13" t="s">
        <v>10</v>
      </c>
      <c r="E167" s="13">
        <v>-16689</v>
      </c>
    </row>
    <row r="168" spans="1:5">
      <c r="A168" s="14" t="s">
        <v>30</v>
      </c>
      <c r="B168" s="12">
        <v>2502</v>
      </c>
      <c r="C168" s="12" t="s">
        <v>7</v>
      </c>
      <c r="D168" s="12" t="s">
        <v>12</v>
      </c>
      <c r="E168" s="12">
        <v>-15916.5</v>
      </c>
    </row>
    <row r="169" spans="1:5">
      <c r="A169" s="15" t="s">
        <v>30</v>
      </c>
      <c r="B169" s="13">
        <v>2512</v>
      </c>
      <c r="C169" s="13" t="s">
        <v>16</v>
      </c>
      <c r="D169" s="13" t="s">
        <v>10</v>
      </c>
      <c r="E169" s="13">
        <v>-14810.75</v>
      </c>
    </row>
    <row r="170" spans="1:5">
      <c r="A170" s="14" t="s">
        <v>30</v>
      </c>
      <c r="B170" s="12">
        <v>2502</v>
      </c>
      <c r="C170" s="12" t="s">
        <v>7</v>
      </c>
      <c r="D170" s="12" t="s">
        <v>19</v>
      </c>
      <c r="E170" s="12">
        <v>-14701</v>
      </c>
    </row>
    <row r="171" spans="1:5">
      <c r="A171" s="15" t="s">
        <v>30</v>
      </c>
      <c r="B171" s="13">
        <v>2512</v>
      </c>
      <c r="C171" s="13" t="s">
        <v>16</v>
      </c>
      <c r="D171" s="13" t="s">
        <v>6</v>
      </c>
      <c r="E171" s="13">
        <v>-14684.75</v>
      </c>
    </row>
    <row r="172" spans="1:5">
      <c r="A172" s="14" t="s">
        <v>30</v>
      </c>
      <c r="B172" s="12">
        <v>2502</v>
      </c>
      <c r="C172" s="12" t="s">
        <v>7</v>
      </c>
      <c r="D172" s="12" t="s">
        <v>6</v>
      </c>
      <c r="E172" s="12">
        <v>-13498.25</v>
      </c>
    </row>
    <row r="173" spans="1:5">
      <c r="A173" s="15" t="s">
        <v>30</v>
      </c>
      <c r="B173" s="13">
        <v>2502</v>
      </c>
      <c r="C173" s="13" t="s">
        <v>7</v>
      </c>
      <c r="D173" s="13" t="s">
        <v>14</v>
      </c>
      <c r="E173" s="13">
        <v>-13390</v>
      </c>
    </row>
    <row r="174" spans="1:5">
      <c r="A174" s="14" t="s">
        <v>30</v>
      </c>
      <c r="B174" s="12">
        <v>2512</v>
      </c>
      <c r="C174" s="12" t="s">
        <v>16</v>
      </c>
      <c r="D174" s="12" t="s">
        <v>19</v>
      </c>
      <c r="E174" s="12">
        <v>-11324.5</v>
      </c>
    </row>
    <row r="175" spans="1:5">
      <c r="A175" s="15" t="s">
        <v>30</v>
      </c>
      <c r="B175" s="13">
        <v>2512</v>
      </c>
      <c r="C175" s="13" t="s">
        <v>16</v>
      </c>
      <c r="D175" s="13" t="s">
        <v>14</v>
      </c>
      <c r="E175" s="13">
        <v>-11231</v>
      </c>
    </row>
    <row r="176" spans="1:5">
      <c r="A176" s="14" t="s">
        <v>30</v>
      </c>
      <c r="B176" s="12">
        <v>2512</v>
      </c>
      <c r="C176" s="12" t="s">
        <v>16</v>
      </c>
      <c r="D176" s="12" t="s">
        <v>13</v>
      </c>
      <c r="E176" s="12">
        <v>-8974.5</v>
      </c>
    </row>
    <row r="177" spans="1:5">
      <c r="A177" s="15" t="s">
        <v>30</v>
      </c>
      <c r="B177" s="13">
        <v>2512</v>
      </c>
      <c r="C177" s="13" t="s">
        <v>16</v>
      </c>
      <c r="D177" s="13" t="s">
        <v>8</v>
      </c>
      <c r="E177" s="13">
        <v>-8791.25</v>
      </c>
    </row>
    <row r="178" spans="1:5">
      <c r="A178" s="14" t="s">
        <v>30</v>
      </c>
      <c r="B178" s="12">
        <v>2513</v>
      </c>
      <c r="C178" s="12" t="s">
        <v>17</v>
      </c>
      <c r="D178" s="12" t="s">
        <v>13</v>
      </c>
      <c r="E178" s="12">
        <v>-7550.5</v>
      </c>
    </row>
    <row r="179" spans="1:5">
      <c r="A179" s="15" t="s">
        <v>30</v>
      </c>
      <c r="B179" s="13">
        <v>2512</v>
      </c>
      <c r="C179" s="13" t="s">
        <v>16</v>
      </c>
      <c r="D179" s="13" t="s">
        <v>12</v>
      </c>
      <c r="E179" s="13">
        <v>-7484.75</v>
      </c>
    </row>
    <row r="180" spans="1:5">
      <c r="A180" s="14" t="s">
        <v>30</v>
      </c>
      <c r="B180" s="12">
        <v>2513</v>
      </c>
      <c r="C180" s="12" t="s">
        <v>17</v>
      </c>
      <c r="D180" s="12" t="s">
        <v>19</v>
      </c>
      <c r="E180" s="12">
        <v>-7445</v>
      </c>
    </row>
    <row r="181" spans="1:5">
      <c r="A181" s="15" t="s">
        <v>30</v>
      </c>
      <c r="B181" s="13">
        <v>2510</v>
      </c>
      <c r="C181" s="13" t="s">
        <v>24</v>
      </c>
      <c r="D181" s="13" t="s">
        <v>10</v>
      </c>
      <c r="E181" s="13">
        <v>-6606.75</v>
      </c>
    </row>
    <row r="182" spans="1:5">
      <c r="A182" s="14" t="s">
        <v>30</v>
      </c>
      <c r="B182" s="12">
        <v>2513</v>
      </c>
      <c r="C182" s="12" t="s">
        <v>17</v>
      </c>
      <c r="D182" s="12" t="s">
        <v>10</v>
      </c>
      <c r="E182" s="12">
        <v>-6382.25</v>
      </c>
    </row>
    <row r="183" spans="1:5">
      <c r="A183" s="15" t="s">
        <v>30</v>
      </c>
      <c r="B183" s="13">
        <v>2510</v>
      </c>
      <c r="C183" s="13" t="s">
        <v>24</v>
      </c>
      <c r="D183" s="13" t="s">
        <v>14</v>
      </c>
      <c r="E183" s="13">
        <v>-6247.25</v>
      </c>
    </row>
    <row r="184" spans="1:5">
      <c r="A184" s="14" t="s">
        <v>30</v>
      </c>
      <c r="B184" s="12">
        <v>2513</v>
      </c>
      <c r="C184" s="12" t="s">
        <v>17</v>
      </c>
      <c r="D184" s="12" t="s">
        <v>6</v>
      </c>
      <c r="E184" s="12">
        <v>-6078.75</v>
      </c>
    </row>
    <row r="185" spans="1:5">
      <c r="A185" s="15" t="s">
        <v>30</v>
      </c>
      <c r="B185" s="13">
        <v>2507</v>
      </c>
      <c r="C185" s="13" t="s">
        <v>11</v>
      </c>
      <c r="D185" s="13" t="s">
        <v>14</v>
      </c>
      <c r="E185" s="13">
        <v>-5992.75</v>
      </c>
    </row>
    <row r="186" spans="1:5">
      <c r="A186" s="14" t="s">
        <v>30</v>
      </c>
      <c r="B186" s="12">
        <v>2513</v>
      </c>
      <c r="C186" s="12" t="s">
        <v>17</v>
      </c>
      <c r="D186" s="12" t="s">
        <v>8</v>
      </c>
      <c r="E186" s="12">
        <v>-5620.5</v>
      </c>
    </row>
    <row r="187" spans="1:5">
      <c r="A187" s="15" t="s">
        <v>30</v>
      </c>
      <c r="B187" s="13">
        <v>2513</v>
      </c>
      <c r="C187" s="13" t="s">
        <v>17</v>
      </c>
      <c r="D187" s="13" t="s">
        <v>14</v>
      </c>
      <c r="E187" s="13">
        <v>-5496</v>
      </c>
    </row>
    <row r="188" spans="1:5">
      <c r="A188" s="14" t="s">
        <v>30</v>
      </c>
      <c r="B188" s="12">
        <v>2514</v>
      </c>
      <c r="C188" s="12" t="s">
        <v>20</v>
      </c>
      <c r="D188" s="12" t="s">
        <v>8</v>
      </c>
      <c r="E188" s="12">
        <v>-5471.25</v>
      </c>
    </row>
    <row r="189" spans="1:5">
      <c r="A189" s="15" t="s">
        <v>30</v>
      </c>
      <c r="B189" s="13">
        <v>2507</v>
      </c>
      <c r="C189" s="13" t="s">
        <v>11</v>
      </c>
      <c r="D189" s="13" t="s">
        <v>12</v>
      </c>
      <c r="E189" s="13">
        <v>-5219.75</v>
      </c>
    </row>
    <row r="190" spans="1:5">
      <c r="A190" s="14" t="s">
        <v>30</v>
      </c>
      <c r="B190" s="12">
        <v>2514</v>
      </c>
      <c r="C190" s="12" t="s">
        <v>20</v>
      </c>
      <c r="D190" s="12" t="s">
        <v>13</v>
      </c>
      <c r="E190" s="12">
        <v>-5160.25</v>
      </c>
    </row>
    <row r="191" spans="1:5">
      <c r="A191" s="15" t="s">
        <v>30</v>
      </c>
      <c r="B191" s="13">
        <v>2510</v>
      </c>
      <c r="C191" s="13" t="s">
        <v>24</v>
      </c>
      <c r="D191" s="13" t="s">
        <v>6</v>
      </c>
      <c r="E191" s="13">
        <v>-5129.5</v>
      </c>
    </row>
    <row r="192" spans="1:5">
      <c r="A192" s="14" t="s">
        <v>30</v>
      </c>
      <c r="B192" s="12">
        <v>2514</v>
      </c>
      <c r="C192" s="12" t="s">
        <v>20</v>
      </c>
      <c r="D192" s="12" t="s">
        <v>6</v>
      </c>
      <c r="E192" s="12">
        <v>-4966.75</v>
      </c>
    </row>
    <row r="193" spans="1:5">
      <c r="A193" s="15" t="s">
        <v>30</v>
      </c>
      <c r="B193" s="13">
        <v>2507</v>
      </c>
      <c r="C193" s="13" t="s">
        <v>11</v>
      </c>
      <c r="D193" s="13" t="s">
        <v>10</v>
      </c>
      <c r="E193" s="13">
        <v>-4710.5</v>
      </c>
    </row>
    <row r="194" spans="1:5">
      <c r="A194" s="14" t="s">
        <v>30</v>
      </c>
      <c r="B194" s="12">
        <v>2514</v>
      </c>
      <c r="C194" s="12" t="s">
        <v>20</v>
      </c>
      <c r="D194" s="12" t="s">
        <v>10</v>
      </c>
      <c r="E194" s="12">
        <v>-4675.5</v>
      </c>
    </row>
    <row r="195" spans="1:5">
      <c r="A195" s="15" t="s">
        <v>30</v>
      </c>
      <c r="B195" s="13">
        <v>2514</v>
      </c>
      <c r="C195" s="13" t="s">
        <v>20</v>
      </c>
      <c r="D195" s="13" t="s">
        <v>14</v>
      </c>
      <c r="E195" s="13">
        <v>-4495.5</v>
      </c>
    </row>
    <row r="196" spans="1:5">
      <c r="A196" s="14" t="s">
        <v>30</v>
      </c>
      <c r="B196" s="12">
        <v>2507</v>
      </c>
      <c r="C196" s="12" t="s">
        <v>11</v>
      </c>
      <c r="D196" s="12" t="s">
        <v>6</v>
      </c>
      <c r="E196" s="12">
        <v>-4371</v>
      </c>
    </row>
    <row r="197" spans="1:5">
      <c r="A197" s="15" t="s">
        <v>30</v>
      </c>
      <c r="B197" s="13">
        <v>2514</v>
      </c>
      <c r="C197" s="13" t="s">
        <v>20</v>
      </c>
      <c r="D197" s="13" t="s">
        <v>19</v>
      </c>
      <c r="E197" s="13">
        <v>-4366.75</v>
      </c>
    </row>
    <row r="198" spans="1:5">
      <c r="A198" s="14" t="s">
        <v>30</v>
      </c>
      <c r="B198" s="12">
        <v>2510</v>
      </c>
      <c r="C198" s="12" t="s">
        <v>24</v>
      </c>
      <c r="D198" s="12" t="s">
        <v>12</v>
      </c>
      <c r="E198" s="12">
        <v>-4302.75</v>
      </c>
    </row>
    <row r="199" spans="1:5">
      <c r="A199" s="15" t="s">
        <v>30</v>
      </c>
      <c r="B199" s="13">
        <v>2513</v>
      </c>
      <c r="C199" s="13" t="s">
        <v>17</v>
      </c>
      <c r="D199" s="13" t="s">
        <v>12</v>
      </c>
      <c r="E199" s="13">
        <v>-4293</v>
      </c>
    </row>
    <row r="200" spans="1:5">
      <c r="A200" s="14" t="s">
        <v>30</v>
      </c>
      <c r="B200" s="12">
        <v>2514</v>
      </c>
      <c r="C200" s="12" t="s">
        <v>20</v>
      </c>
      <c r="D200" s="12" t="s">
        <v>12</v>
      </c>
      <c r="E200" s="12">
        <v>-4220.25</v>
      </c>
    </row>
    <row r="201" spans="1:5">
      <c r="A201" s="15" t="s">
        <v>30</v>
      </c>
      <c r="B201" s="13">
        <v>2507</v>
      </c>
      <c r="C201" s="13" t="s">
        <v>11</v>
      </c>
      <c r="D201" s="13" t="s">
        <v>13</v>
      </c>
      <c r="E201" s="13">
        <v>-4096</v>
      </c>
    </row>
    <row r="202" spans="1:5">
      <c r="A202" s="14" t="s">
        <v>30</v>
      </c>
      <c r="B202" s="12">
        <v>2507</v>
      </c>
      <c r="C202" s="12" t="s">
        <v>11</v>
      </c>
      <c r="D202" s="12" t="s">
        <v>19</v>
      </c>
      <c r="E202" s="12">
        <v>-4075.25</v>
      </c>
    </row>
    <row r="203" spans="1:5">
      <c r="A203" s="15" t="s">
        <v>30</v>
      </c>
      <c r="B203" s="13">
        <v>2507</v>
      </c>
      <c r="C203" s="13" t="s">
        <v>11</v>
      </c>
      <c r="D203" s="13" t="s">
        <v>8</v>
      </c>
      <c r="E203" s="13">
        <v>-3962.5</v>
      </c>
    </row>
    <row r="204" spans="1:5">
      <c r="A204" s="14" t="s">
        <v>30</v>
      </c>
      <c r="B204" s="12">
        <v>2510</v>
      </c>
      <c r="C204" s="12" t="s">
        <v>24</v>
      </c>
      <c r="D204" s="12" t="s">
        <v>13</v>
      </c>
      <c r="E204" s="12">
        <v>-3736.75</v>
      </c>
    </row>
    <row r="205" spans="1:5">
      <c r="A205" s="15" t="s">
        <v>30</v>
      </c>
      <c r="B205" s="13">
        <v>2510</v>
      </c>
      <c r="C205" s="13" t="s">
        <v>24</v>
      </c>
      <c r="D205" s="13" t="s">
        <v>19</v>
      </c>
      <c r="E205" s="13">
        <v>-3649.5</v>
      </c>
    </row>
    <row r="206" spans="1:5">
      <c r="A206" s="14" t="s">
        <v>30</v>
      </c>
      <c r="B206" s="12">
        <v>2510</v>
      </c>
      <c r="C206" s="12" t="s">
        <v>24</v>
      </c>
      <c r="D206" s="12" t="s">
        <v>8</v>
      </c>
      <c r="E206" s="12">
        <v>-3307.5</v>
      </c>
    </row>
    <row r="207" spans="1:5">
      <c r="A207" s="15" t="s">
        <v>30</v>
      </c>
      <c r="B207" s="13">
        <v>2505</v>
      </c>
      <c r="C207" s="13" t="s">
        <v>9</v>
      </c>
      <c r="D207" s="13" t="s">
        <v>13</v>
      </c>
      <c r="E207" s="13">
        <v>-2996.75</v>
      </c>
    </row>
    <row r="208" spans="1:5">
      <c r="A208" s="14" t="s">
        <v>30</v>
      </c>
      <c r="B208" s="12">
        <v>2505</v>
      </c>
      <c r="C208" s="12" t="s">
        <v>9</v>
      </c>
      <c r="D208" s="12" t="s">
        <v>14</v>
      </c>
      <c r="E208" s="12">
        <v>-2915.75</v>
      </c>
    </row>
    <row r="209" spans="1:5">
      <c r="A209" s="15" t="s">
        <v>30</v>
      </c>
      <c r="B209" s="13">
        <v>2506</v>
      </c>
      <c r="C209" s="13" t="s">
        <v>27</v>
      </c>
      <c r="D209" s="13" t="s">
        <v>8</v>
      </c>
      <c r="E209" s="13">
        <v>-2745.75</v>
      </c>
    </row>
    <row r="210" spans="1:5">
      <c r="A210" s="14" t="s">
        <v>30</v>
      </c>
      <c r="B210" s="12">
        <v>2504</v>
      </c>
      <c r="C210" s="12" t="s">
        <v>21</v>
      </c>
      <c r="D210" s="12" t="s">
        <v>19</v>
      </c>
      <c r="E210" s="12">
        <v>-2581.75</v>
      </c>
    </row>
    <row r="211" spans="1:5">
      <c r="A211" s="15" t="s">
        <v>30</v>
      </c>
      <c r="B211" s="13">
        <v>2505</v>
      </c>
      <c r="C211" s="13" t="s">
        <v>9</v>
      </c>
      <c r="D211" s="13" t="s">
        <v>12</v>
      </c>
      <c r="E211" s="13">
        <v>-2553.75</v>
      </c>
    </row>
    <row r="212" spans="1:5">
      <c r="A212" s="14" t="s">
        <v>30</v>
      </c>
      <c r="B212" s="12">
        <v>2505</v>
      </c>
      <c r="C212" s="12" t="s">
        <v>9</v>
      </c>
      <c r="D212" s="12" t="s">
        <v>10</v>
      </c>
      <c r="E212" s="12">
        <v>-2179.25</v>
      </c>
    </row>
    <row r="213" spans="1:5">
      <c r="A213" s="15" t="s">
        <v>30</v>
      </c>
      <c r="B213" s="13">
        <v>2506</v>
      </c>
      <c r="C213" s="13" t="s">
        <v>27</v>
      </c>
      <c r="D213" s="13" t="s">
        <v>14</v>
      </c>
      <c r="E213" s="13">
        <v>-2092.25</v>
      </c>
    </row>
    <row r="214" spans="1:5">
      <c r="A214" s="14" t="s">
        <v>30</v>
      </c>
      <c r="B214" s="12">
        <v>2505</v>
      </c>
      <c r="C214" s="12" t="s">
        <v>9</v>
      </c>
      <c r="D214" s="12" t="s">
        <v>6</v>
      </c>
      <c r="E214" s="12">
        <v>-1979.5</v>
      </c>
    </row>
    <row r="215" spans="1:5">
      <c r="A215" s="15" t="s">
        <v>30</v>
      </c>
      <c r="B215" s="13">
        <v>2505</v>
      </c>
      <c r="C215" s="13" t="s">
        <v>9</v>
      </c>
      <c r="D215" s="13" t="s">
        <v>19</v>
      </c>
      <c r="E215" s="13">
        <v>-1863.75</v>
      </c>
    </row>
    <row r="216" spans="1:5">
      <c r="A216" s="14" t="s">
        <v>30</v>
      </c>
      <c r="B216" s="12">
        <v>2505</v>
      </c>
      <c r="C216" s="12" t="s">
        <v>9</v>
      </c>
      <c r="D216" s="12" t="s">
        <v>8</v>
      </c>
      <c r="E216" s="12">
        <v>-1803</v>
      </c>
    </row>
    <row r="217" spans="1:5">
      <c r="A217" s="15" t="s">
        <v>30</v>
      </c>
      <c r="B217" s="13">
        <v>2503</v>
      </c>
      <c r="C217" s="13" t="s">
        <v>22</v>
      </c>
      <c r="D217" s="13" t="s">
        <v>19</v>
      </c>
      <c r="E217" s="13">
        <v>-1693.75</v>
      </c>
    </row>
    <row r="218" spans="1:5">
      <c r="A218" s="14" t="s">
        <v>30</v>
      </c>
      <c r="B218" s="12">
        <v>2503</v>
      </c>
      <c r="C218" s="12" t="s">
        <v>22</v>
      </c>
      <c r="D218" s="12" t="s">
        <v>12</v>
      </c>
      <c r="E218" s="12">
        <v>-1268</v>
      </c>
    </row>
    <row r="219" spans="1:5">
      <c r="A219" s="15" t="s">
        <v>30</v>
      </c>
      <c r="B219" s="13">
        <v>2503</v>
      </c>
      <c r="C219" s="13" t="s">
        <v>22</v>
      </c>
      <c r="D219" s="13" t="s">
        <v>10</v>
      </c>
      <c r="E219" s="13">
        <v>-1234.5</v>
      </c>
    </row>
    <row r="220" spans="1:5">
      <c r="A220" s="14" t="s">
        <v>30</v>
      </c>
      <c r="B220" s="12">
        <v>2503</v>
      </c>
      <c r="C220" s="12" t="s">
        <v>22</v>
      </c>
      <c r="D220" s="12" t="s">
        <v>14</v>
      </c>
      <c r="E220" s="12">
        <v>-1217.5</v>
      </c>
    </row>
    <row r="221" spans="1:5">
      <c r="A221" s="15" t="s">
        <v>30</v>
      </c>
      <c r="B221" s="13">
        <v>2503</v>
      </c>
      <c r="C221" s="13" t="s">
        <v>22</v>
      </c>
      <c r="D221" s="13" t="s">
        <v>8</v>
      </c>
      <c r="E221" s="13">
        <v>-1092.75</v>
      </c>
    </row>
    <row r="222" spans="1:5">
      <c r="A222" s="14" t="s">
        <v>30</v>
      </c>
      <c r="B222" s="12">
        <v>2503</v>
      </c>
      <c r="C222" s="12" t="s">
        <v>22</v>
      </c>
      <c r="D222" s="12" t="s">
        <v>13</v>
      </c>
      <c r="E222" s="12">
        <v>-1057</v>
      </c>
    </row>
    <row r="223" spans="1:5">
      <c r="A223" s="15" t="s">
        <v>30</v>
      </c>
      <c r="B223" s="13">
        <v>2503</v>
      </c>
      <c r="C223" s="13" t="s">
        <v>22</v>
      </c>
      <c r="D223" s="13" t="s">
        <v>6</v>
      </c>
      <c r="E223" s="13">
        <v>-1035</v>
      </c>
    </row>
    <row r="224" spans="1:5">
      <c r="A224" s="14" t="s">
        <v>30</v>
      </c>
      <c r="B224" s="12">
        <v>1500</v>
      </c>
      <c r="C224" s="12" t="s">
        <v>26</v>
      </c>
      <c r="D224" s="12" t="s">
        <v>19</v>
      </c>
      <c r="E224" s="12">
        <v>-751.75</v>
      </c>
    </row>
    <row r="225" spans="1:5">
      <c r="A225" s="15" t="s">
        <v>30</v>
      </c>
      <c r="B225" s="13">
        <v>2501</v>
      </c>
      <c r="C225" s="13" t="s">
        <v>5</v>
      </c>
      <c r="D225" s="13" t="s">
        <v>14</v>
      </c>
      <c r="E225" s="13">
        <v>-585.25</v>
      </c>
    </row>
    <row r="226" spans="1:5">
      <c r="A226" s="14" t="s">
        <v>30</v>
      </c>
      <c r="B226" s="12">
        <v>2501</v>
      </c>
      <c r="C226" s="12" t="s">
        <v>5</v>
      </c>
      <c r="D226" s="12" t="s">
        <v>12</v>
      </c>
      <c r="E226" s="12">
        <v>-553.25</v>
      </c>
    </row>
    <row r="227" spans="1:5">
      <c r="A227" s="15" t="s">
        <v>30</v>
      </c>
      <c r="B227" s="13">
        <v>2501</v>
      </c>
      <c r="C227" s="13" t="s">
        <v>5</v>
      </c>
      <c r="D227" s="13" t="s">
        <v>8</v>
      </c>
      <c r="E227" s="13">
        <v>-535.75</v>
      </c>
    </row>
    <row r="228" spans="1:5">
      <c r="A228" s="14" t="s">
        <v>30</v>
      </c>
      <c r="B228" s="12">
        <v>2501</v>
      </c>
      <c r="C228" s="12" t="s">
        <v>5</v>
      </c>
      <c r="D228" s="12" t="s">
        <v>19</v>
      </c>
      <c r="E228" s="12">
        <v>-528.5</v>
      </c>
    </row>
    <row r="229" spans="1:5">
      <c r="A229" s="15" t="s">
        <v>30</v>
      </c>
      <c r="B229" s="13">
        <v>2501</v>
      </c>
      <c r="C229" s="13" t="s">
        <v>5</v>
      </c>
      <c r="D229" s="13" t="s">
        <v>6</v>
      </c>
      <c r="E229" s="13">
        <v>-514.75</v>
      </c>
    </row>
    <row r="230" spans="1:5">
      <c r="A230" s="14" t="s">
        <v>30</v>
      </c>
      <c r="B230" s="12">
        <v>2501</v>
      </c>
      <c r="C230" s="12" t="s">
        <v>5</v>
      </c>
      <c r="D230" s="12" t="s">
        <v>13</v>
      </c>
      <c r="E230" s="12">
        <v>-504.5</v>
      </c>
    </row>
    <row r="231" spans="1:5">
      <c r="A231" s="15" t="s">
        <v>30</v>
      </c>
      <c r="B231" s="13">
        <v>2501</v>
      </c>
      <c r="C231" s="13" t="s">
        <v>5</v>
      </c>
      <c r="D231" s="13" t="s">
        <v>10</v>
      </c>
      <c r="E231" s="13">
        <v>-420.25</v>
      </c>
    </row>
    <row r="232" spans="1:5">
      <c r="A232" s="14" t="s">
        <v>30</v>
      </c>
      <c r="B232" s="12">
        <v>1000</v>
      </c>
      <c r="C232" s="12" t="s">
        <v>23</v>
      </c>
      <c r="D232" s="12" t="s">
        <v>19</v>
      </c>
      <c r="E232" s="12">
        <v>7913565</v>
      </c>
    </row>
    <row r="233" spans="1:5">
      <c r="A233" s="15" t="s">
        <v>31</v>
      </c>
      <c r="B233" s="13">
        <v>2508</v>
      </c>
      <c r="C233" s="13" t="s">
        <v>15</v>
      </c>
      <c r="D233" s="13" t="s">
        <v>8</v>
      </c>
      <c r="E233" s="13">
        <v>-276350.25</v>
      </c>
    </row>
    <row r="234" spans="1:5">
      <c r="A234" s="14" t="s">
        <v>31</v>
      </c>
      <c r="B234" s="12">
        <v>2508</v>
      </c>
      <c r="C234" s="12" t="s">
        <v>15</v>
      </c>
      <c r="D234" s="12" t="s">
        <v>19</v>
      </c>
      <c r="E234" s="12">
        <v>-219469.75</v>
      </c>
    </row>
    <row r="235" spans="1:5">
      <c r="A235" s="15" t="s">
        <v>31</v>
      </c>
      <c r="B235" s="13">
        <v>2508</v>
      </c>
      <c r="C235" s="13" t="s">
        <v>15</v>
      </c>
      <c r="D235" s="13" t="s">
        <v>6</v>
      </c>
      <c r="E235" s="13">
        <v>-219095</v>
      </c>
    </row>
    <row r="236" spans="1:5">
      <c r="A236" s="14" t="s">
        <v>31</v>
      </c>
      <c r="B236" s="12">
        <v>2508</v>
      </c>
      <c r="C236" s="12" t="s">
        <v>15</v>
      </c>
      <c r="D236" s="12" t="s">
        <v>13</v>
      </c>
      <c r="E236" s="12">
        <v>-215418</v>
      </c>
    </row>
    <row r="237" spans="1:5">
      <c r="A237" s="15" t="s">
        <v>31</v>
      </c>
      <c r="B237" s="13">
        <v>2508</v>
      </c>
      <c r="C237" s="13" t="s">
        <v>15</v>
      </c>
      <c r="D237" s="13" t="s">
        <v>12</v>
      </c>
      <c r="E237" s="13">
        <v>-205805.25</v>
      </c>
    </row>
    <row r="238" spans="1:5">
      <c r="A238" s="14" t="s">
        <v>31</v>
      </c>
      <c r="B238" s="12">
        <v>2508</v>
      </c>
      <c r="C238" s="12" t="s">
        <v>15</v>
      </c>
      <c r="D238" s="12" t="s">
        <v>14</v>
      </c>
      <c r="E238" s="12">
        <v>-203521.5</v>
      </c>
    </row>
    <row r="239" spans="1:5">
      <c r="A239" s="15" t="s">
        <v>31</v>
      </c>
      <c r="B239" s="13">
        <v>2508</v>
      </c>
      <c r="C239" s="13" t="s">
        <v>15</v>
      </c>
      <c r="D239" s="13" t="s">
        <v>10</v>
      </c>
      <c r="E239" s="13">
        <v>-196536.5</v>
      </c>
    </row>
    <row r="240" spans="1:5">
      <c r="A240" s="14" t="s">
        <v>31</v>
      </c>
      <c r="B240" s="12">
        <v>2000</v>
      </c>
      <c r="C240" s="12" t="s">
        <v>18</v>
      </c>
      <c r="D240" s="12" t="s">
        <v>19</v>
      </c>
      <c r="E240" s="12">
        <v>-93656.25</v>
      </c>
    </row>
    <row r="241" spans="1:5">
      <c r="A241" s="15" t="s">
        <v>31</v>
      </c>
      <c r="B241" s="13">
        <v>2500</v>
      </c>
      <c r="C241" s="13" t="s">
        <v>25</v>
      </c>
      <c r="D241" s="13" t="s">
        <v>19</v>
      </c>
      <c r="E241" s="13">
        <v>-80743.25</v>
      </c>
    </row>
    <row r="242" spans="1:5">
      <c r="A242" s="14" t="s">
        <v>31</v>
      </c>
      <c r="B242" s="12">
        <v>2502</v>
      </c>
      <c r="C242" s="12" t="s">
        <v>7</v>
      </c>
      <c r="D242" s="12" t="s">
        <v>8</v>
      </c>
      <c r="E242" s="12">
        <v>-22686.75</v>
      </c>
    </row>
    <row r="243" spans="1:5">
      <c r="A243" s="15" t="s">
        <v>31</v>
      </c>
      <c r="B243" s="13">
        <v>2502</v>
      </c>
      <c r="C243" s="13" t="s">
        <v>7</v>
      </c>
      <c r="D243" s="13" t="s">
        <v>12</v>
      </c>
      <c r="E243" s="13">
        <v>-17935.75</v>
      </c>
    </row>
    <row r="244" spans="1:5">
      <c r="A244" s="14" t="s">
        <v>31</v>
      </c>
      <c r="B244" s="12">
        <v>2502</v>
      </c>
      <c r="C244" s="12" t="s">
        <v>7</v>
      </c>
      <c r="D244" s="12" t="s">
        <v>19</v>
      </c>
      <c r="E244" s="12">
        <v>-17923.25</v>
      </c>
    </row>
    <row r="245" spans="1:5">
      <c r="A245" s="15" t="s">
        <v>31</v>
      </c>
      <c r="B245" s="13">
        <v>2502</v>
      </c>
      <c r="C245" s="13" t="s">
        <v>7</v>
      </c>
      <c r="D245" s="13" t="s">
        <v>13</v>
      </c>
      <c r="E245" s="13">
        <v>-17742.25</v>
      </c>
    </row>
    <row r="246" spans="1:5">
      <c r="A246" s="14" t="s">
        <v>31</v>
      </c>
      <c r="B246" s="12">
        <v>2502</v>
      </c>
      <c r="C246" s="12" t="s">
        <v>7</v>
      </c>
      <c r="D246" s="12" t="s">
        <v>10</v>
      </c>
      <c r="E246" s="12">
        <v>-16828.25</v>
      </c>
    </row>
    <row r="247" spans="1:5">
      <c r="A247" s="15" t="s">
        <v>31</v>
      </c>
      <c r="B247" s="13">
        <v>2502</v>
      </c>
      <c r="C247" s="13" t="s">
        <v>7</v>
      </c>
      <c r="D247" s="13" t="s">
        <v>6</v>
      </c>
      <c r="E247" s="13">
        <v>-15591.75</v>
      </c>
    </row>
    <row r="248" spans="1:5">
      <c r="A248" s="14" t="s">
        <v>31</v>
      </c>
      <c r="B248" s="12">
        <v>2512</v>
      </c>
      <c r="C248" s="12" t="s">
        <v>16</v>
      </c>
      <c r="D248" s="12" t="s">
        <v>13</v>
      </c>
      <c r="E248" s="12">
        <v>-15018.5</v>
      </c>
    </row>
    <row r="249" spans="1:5">
      <c r="A249" s="15" t="s">
        <v>31</v>
      </c>
      <c r="B249" s="13">
        <v>2512</v>
      </c>
      <c r="C249" s="13" t="s">
        <v>16</v>
      </c>
      <c r="D249" s="13" t="s">
        <v>14</v>
      </c>
      <c r="E249" s="13">
        <v>-14566</v>
      </c>
    </row>
    <row r="250" spans="1:5">
      <c r="A250" s="14" t="s">
        <v>31</v>
      </c>
      <c r="B250" s="12">
        <v>2502</v>
      </c>
      <c r="C250" s="12" t="s">
        <v>7</v>
      </c>
      <c r="D250" s="12" t="s">
        <v>14</v>
      </c>
      <c r="E250" s="12">
        <v>-14448.5</v>
      </c>
    </row>
    <row r="251" spans="1:5">
      <c r="A251" s="15" t="s">
        <v>31</v>
      </c>
      <c r="B251" s="13">
        <v>2512</v>
      </c>
      <c r="C251" s="13" t="s">
        <v>16</v>
      </c>
      <c r="D251" s="13" t="s">
        <v>6</v>
      </c>
      <c r="E251" s="13">
        <v>-12465.25</v>
      </c>
    </row>
    <row r="252" spans="1:5">
      <c r="A252" s="14" t="s">
        <v>31</v>
      </c>
      <c r="B252" s="12">
        <v>2512</v>
      </c>
      <c r="C252" s="12" t="s">
        <v>16</v>
      </c>
      <c r="D252" s="12" t="s">
        <v>12</v>
      </c>
      <c r="E252" s="12">
        <v>-9960.5</v>
      </c>
    </row>
    <row r="253" spans="1:5">
      <c r="A253" s="15" t="s">
        <v>31</v>
      </c>
      <c r="B253" s="13">
        <v>2512</v>
      </c>
      <c r="C253" s="13" t="s">
        <v>16</v>
      </c>
      <c r="D253" s="13" t="s">
        <v>19</v>
      </c>
      <c r="E253" s="13">
        <v>-9943</v>
      </c>
    </row>
    <row r="254" spans="1:5">
      <c r="A254" s="14" t="s">
        <v>31</v>
      </c>
      <c r="B254" s="12">
        <v>2512</v>
      </c>
      <c r="C254" s="12" t="s">
        <v>16</v>
      </c>
      <c r="D254" s="12" t="s">
        <v>10</v>
      </c>
      <c r="E254" s="12">
        <v>-9571.5</v>
      </c>
    </row>
    <row r="255" spans="1:5">
      <c r="A255" s="15" t="s">
        <v>31</v>
      </c>
      <c r="B255" s="13">
        <v>2512</v>
      </c>
      <c r="C255" s="13" t="s">
        <v>16</v>
      </c>
      <c r="D255" s="13" t="s">
        <v>8</v>
      </c>
      <c r="E255" s="13">
        <v>-9393.25</v>
      </c>
    </row>
    <row r="256" spans="1:5">
      <c r="A256" s="14" t="s">
        <v>31</v>
      </c>
      <c r="B256" s="12">
        <v>2513</v>
      </c>
      <c r="C256" s="12" t="s">
        <v>17</v>
      </c>
      <c r="D256" s="12" t="s">
        <v>14</v>
      </c>
      <c r="E256" s="12">
        <v>-7386.5</v>
      </c>
    </row>
    <row r="257" spans="1:5">
      <c r="A257" s="15" t="s">
        <v>31</v>
      </c>
      <c r="B257" s="13">
        <v>2513</v>
      </c>
      <c r="C257" s="13" t="s">
        <v>17</v>
      </c>
      <c r="D257" s="13" t="s">
        <v>19</v>
      </c>
      <c r="E257" s="13">
        <v>-7028.5</v>
      </c>
    </row>
    <row r="258" spans="1:5">
      <c r="A258" s="14" t="s">
        <v>31</v>
      </c>
      <c r="B258" s="12">
        <v>2513</v>
      </c>
      <c r="C258" s="12" t="s">
        <v>17</v>
      </c>
      <c r="D258" s="12" t="s">
        <v>12</v>
      </c>
      <c r="E258" s="12">
        <v>-6965</v>
      </c>
    </row>
    <row r="259" spans="1:5">
      <c r="A259" s="15" t="s">
        <v>31</v>
      </c>
      <c r="B259" s="13">
        <v>2513</v>
      </c>
      <c r="C259" s="13" t="s">
        <v>17</v>
      </c>
      <c r="D259" s="13" t="s">
        <v>13</v>
      </c>
      <c r="E259" s="13">
        <v>-6838.75</v>
      </c>
    </row>
    <row r="260" spans="1:5">
      <c r="A260" s="14" t="s">
        <v>31</v>
      </c>
      <c r="B260" s="12">
        <v>2510</v>
      </c>
      <c r="C260" s="12" t="s">
        <v>24</v>
      </c>
      <c r="D260" s="12" t="s">
        <v>19</v>
      </c>
      <c r="E260" s="12">
        <v>-6618</v>
      </c>
    </row>
    <row r="261" spans="1:5">
      <c r="A261" s="15" t="s">
        <v>31</v>
      </c>
      <c r="B261" s="13">
        <v>2513</v>
      </c>
      <c r="C261" s="13" t="s">
        <v>17</v>
      </c>
      <c r="D261" s="13" t="s">
        <v>8</v>
      </c>
      <c r="E261" s="13">
        <v>-6521.75</v>
      </c>
    </row>
    <row r="262" spans="1:5">
      <c r="A262" s="14" t="s">
        <v>31</v>
      </c>
      <c r="B262" s="12">
        <v>2510</v>
      </c>
      <c r="C262" s="12" t="s">
        <v>24</v>
      </c>
      <c r="D262" s="12" t="s">
        <v>12</v>
      </c>
      <c r="E262" s="12">
        <v>-6449</v>
      </c>
    </row>
    <row r="263" spans="1:5">
      <c r="A263" s="15" t="s">
        <v>31</v>
      </c>
      <c r="B263" s="13">
        <v>2507</v>
      </c>
      <c r="C263" s="13" t="s">
        <v>11</v>
      </c>
      <c r="D263" s="13" t="s">
        <v>12</v>
      </c>
      <c r="E263" s="13">
        <v>-6191</v>
      </c>
    </row>
    <row r="264" spans="1:5">
      <c r="A264" s="14" t="s">
        <v>31</v>
      </c>
      <c r="B264" s="12">
        <v>2513</v>
      </c>
      <c r="C264" s="12" t="s">
        <v>17</v>
      </c>
      <c r="D264" s="12" t="s">
        <v>10</v>
      </c>
      <c r="E264" s="12">
        <v>-6088.5</v>
      </c>
    </row>
    <row r="265" spans="1:5">
      <c r="A265" s="15" t="s">
        <v>31</v>
      </c>
      <c r="B265" s="13">
        <v>2514</v>
      </c>
      <c r="C265" s="13" t="s">
        <v>20</v>
      </c>
      <c r="D265" s="13" t="s">
        <v>13</v>
      </c>
      <c r="E265" s="13">
        <v>-5973.5</v>
      </c>
    </row>
    <row r="266" spans="1:5">
      <c r="A266" s="14" t="s">
        <v>31</v>
      </c>
      <c r="B266" s="12">
        <v>2514</v>
      </c>
      <c r="C266" s="12" t="s">
        <v>20</v>
      </c>
      <c r="D266" s="12" t="s">
        <v>8</v>
      </c>
      <c r="E266" s="12">
        <v>-5709.5</v>
      </c>
    </row>
    <row r="267" spans="1:5">
      <c r="A267" s="15" t="s">
        <v>31</v>
      </c>
      <c r="B267" s="13">
        <v>2510</v>
      </c>
      <c r="C267" s="13" t="s">
        <v>24</v>
      </c>
      <c r="D267" s="13" t="s">
        <v>6</v>
      </c>
      <c r="E267" s="13">
        <v>-5622.25</v>
      </c>
    </row>
    <row r="268" spans="1:5">
      <c r="A268" s="14" t="s">
        <v>31</v>
      </c>
      <c r="B268" s="12">
        <v>2510</v>
      </c>
      <c r="C268" s="12" t="s">
        <v>24</v>
      </c>
      <c r="D268" s="12" t="s">
        <v>14</v>
      </c>
      <c r="E268" s="12">
        <v>-5354.75</v>
      </c>
    </row>
    <row r="269" spans="1:5">
      <c r="A269" s="15" t="s">
        <v>31</v>
      </c>
      <c r="B269" s="13">
        <v>2513</v>
      </c>
      <c r="C269" s="13" t="s">
        <v>17</v>
      </c>
      <c r="D269" s="13" t="s">
        <v>6</v>
      </c>
      <c r="E269" s="13">
        <v>-5290</v>
      </c>
    </row>
    <row r="270" spans="1:5">
      <c r="A270" s="14" t="s">
        <v>31</v>
      </c>
      <c r="B270" s="12">
        <v>2510</v>
      </c>
      <c r="C270" s="12" t="s">
        <v>24</v>
      </c>
      <c r="D270" s="12" t="s">
        <v>13</v>
      </c>
      <c r="E270" s="12">
        <v>-4665.25</v>
      </c>
    </row>
    <row r="271" spans="1:5">
      <c r="A271" s="15" t="s">
        <v>31</v>
      </c>
      <c r="B271" s="13">
        <v>2507</v>
      </c>
      <c r="C271" s="13" t="s">
        <v>11</v>
      </c>
      <c r="D271" s="13" t="s">
        <v>6</v>
      </c>
      <c r="E271" s="13">
        <v>-4519.25</v>
      </c>
    </row>
    <row r="272" spans="1:5">
      <c r="A272" s="14" t="s">
        <v>31</v>
      </c>
      <c r="B272" s="12">
        <v>2514</v>
      </c>
      <c r="C272" s="12" t="s">
        <v>20</v>
      </c>
      <c r="D272" s="12" t="s">
        <v>14</v>
      </c>
      <c r="E272" s="12">
        <v>-4435</v>
      </c>
    </row>
    <row r="273" spans="1:5">
      <c r="A273" s="15" t="s">
        <v>31</v>
      </c>
      <c r="B273" s="13">
        <v>2510</v>
      </c>
      <c r="C273" s="13" t="s">
        <v>24</v>
      </c>
      <c r="D273" s="13" t="s">
        <v>10</v>
      </c>
      <c r="E273" s="13">
        <v>-4346.25</v>
      </c>
    </row>
    <row r="274" spans="1:5">
      <c r="A274" s="14" t="s">
        <v>31</v>
      </c>
      <c r="B274" s="12">
        <v>2507</v>
      </c>
      <c r="C274" s="12" t="s">
        <v>11</v>
      </c>
      <c r="D274" s="12" t="s">
        <v>13</v>
      </c>
      <c r="E274" s="12">
        <v>-4328.5</v>
      </c>
    </row>
    <row r="275" spans="1:5">
      <c r="A275" s="15" t="s">
        <v>31</v>
      </c>
      <c r="B275" s="13">
        <v>2507</v>
      </c>
      <c r="C275" s="13" t="s">
        <v>11</v>
      </c>
      <c r="D275" s="13" t="s">
        <v>14</v>
      </c>
      <c r="E275" s="13">
        <v>-4108.25</v>
      </c>
    </row>
    <row r="276" spans="1:5">
      <c r="A276" s="14" t="s">
        <v>31</v>
      </c>
      <c r="B276" s="12">
        <v>2514</v>
      </c>
      <c r="C276" s="12" t="s">
        <v>20</v>
      </c>
      <c r="D276" s="12" t="s">
        <v>19</v>
      </c>
      <c r="E276" s="12">
        <v>-4007.75</v>
      </c>
    </row>
    <row r="277" spans="1:5">
      <c r="A277" s="15" t="s">
        <v>31</v>
      </c>
      <c r="B277" s="13">
        <v>2514</v>
      </c>
      <c r="C277" s="13" t="s">
        <v>20</v>
      </c>
      <c r="D277" s="13" t="s">
        <v>10</v>
      </c>
      <c r="E277" s="13">
        <v>-3990.75</v>
      </c>
    </row>
    <row r="278" spans="1:5">
      <c r="A278" s="14" t="s">
        <v>31</v>
      </c>
      <c r="B278" s="12">
        <v>2514</v>
      </c>
      <c r="C278" s="12" t="s">
        <v>20</v>
      </c>
      <c r="D278" s="12" t="s">
        <v>12</v>
      </c>
      <c r="E278" s="12">
        <v>-3942.25</v>
      </c>
    </row>
    <row r="279" spans="1:5">
      <c r="A279" s="15" t="s">
        <v>31</v>
      </c>
      <c r="B279" s="13">
        <v>2507</v>
      </c>
      <c r="C279" s="13" t="s">
        <v>11</v>
      </c>
      <c r="D279" s="13" t="s">
        <v>8</v>
      </c>
      <c r="E279" s="13">
        <v>-3917.75</v>
      </c>
    </row>
    <row r="280" spans="1:5">
      <c r="A280" s="14" t="s">
        <v>31</v>
      </c>
      <c r="B280" s="12">
        <v>2510</v>
      </c>
      <c r="C280" s="12" t="s">
        <v>24</v>
      </c>
      <c r="D280" s="12" t="s">
        <v>8</v>
      </c>
      <c r="E280" s="12">
        <v>-3873.25</v>
      </c>
    </row>
    <row r="281" spans="1:5">
      <c r="A281" s="15" t="s">
        <v>31</v>
      </c>
      <c r="B281" s="13">
        <v>2507</v>
      </c>
      <c r="C281" s="13" t="s">
        <v>11</v>
      </c>
      <c r="D281" s="13" t="s">
        <v>19</v>
      </c>
      <c r="E281" s="13">
        <v>-3794.75</v>
      </c>
    </row>
    <row r="282" spans="1:5">
      <c r="A282" s="14" t="s">
        <v>31</v>
      </c>
      <c r="B282" s="12">
        <v>2514</v>
      </c>
      <c r="C282" s="12" t="s">
        <v>20</v>
      </c>
      <c r="D282" s="12" t="s">
        <v>6</v>
      </c>
      <c r="E282" s="12">
        <v>-3548.5</v>
      </c>
    </row>
    <row r="283" spans="1:5">
      <c r="A283" s="15" t="s">
        <v>31</v>
      </c>
      <c r="B283" s="13">
        <v>2507</v>
      </c>
      <c r="C283" s="13" t="s">
        <v>11</v>
      </c>
      <c r="D283" s="13" t="s">
        <v>10</v>
      </c>
      <c r="E283" s="13">
        <v>-3378.25</v>
      </c>
    </row>
    <row r="284" spans="1:5">
      <c r="A284" s="14" t="s">
        <v>31</v>
      </c>
      <c r="B284" s="12">
        <v>2505</v>
      </c>
      <c r="C284" s="12" t="s">
        <v>9</v>
      </c>
      <c r="D284" s="12" t="s">
        <v>19</v>
      </c>
      <c r="E284" s="12">
        <v>-2724</v>
      </c>
    </row>
    <row r="285" spans="1:5">
      <c r="A285" s="15" t="s">
        <v>31</v>
      </c>
      <c r="B285" s="13">
        <v>2505</v>
      </c>
      <c r="C285" s="13" t="s">
        <v>9</v>
      </c>
      <c r="D285" s="13" t="s">
        <v>13</v>
      </c>
      <c r="E285" s="13">
        <v>-2420.5</v>
      </c>
    </row>
    <row r="286" spans="1:5">
      <c r="A286" s="14" t="s">
        <v>31</v>
      </c>
      <c r="B286" s="12">
        <v>2505</v>
      </c>
      <c r="C286" s="12" t="s">
        <v>9</v>
      </c>
      <c r="D286" s="12" t="s">
        <v>6</v>
      </c>
      <c r="E286" s="12">
        <v>-2374.5</v>
      </c>
    </row>
    <row r="287" spans="1:5">
      <c r="A287" s="15" t="s">
        <v>31</v>
      </c>
      <c r="B287" s="13">
        <v>2505</v>
      </c>
      <c r="C287" s="13" t="s">
        <v>9</v>
      </c>
      <c r="D287" s="13" t="s">
        <v>14</v>
      </c>
      <c r="E287" s="13">
        <v>-2253.25</v>
      </c>
    </row>
    <row r="288" spans="1:5">
      <c r="A288" s="14" t="s">
        <v>31</v>
      </c>
      <c r="B288" s="12">
        <v>2506</v>
      </c>
      <c r="C288" s="12" t="s">
        <v>27</v>
      </c>
      <c r="D288" s="12" t="s">
        <v>8</v>
      </c>
      <c r="E288" s="12">
        <v>-2252</v>
      </c>
    </row>
    <row r="289" spans="1:5">
      <c r="A289" s="15" t="s">
        <v>31</v>
      </c>
      <c r="B289" s="13">
        <v>2505</v>
      </c>
      <c r="C289" s="13" t="s">
        <v>9</v>
      </c>
      <c r="D289" s="13" t="s">
        <v>8</v>
      </c>
      <c r="E289" s="13">
        <v>-2056.5</v>
      </c>
    </row>
    <row r="290" spans="1:5">
      <c r="A290" s="14" t="s">
        <v>31</v>
      </c>
      <c r="B290" s="12">
        <v>2506</v>
      </c>
      <c r="C290" s="12" t="s">
        <v>27</v>
      </c>
      <c r="D290" s="12" t="s">
        <v>14</v>
      </c>
      <c r="E290" s="12">
        <v>-1949</v>
      </c>
    </row>
    <row r="291" spans="1:5">
      <c r="A291" s="15" t="s">
        <v>31</v>
      </c>
      <c r="B291" s="13">
        <v>2505</v>
      </c>
      <c r="C291" s="13" t="s">
        <v>9</v>
      </c>
      <c r="D291" s="13" t="s">
        <v>10</v>
      </c>
      <c r="E291" s="13">
        <v>-1823.25</v>
      </c>
    </row>
    <row r="292" spans="1:5">
      <c r="A292" s="14" t="s">
        <v>31</v>
      </c>
      <c r="B292" s="12">
        <v>2505</v>
      </c>
      <c r="C292" s="12" t="s">
        <v>9</v>
      </c>
      <c r="D292" s="12" t="s">
        <v>12</v>
      </c>
      <c r="E292" s="12">
        <v>-1804.75</v>
      </c>
    </row>
    <row r="293" spans="1:5">
      <c r="A293" s="15" t="s">
        <v>31</v>
      </c>
      <c r="B293" s="13">
        <v>2503</v>
      </c>
      <c r="C293" s="13" t="s">
        <v>22</v>
      </c>
      <c r="D293" s="13" t="s">
        <v>10</v>
      </c>
      <c r="E293" s="13">
        <v>-1383.25</v>
      </c>
    </row>
    <row r="294" spans="1:5">
      <c r="A294" s="14" t="s">
        <v>31</v>
      </c>
      <c r="B294" s="12">
        <v>2503</v>
      </c>
      <c r="C294" s="12" t="s">
        <v>22</v>
      </c>
      <c r="D294" s="12" t="s">
        <v>6</v>
      </c>
      <c r="E294" s="12">
        <v>-1340.25</v>
      </c>
    </row>
    <row r="295" spans="1:5">
      <c r="A295" s="15" t="s">
        <v>31</v>
      </c>
      <c r="B295" s="13">
        <v>2503</v>
      </c>
      <c r="C295" s="13" t="s">
        <v>22</v>
      </c>
      <c r="D295" s="13" t="s">
        <v>12</v>
      </c>
      <c r="E295" s="13">
        <v>-1296.5</v>
      </c>
    </row>
    <row r="296" spans="1:5">
      <c r="A296" s="14" t="s">
        <v>31</v>
      </c>
      <c r="B296" s="12">
        <v>2503</v>
      </c>
      <c r="C296" s="12" t="s">
        <v>22</v>
      </c>
      <c r="D296" s="12" t="s">
        <v>14</v>
      </c>
      <c r="E296" s="12">
        <v>-1266.75</v>
      </c>
    </row>
    <row r="297" spans="1:5">
      <c r="A297" s="15" t="s">
        <v>31</v>
      </c>
      <c r="B297" s="13">
        <v>2504</v>
      </c>
      <c r="C297" s="13" t="s">
        <v>21</v>
      </c>
      <c r="D297" s="13" t="s">
        <v>19</v>
      </c>
      <c r="E297" s="13">
        <v>-1227</v>
      </c>
    </row>
    <row r="298" spans="1:5">
      <c r="A298" s="14" t="s">
        <v>31</v>
      </c>
      <c r="B298" s="12">
        <v>2503</v>
      </c>
      <c r="C298" s="12" t="s">
        <v>22</v>
      </c>
      <c r="D298" s="12" t="s">
        <v>8</v>
      </c>
      <c r="E298" s="12">
        <v>-1206.25</v>
      </c>
    </row>
    <row r="299" spans="1:5">
      <c r="A299" s="15" t="s">
        <v>31</v>
      </c>
      <c r="B299" s="13">
        <v>2503</v>
      </c>
      <c r="C299" s="13" t="s">
        <v>22</v>
      </c>
      <c r="D299" s="13" t="s">
        <v>13</v>
      </c>
      <c r="E299" s="13">
        <v>-1165.5</v>
      </c>
    </row>
    <row r="300" spans="1:5">
      <c r="A300" s="14" t="s">
        <v>31</v>
      </c>
      <c r="B300" s="12">
        <v>2503</v>
      </c>
      <c r="C300" s="12" t="s">
        <v>22</v>
      </c>
      <c r="D300" s="12" t="s">
        <v>19</v>
      </c>
      <c r="E300" s="12">
        <v>-1093.5</v>
      </c>
    </row>
    <row r="301" spans="1:5">
      <c r="A301" s="15" t="s">
        <v>31</v>
      </c>
      <c r="B301" s="13">
        <v>2501</v>
      </c>
      <c r="C301" s="13" t="s">
        <v>5</v>
      </c>
      <c r="D301" s="13" t="s">
        <v>14</v>
      </c>
      <c r="E301" s="13">
        <v>-595</v>
      </c>
    </row>
    <row r="302" spans="1:5">
      <c r="A302" s="14" t="s">
        <v>31</v>
      </c>
      <c r="B302" s="12">
        <v>2501</v>
      </c>
      <c r="C302" s="12" t="s">
        <v>5</v>
      </c>
      <c r="D302" s="12" t="s">
        <v>8</v>
      </c>
      <c r="E302" s="12">
        <v>-569.75</v>
      </c>
    </row>
    <row r="303" spans="1:5">
      <c r="A303" s="15" t="s">
        <v>31</v>
      </c>
      <c r="B303" s="13">
        <v>2501</v>
      </c>
      <c r="C303" s="13" t="s">
        <v>5</v>
      </c>
      <c r="D303" s="13" t="s">
        <v>12</v>
      </c>
      <c r="E303" s="13">
        <v>-565.25</v>
      </c>
    </row>
    <row r="304" spans="1:5">
      <c r="A304" s="14" t="s">
        <v>31</v>
      </c>
      <c r="B304" s="12">
        <v>2501</v>
      </c>
      <c r="C304" s="12" t="s">
        <v>5</v>
      </c>
      <c r="D304" s="12" t="s">
        <v>10</v>
      </c>
      <c r="E304" s="12">
        <v>-544</v>
      </c>
    </row>
    <row r="305" spans="1:5">
      <c r="A305" s="15" t="s">
        <v>31</v>
      </c>
      <c r="B305" s="13">
        <v>2501</v>
      </c>
      <c r="C305" s="13" t="s">
        <v>5</v>
      </c>
      <c r="D305" s="13" t="s">
        <v>19</v>
      </c>
      <c r="E305" s="13">
        <v>-539</v>
      </c>
    </row>
    <row r="306" spans="1:5">
      <c r="A306" s="14" t="s">
        <v>31</v>
      </c>
      <c r="B306" s="12">
        <v>2501</v>
      </c>
      <c r="C306" s="12" t="s">
        <v>5</v>
      </c>
      <c r="D306" s="12" t="s">
        <v>13</v>
      </c>
      <c r="E306" s="12">
        <v>-535.75</v>
      </c>
    </row>
    <row r="307" spans="1:5">
      <c r="A307" s="15" t="s">
        <v>31</v>
      </c>
      <c r="B307" s="13">
        <v>2501</v>
      </c>
      <c r="C307" s="13" t="s">
        <v>5</v>
      </c>
      <c r="D307" s="13" t="s">
        <v>6</v>
      </c>
      <c r="E307" s="13">
        <v>-458.25</v>
      </c>
    </row>
    <row r="308" spans="1:5">
      <c r="A308" s="14" t="s">
        <v>31</v>
      </c>
      <c r="B308" s="12">
        <v>1500</v>
      </c>
      <c r="C308" s="12" t="s">
        <v>26</v>
      </c>
      <c r="D308" s="12" t="s">
        <v>19</v>
      </c>
      <c r="E308" s="12">
        <v>-43</v>
      </c>
    </row>
    <row r="309" spans="1:5">
      <c r="A309" s="15" t="s">
        <v>31</v>
      </c>
      <c r="B309" s="13">
        <v>1000</v>
      </c>
      <c r="C309" s="13" t="s">
        <v>23</v>
      </c>
      <c r="D309" s="13" t="s">
        <v>19</v>
      </c>
      <c r="E309" s="13">
        <v>8716551</v>
      </c>
    </row>
    <row r="310" spans="1:5">
      <c r="A310" s="14" t="s">
        <v>32</v>
      </c>
      <c r="B310" s="12">
        <v>2508</v>
      </c>
      <c r="C310" s="12" t="s">
        <v>15</v>
      </c>
      <c r="D310" s="12" t="s">
        <v>14</v>
      </c>
      <c r="E310" s="12">
        <v>-268502.75</v>
      </c>
    </row>
    <row r="311" spans="1:5">
      <c r="A311" s="15" t="s">
        <v>32</v>
      </c>
      <c r="B311" s="13">
        <v>2508</v>
      </c>
      <c r="C311" s="13" t="s">
        <v>15</v>
      </c>
      <c r="D311" s="13" t="s">
        <v>13</v>
      </c>
      <c r="E311" s="13">
        <v>-254768.25</v>
      </c>
    </row>
    <row r="312" spans="1:5">
      <c r="A312" s="14" t="s">
        <v>32</v>
      </c>
      <c r="B312" s="12">
        <v>2508</v>
      </c>
      <c r="C312" s="12" t="s">
        <v>15</v>
      </c>
      <c r="D312" s="12" t="s">
        <v>10</v>
      </c>
      <c r="E312" s="12">
        <v>-234878</v>
      </c>
    </row>
    <row r="313" spans="1:5">
      <c r="A313" s="15" t="s">
        <v>32</v>
      </c>
      <c r="B313" s="13">
        <v>2508</v>
      </c>
      <c r="C313" s="13" t="s">
        <v>15</v>
      </c>
      <c r="D313" s="13" t="s">
        <v>8</v>
      </c>
      <c r="E313" s="13">
        <v>-233387.25</v>
      </c>
    </row>
    <row r="314" spans="1:5">
      <c r="A314" s="14" t="s">
        <v>32</v>
      </c>
      <c r="B314" s="12">
        <v>2508</v>
      </c>
      <c r="C314" s="12" t="s">
        <v>15</v>
      </c>
      <c r="D314" s="12" t="s">
        <v>19</v>
      </c>
      <c r="E314" s="12">
        <v>-214453.75</v>
      </c>
    </row>
    <row r="315" spans="1:5">
      <c r="A315" s="15" t="s">
        <v>32</v>
      </c>
      <c r="B315" s="13">
        <v>2508</v>
      </c>
      <c r="C315" s="13" t="s">
        <v>15</v>
      </c>
      <c r="D315" s="13" t="s">
        <v>6</v>
      </c>
      <c r="E315" s="13">
        <v>-212361.25</v>
      </c>
    </row>
    <row r="316" spans="1:5">
      <c r="A316" s="14" t="s">
        <v>32</v>
      </c>
      <c r="B316" s="12">
        <v>2508</v>
      </c>
      <c r="C316" s="12" t="s">
        <v>15</v>
      </c>
      <c r="D316" s="12" t="s">
        <v>12</v>
      </c>
      <c r="E316" s="12">
        <v>-210778</v>
      </c>
    </row>
    <row r="317" spans="1:5">
      <c r="A317" s="15" t="s">
        <v>32</v>
      </c>
      <c r="B317" s="13">
        <v>2000</v>
      </c>
      <c r="C317" s="13" t="s">
        <v>18</v>
      </c>
      <c r="D317" s="13" t="s">
        <v>19</v>
      </c>
      <c r="E317" s="13">
        <v>-132237.16666666666</v>
      </c>
    </row>
    <row r="318" spans="1:5">
      <c r="A318" s="14" t="s">
        <v>32</v>
      </c>
      <c r="B318" s="12">
        <v>1500</v>
      </c>
      <c r="C318" s="12" t="s">
        <v>26</v>
      </c>
      <c r="D318" s="12" t="s">
        <v>19</v>
      </c>
      <c r="E318" s="12">
        <v>-27275.5</v>
      </c>
    </row>
    <row r="319" spans="1:5">
      <c r="A319" s="15" t="s">
        <v>32</v>
      </c>
      <c r="B319" s="13">
        <v>2502</v>
      </c>
      <c r="C319" s="13" t="s">
        <v>7</v>
      </c>
      <c r="D319" s="13" t="s">
        <v>12</v>
      </c>
      <c r="E319" s="13">
        <v>-25014.5</v>
      </c>
    </row>
    <row r="320" spans="1:5">
      <c r="A320" s="14" t="s">
        <v>32</v>
      </c>
      <c r="B320" s="12">
        <v>2500</v>
      </c>
      <c r="C320" s="12" t="s">
        <v>25</v>
      </c>
      <c r="D320" s="12" t="s">
        <v>19</v>
      </c>
      <c r="E320" s="12">
        <v>-22100</v>
      </c>
    </row>
    <row r="321" spans="1:5">
      <c r="A321" s="15" t="s">
        <v>32</v>
      </c>
      <c r="B321" s="13">
        <v>2502</v>
      </c>
      <c r="C321" s="13" t="s">
        <v>7</v>
      </c>
      <c r="D321" s="13" t="s">
        <v>14</v>
      </c>
      <c r="E321" s="13">
        <v>-21073.25</v>
      </c>
    </row>
    <row r="322" spans="1:5">
      <c r="A322" s="14" t="s">
        <v>32</v>
      </c>
      <c r="B322" s="12">
        <v>2502</v>
      </c>
      <c r="C322" s="12" t="s">
        <v>7</v>
      </c>
      <c r="D322" s="12" t="s">
        <v>8</v>
      </c>
      <c r="E322" s="12">
        <v>-19611</v>
      </c>
    </row>
    <row r="323" spans="1:5">
      <c r="A323" s="15" t="s">
        <v>32</v>
      </c>
      <c r="B323" s="13">
        <v>2502</v>
      </c>
      <c r="C323" s="13" t="s">
        <v>7</v>
      </c>
      <c r="D323" s="13" t="s">
        <v>6</v>
      </c>
      <c r="E323" s="13">
        <v>-17168</v>
      </c>
    </row>
    <row r="324" spans="1:5">
      <c r="A324" s="14" t="s">
        <v>32</v>
      </c>
      <c r="B324" s="12">
        <v>2502</v>
      </c>
      <c r="C324" s="12" t="s">
        <v>7</v>
      </c>
      <c r="D324" s="12" t="s">
        <v>10</v>
      </c>
      <c r="E324" s="12">
        <v>-15298.25</v>
      </c>
    </row>
    <row r="325" spans="1:5">
      <c r="A325" s="15" t="s">
        <v>32</v>
      </c>
      <c r="B325" s="13">
        <v>2502</v>
      </c>
      <c r="C325" s="13" t="s">
        <v>7</v>
      </c>
      <c r="D325" s="13" t="s">
        <v>13</v>
      </c>
      <c r="E325" s="13">
        <v>-14617.25</v>
      </c>
    </row>
    <row r="326" spans="1:5">
      <c r="A326" s="14" t="s">
        <v>32</v>
      </c>
      <c r="B326" s="12">
        <v>2512</v>
      </c>
      <c r="C326" s="12" t="s">
        <v>16</v>
      </c>
      <c r="D326" s="12" t="s">
        <v>12</v>
      </c>
      <c r="E326" s="12">
        <v>-14548.75</v>
      </c>
    </row>
    <row r="327" spans="1:5">
      <c r="A327" s="15" t="s">
        <v>32</v>
      </c>
      <c r="B327" s="13">
        <v>2502</v>
      </c>
      <c r="C327" s="13" t="s">
        <v>7</v>
      </c>
      <c r="D327" s="13" t="s">
        <v>19</v>
      </c>
      <c r="E327" s="13">
        <v>-14415.75</v>
      </c>
    </row>
    <row r="328" spans="1:5">
      <c r="A328" s="14" t="s">
        <v>32</v>
      </c>
      <c r="B328" s="12">
        <v>2512</v>
      </c>
      <c r="C328" s="12" t="s">
        <v>16</v>
      </c>
      <c r="D328" s="12" t="s">
        <v>6</v>
      </c>
      <c r="E328" s="12">
        <v>-11682.25</v>
      </c>
    </row>
    <row r="329" spans="1:5">
      <c r="A329" s="15" t="s">
        <v>32</v>
      </c>
      <c r="B329" s="13">
        <v>2512</v>
      </c>
      <c r="C329" s="13" t="s">
        <v>16</v>
      </c>
      <c r="D329" s="13" t="s">
        <v>13</v>
      </c>
      <c r="E329" s="13">
        <v>-11634.75</v>
      </c>
    </row>
    <row r="330" spans="1:5">
      <c r="A330" s="14" t="s">
        <v>32</v>
      </c>
      <c r="B330" s="12">
        <v>2512</v>
      </c>
      <c r="C330" s="12" t="s">
        <v>16</v>
      </c>
      <c r="D330" s="12" t="s">
        <v>8</v>
      </c>
      <c r="E330" s="12">
        <v>-10036</v>
      </c>
    </row>
    <row r="331" spans="1:5">
      <c r="A331" s="15" t="s">
        <v>32</v>
      </c>
      <c r="B331" s="13">
        <v>2512</v>
      </c>
      <c r="C331" s="13" t="s">
        <v>16</v>
      </c>
      <c r="D331" s="13" t="s">
        <v>10</v>
      </c>
      <c r="E331" s="13">
        <v>-9340.75</v>
      </c>
    </row>
    <row r="332" spans="1:5">
      <c r="A332" s="14" t="s">
        <v>32</v>
      </c>
      <c r="B332" s="12">
        <v>2512</v>
      </c>
      <c r="C332" s="12" t="s">
        <v>16</v>
      </c>
      <c r="D332" s="12" t="s">
        <v>19</v>
      </c>
      <c r="E332" s="12">
        <v>-8974.5</v>
      </c>
    </row>
    <row r="333" spans="1:5">
      <c r="A333" s="15" t="s">
        <v>32</v>
      </c>
      <c r="B333" s="13">
        <v>2513</v>
      </c>
      <c r="C333" s="13" t="s">
        <v>17</v>
      </c>
      <c r="D333" s="13" t="s">
        <v>6</v>
      </c>
      <c r="E333" s="13">
        <v>-8839.75</v>
      </c>
    </row>
    <row r="334" spans="1:5">
      <c r="A334" s="14" t="s">
        <v>32</v>
      </c>
      <c r="B334" s="12">
        <v>2512</v>
      </c>
      <c r="C334" s="12" t="s">
        <v>16</v>
      </c>
      <c r="D334" s="12" t="s">
        <v>14</v>
      </c>
      <c r="E334" s="12">
        <v>-7898.75</v>
      </c>
    </row>
    <row r="335" spans="1:5">
      <c r="A335" s="15" t="s">
        <v>32</v>
      </c>
      <c r="B335" s="13">
        <v>2510</v>
      </c>
      <c r="C335" s="13" t="s">
        <v>24</v>
      </c>
      <c r="D335" s="13" t="s">
        <v>12</v>
      </c>
      <c r="E335" s="13">
        <v>-6846.25</v>
      </c>
    </row>
    <row r="336" spans="1:5">
      <c r="A336" s="14" t="s">
        <v>32</v>
      </c>
      <c r="B336" s="12">
        <v>2510</v>
      </c>
      <c r="C336" s="12" t="s">
        <v>24</v>
      </c>
      <c r="D336" s="12" t="s">
        <v>19</v>
      </c>
      <c r="E336" s="12">
        <v>-6559.5</v>
      </c>
    </row>
    <row r="337" spans="1:5">
      <c r="A337" s="15" t="s">
        <v>32</v>
      </c>
      <c r="B337" s="13">
        <v>2513</v>
      </c>
      <c r="C337" s="13" t="s">
        <v>17</v>
      </c>
      <c r="D337" s="13" t="s">
        <v>10</v>
      </c>
      <c r="E337" s="13">
        <v>-6440.25</v>
      </c>
    </row>
    <row r="338" spans="1:5">
      <c r="A338" s="14" t="s">
        <v>32</v>
      </c>
      <c r="B338" s="12">
        <v>2513</v>
      </c>
      <c r="C338" s="12" t="s">
        <v>17</v>
      </c>
      <c r="D338" s="12" t="s">
        <v>8</v>
      </c>
      <c r="E338" s="12">
        <v>-6208.25</v>
      </c>
    </row>
    <row r="339" spans="1:5">
      <c r="A339" s="15" t="s">
        <v>32</v>
      </c>
      <c r="B339" s="13">
        <v>2510</v>
      </c>
      <c r="C339" s="13" t="s">
        <v>24</v>
      </c>
      <c r="D339" s="13" t="s">
        <v>10</v>
      </c>
      <c r="E339" s="13">
        <v>-6206.5</v>
      </c>
    </row>
    <row r="340" spans="1:5">
      <c r="A340" s="14" t="s">
        <v>32</v>
      </c>
      <c r="B340" s="12">
        <v>2513</v>
      </c>
      <c r="C340" s="12" t="s">
        <v>17</v>
      </c>
      <c r="D340" s="12" t="s">
        <v>19</v>
      </c>
      <c r="E340" s="12">
        <v>-5918.25</v>
      </c>
    </row>
    <row r="341" spans="1:5">
      <c r="A341" s="15" t="s">
        <v>32</v>
      </c>
      <c r="B341" s="13">
        <v>2514</v>
      </c>
      <c r="C341" s="13" t="s">
        <v>20</v>
      </c>
      <c r="D341" s="13" t="s">
        <v>19</v>
      </c>
      <c r="E341" s="13">
        <v>-5917.5</v>
      </c>
    </row>
    <row r="342" spans="1:5">
      <c r="A342" s="14" t="s">
        <v>32</v>
      </c>
      <c r="B342" s="12">
        <v>2510</v>
      </c>
      <c r="C342" s="12" t="s">
        <v>24</v>
      </c>
      <c r="D342" s="12" t="s">
        <v>13</v>
      </c>
      <c r="E342" s="12">
        <v>-5784.25</v>
      </c>
    </row>
    <row r="343" spans="1:5">
      <c r="A343" s="15" t="s">
        <v>32</v>
      </c>
      <c r="B343" s="13">
        <v>2514</v>
      </c>
      <c r="C343" s="13" t="s">
        <v>20</v>
      </c>
      <c r="D343" s="13" t="s">
        <v>6</v>
      </c>
      <c r="E343" s="13">
        <v>-5773</v>
      </c>
    </row>
    <row r="344" spans="1:5">
      <c r="A344" s="14" t="s">
        <v>32</v>
      </c>
      <c r="B344" s="12">
        <v>2513</v>
      </c>
      <c r="C344" s="12" t="s">
        <v>17</v>
      </c>
      <c r="D344" s="12" t="s">
        <v>13</v>
      </c>
      <c r="E344" s="12">
        <v>-5772.25</v>
      </c>
    </row>
    <row r="345" spans="1:5">
      <c r="A345" s="15" t="s">
        <v>32</v>
      </c>
      <c r="B345" s="13">
        <v>2510</v>
      </c>
      <c r="C345" s="13" t="s">
        <v>24</v>
      </c>
      <c r="D345" s="13" t="s">
        <v>6</v>
      </c>
      <c r="E345" s="13">
        <v>-5502.5</v>
      </c>
    </row>
    <row r="346" spans="1:5">
      <c r="A346" s="14" t="s">
        <v>32</v>
      </c>
      <c r="B346" s="12">
        <v>2507</v>
      </c>
      <c r="C346" s="12" t="s">
        <v>11</v>
      </c>
      <c r="D346" s="12" t="s">
        <v>12</v>
      </c>
      <c r="E346" s="12">
        <v>-5399.75</v>
      </c>
    </row>
    <row r="347" spans="1:5">
      <c r="A347" s="15" t="s">
        <v>32</v>
      </c>
      <c r="B347" s="13">
        <v>2514</v>
      </c>
      <c r="C347" s="13" t="s">
        <v>20</v>
      </c>
      <c r="D347" s="13" t="s">
        <v>13</v>
      </c>
      <c r="E347" s="13">
        <v>-5154.25</v>
      </c>
    </row>
    <row r="348" spans="1:5">
      <c r="A348" s="14" t="s">
        <v>32</v>
      </c>
      <c r="B348" s="12">
        <v>2514</v>
      </c>
      <c r="C348" s="12" t="s">
        <v>20</v>
      </c>
      <c r="D348" s="12" t="s">
        <v>14</v>
      </c>
      <c r="E348" s="12">
        <v>-5091.75</v>
      </c>
    </row>
    <row r="349" spans="1:5">
      <c r="A349" s="15" t="s">
        <v>32</v>
      </c>
      <c r="B349" s="13">
        <v>2513</v>
      </c>
      <c r="C349" s="13" t="s">
        <v>17</v>
      </c>
      <c r="D349" s="13" t="s">
        <v>14</v>
      </c>
      <c r="E349" s="13">
        <v>-4982</v>
      </c>
    </row>
    <row r="350" spans="1:5">
      <c r="A350" s="14" t="s">
        <v>32</v>
      </c>
      <c r="B350" s="12">
        <v>2510</v>
      </c>
      <c r="C350" s="12" t="s">
        <v>24</v>
      </c>
      <c r="D350" s="12" t="s">
        <v>8</v>
      </c>
      <c r="E350" s="12">
        <v>-4902.25</v>
      </c>
    </row>
    <row r="351" spans="1:5">
      <c r="A351" s="15" t="s">
        <v>32</v>
      </c>
      <c r="B351" s="13">
        <v>2507</v>
      </c>
      <c r="C351" s="13" t="s">
        <v>11</v>
      </c>
      <c r="D351" s="13" t="s">
        <v>19</v>
      </c>
      <c r="E351" s="13">
        <v>-4871.5</v>
      </c>
    </row>
    <row r="352" spans="1:5">
      <c r="A352" s="14" t="s">
        <v>32</v>
      </c>
      <c r="B352" s="12">
        <v>2514</v>
      </c>
      <c r="C352" s="12" t="s">
        <v>20</v>
      </c>
      <c r="D352" s="12" t="s">
        <v>12</v>
      </c>
      <c r="E352" s="12">
        <v>-4839.5</v>
      </c>
    </row>
    <row r="353" spans="1:5">
      <c r="A353" s="15" t="s">
        <v>32</v>
      </c>
      <c r="B353" s="13">
        <v>2507</v>
      </c>
      <c r="C353" s="13" t="s">
        <v>11</v>
      </c>
      <c r="D353" s="13" t="s">
        <v>10</v>
      </c>
      <c r="E353" s="13">
        <v>-4763.75</v>
      </c>
    </row>
    <row r="354" spans="1:5">
      <c r="A354" s="14" t="s">
        <v>32</v>
      </c>
      <c r="B354" s="12">
        <v>2514</v>
      </c>
      <c r="C354" s="12" t="s">
        <v>20</v>
      </c>
      <c r="D354" s="12" t="s">
        <v>8</v>
      </c>
      <c r="E354" s="12">
        <v>-4756.25</v>
      </c>
    </row>
    <row r="355" spans="1:5">
      <c r="A355" s="15" t="s">
        <v>32</v>
      </c>
      <c r="B355" s="13">
        <v>2513</v>
      </c>
      <c r="C355" s="13" t="s">
        <v>17</v>
      </c>
      <c r="D355" s="13" t="s">
        <v>12</v>
      </c>
      <c r="E355" s="13">
        <v>-4711.25</v>
      </c>
    </row>
    <row r="356" spans="1:5">
      <c r="A356" s="14" t="s">
        <v>32</v>
      </c>
      <c r="B356" s="12">
        <v>2507</v>
      </c>
      <c r="C356" s="12" t="s">
        <v>11</v>
      </c>
      <c r="D356" s="12" t="s">
        <v>14</v>
      </c>
      <c r="E356" s="12">
        <v>-4657</v>
      </c>
    </row>
    <row r="357" spans="1:5">
      <c r="A357" s="15" t="s">
        <v>32</v>
      </c>
      <c r="B357" s="13">
        <v>2514</v>
      </c>
      <c r="C357" s="13" t="s">
        <v>20</v>
      </c>
      <c r="D357" s="13" t="s">
        <v>10</v>
      </c>
      <c r="E357" s="13">
        <v>-4449.5</v>
      </c>
    </row>
    <row r="358" spans="1:5">
      <c r="A358" s="14" t="s">
        <v>32</v>
      </c>
      <c r="B358" s="12">
        <v>2504</v>
      </c>
      <c r="C358" s="12" t="s">
        <v>21</v>
      </c>
      <c r="D358" s="12" t="s">
        <v>19</v>
      </c>
      <c r="E358" s="12">
        <v>-4248.75</v>
      </c>
    </row>
    <row r="359" spans="1:5">
      <c r="A359" s="15" t="s">
        <v>32</v>
      </c>
      <c r="B359" s="13">
        <v>2507</v>
      </c>
      <c r="C359" s="13" t="s">
        <v>11</v>
      </c>
      <c r="D359" s="13" t="s">
        <v>13</v>
      </c>
      <c r="E359" s="13">
        <v>-4204.75</v>
      </c>
    </row>
    <row r="360" spans="1:5">
      <c r="A360" s="14" t="s">
        <v>32</v>
      </c>
      <c r="B360" s="12">
        <v>2507</v>
      </c>
      <c r="C360" s="12" t="s">
        <v>11</v>
      </c>
      <c r="D360" s="12" t="s">
        <v>8</v>
      </c>
      <c r="E360" s="12">
        <v>-4001</v>
      </c>
    </row>
    <row r="361" spans="1:5">
      <c r="A361" s="15" t="s">
        <v>32</v>
      </c>
      <c r="B361" s="13">
        <v>2507</v>
      </c>
      <c r="C361" s="13" t="s">
        <v>11</v>
      </c>
      <c r="D361" s="13" t="s">
        <v>6</v>
      </c>
      <c r="E361" s="13">
        <v>-3962.5</v>
      </c>
    </row>
    <row r="362" spans="1:5">
      <c r="A362" s="14" t="s">
        <v>32</v>
      </c>
      <c r="B362" s="12">
        <v>2510</v>
      </c>
      <c r="C362" s="12" t="s">
        <v>24</v>
      </c>
      <c r="D362" s="12" t="s">
        <v>14</v>
      </c>
      <c r="E362" s="12">
        <v>-3459.5</v>
      </c>
    </row>
    <row r="363" spans="1:5">
      <c r="A363" s="15" t="s">
        <v>32</v>
      </c>
      <c r="B363" s="13">
        <v>2506</v>
      </c>
      <c r="C363" s="13" t="s">
        <v>27</v>
      </c>
      <c r="D363" s="13" t="s">
        <v>8</v>
      </c>
      <c r="E363" s="13">
        <v>-2532.5</v>
      </c>
    </row>
    <row r="364" spans="1:5">
      <c r="A364" s="14" t="s">
        <v>32</v>
      </c>
      <c r="B364" s="12">
        <v>2505</v>
      </c>
      <c r="C364" s="12" t="s">
        <v>9</v>
      </c>
      <c r="D364" s="12" t="s">
        <v>10</v>
      </c>
      <c r="E364" s="12">
        <v>-2381.25</v>
      </c>
    </row>
    <row r="365" spans="1:5">
      <c r="A365" s="15" t="s">
        <v>32</v>
      </c>
      <c r="B365" s="13">
        <v>2505</v>
      </c>
      <c r="C365" s="13" t="s">
        <v>9</v>
      </c>
      <c r="D365" s="13" t="s">
        <v>14</v>
      </c>
      <c r="E365" s="13">
        <v>-2354.5</v>
      </c>
    </row>
    <row r="366" spans="1:5">
      <c r="A366" s="14" t="s">
        <v>32</v>
      </c>
      <c r="B366" s="12">
        <v>2505</v>
      </c>
      <c r="C366" s="12" t="s">
        <v>9</v>
      </c>
      <c r="D366" s="12" t="s">
        <v>19</v>
      </c>
      <c r="E366" s="12">
        <v>-2228.5</v>
      </c>
    </row>
    <row r="367" spans="1:5">
      <c r="A367" s="15" t="s">
        <v>32</v>
      </c>
      <c r="B367" s="13">
        <v>2505</v>
      </c>
      <c r="C367" s="13" t="s">
        <v>9</v>
      </c>
      <c r="D367" s="13" t="s">
        <v>13</v>
      </c>
      <c r="E367" s="13">
        <v>-2169</v>
      </c>
    </row>
    <row r="368" spans="1:5">
      <c r="A368" s="14" t="s">
        <v>32</v>
      </c>
      <c r="B368" s="12">
        <v>2505</v>
      </c>
      <c r="C368" s="12" t="s">
        <v>9</v>
      </c>
      <c r="D368" s="12" t="s">
        <v>12</v>
      </c>
      <c r="E368" s="12">
        <v>-2057.25</v>
      </c>
    </row>
    <row r="369" spans="1:5">
      <c r="A369" s="15" t="s">
        <v>32</v>
      </c>
      <c r="B369" s="13">
        <v>2506</v>
      </c>
      <c r="C369" s="13" t="s">
        <v>27</v>
      </c>
      <c r="D369" s="13" t="s">
        <v>14</v>
      </c>
      <c r="E369" s="13">
        <v>-1869.75</v>
      </c>
    </row>
    <row r="370" spans="1:5">
      <c r="A370" s="14" t="s">
        <v>32</v>
      </c>
      <c r="B370" s="12">
        <v>2505</v>
      </c>
      <c r="C370" s="12" t="s">
        <v>9</v>
      </c>
      <c r="D370" s="12" t="s">
        <v>8</v>
      </c>
      <c r="E370" s="12">
        <v>-1843.5</v>
      </c>
    </row>
    <row r="371" spans="1:5">
      <c r="A371" s="15" t="s">
        <v>32</v>
      </c>
      <c r="B371" s="13">
        <v>2505</v>
      </c>
      <c r="C371" s="13" t="s">
        <v>9</v>
      </c>
      <c r="D371" s="13" t="s">
        <v>6</v>
      </c>
      <c r="E371" s="13">
        <v>-1843.5</v>
      </c>
    </row>
    <row r="372" spans="1:5">
      <c r="A372" s="14" t="s">
        <v>32</v>
      </c>
      <c r="B372" s="12">
        <v>2503</v>
      </c>
      <c r="C372" s="12" t="s">
        <v>22</v>
      </c>
      <c r="D372" s="12" t="s">
        <v>12</v>
      </c>
      <c r="E372" s="12">
        <v>-1357.75</v>
      </c>
    </row>
    <row r="373" spans="1:5">
      <c r="A373" s="15" t="s">
        <v>32</v>
      </c>
      <c r="B373" s="13">
        <v>2503</v>
      </c>
      <c r="C373" s="13" t="s">
        <v>22</v>
      </c>
      <c r="D373" s="13" t="s">
        <v>8</v>
      </c>
      <c r="E373" s="13">
        <v>-1166</v>
      </c>
    </row>
    <row r="374" spans="1:5">
      <c r="A374" s="14" t="s">
        <v>32</v>
      </c>
      <c r="B374" s="12">
        <v>2503</v>
      </c>
      <c r="C374" s="12" t="s">
        <v>22</v>
      </c>
      <c r="D374" s="12" t="s">
        <v>19</v>
      </c>
      <c r="E374" s="12">
        <v>-1122.25</v>
      </c>
    </row>
    <row r="375" spans="1:5">
      <c r="A375" s="15" t="s">
        <v>32</v>
      </c>
      <c r="B375" s="13">
        <v>2503</v>
      </c>
      <c r="C375" s="13" t="s">
        <v>22</v>
      </c>
      <c r="D375" s="13" t="s">
        <v>10</v>
      </c>
      <c r="E375" s="13">
        <v>-1103.25</v>
      </c>
    </row>
    <row r="376" spans="1:5">
      <c r="A376" s="14" t="s">
        <v>32</v>
      </c>
      <c r="B376" s="12">
        <v>2503</v>
      </c>
      <c r="C376" s="12" t="s">
        <v>22</v>
      </c>
      <c r="D376" s="12" t="s">
        <v>13</v>
      </c>
      <c r="E376" s="12">
        <v>-1068</v>
      </c>
    </row>
    <row r="377" spans="1:5">
      <c r="A377" s="15" t="s">
        <v>32</v>
      </c>
      <c r="B377" s="13">
        <v>2503</v>
      </c>
      <c r="C377" s="13" t="s">
        <v>22</v>
      </c>
      <c r="D377" s="13" t="s">
        <v>14</v>
      </c>
      <c r="E377" s="13">
        <v>-1068</v>
      </c>
    </row>
    <row r="378" spans="1:5">
      <c r="A378" s="14" t="s">
        <v>32</v>
      </c>
      <c r="B378" s="12">
        <v>2503</v>
      </c>
      <c r="C378" s="12" t="s">
        <v>22</v>
      </c>
      <c r="D378" s="12" t="s">
        <v>6</v>
      </c>
      <c r="E378" s="12">
        <v>-1066.25</v>
      </c>
    </row>
    <row r="379" spans="1:5">
      <c r="A379" s="15" t="s">
        <v>32</v>
      </c>
      <c r="B379" s="13">
        <v>2501</v>
      </c>
      <c r="C379" s="13" t="s">
        <v>5</v>
      </c>
      <c r="D379" s="13" t="s">
        <v>6</v>
      </c>
      <c r="E379" s="13">
        <v>-600.75</v>
      </c>
    </row>
    <row r="380" spans="1:5">
      <c r="A380" s="14" t="s">
        <v>32</v>
      </c>
      <c r="B380" s="12">
        <v>2501</v>
      </c>
      <c r="C380" s="12" t="s">
        <v>5</v>
      </c>
      <c r="D380" s="12" t="s">
        <v>10</v>
      </c>
      <c r="E380" s="12">
        <v>-527.25</v>
      </c>
    </row>
    <row r="381" spans="1:5">
      <c r="A381" s="15" t="s">
        <v>32</v>
      </c>
      <c r="B381" s="13">
        <v>2501</v>
      </c>
      <c r="C381" s="13" t="s">
        <v>5</v>
      </c>
      <c r="D381" s="13" t="s">
        <v>12</v>
      </c>
      <c r="E381" s="13">
        <v>-504.75</v>
      </c>
    </row>
    <row r="382" spans="1:5">
      <c r="A382" s="14" t="s">
        <v>32</v>
      </c>
      <c r="B382" s="12">
        <v>2501</v>
      </c>
      <c r="C382" s="12" t="s">
        <v>5</v>
      </c>
      <c r="D382" s="12" t="s">
        <v>19</v>
      </c>
      <c r="E382" s="12">
        <v>-499.25</v>
      </c>
    </row>
    <row r="383" spans="1:5">
      <c r="A383" s="15" t="s">
        <v>32</v>
      </c>
      <c r="B383" s="13">
        <v>2501</v>
      </c>
      <c r="C383" s="13" t="s">
        <v>5</v>
      </c>
      <c r="D383" s="13" t="s">
        <v>14</v>
      </c>
      <c r="E383" s="13">
        <v>-463.75</v>
      </c>
    </row>
    <row r="384" spans="1:5">
      <c r="A384" s="14" t="s">
        <v>32</v>
      </c>
      <c r="B384" s="12">
        <v>2501</v>
      </c>
      <c r="C384" s="12" t="s">
        <v>5</v>
      </c>
      <c r="D384" s="12" t="s">
        <v>13</v>
      </c>
      <c r="E384" s="12">
        <v>-458.5</v>
      </c>
    </row>
    <row r="385" spans="1:5">
      <c r="A385" s="15" t="s">
        <v>32</v>
      </c>
      <c r="B385" s="13">
        <v>2501</v>
      </c>
      <c r="C385" s="13" t="s">
        <v>5</v>
      </c>
      <c r="D385" s="13" t="s">
        <v>8</v>
      </c>
      <c r="E385" s="13">
        <v>-380.25</v>
      </c>
    </row>
    <row r="386" spans="1:5">
      <c r="A386" s="14" t="s">
        <v>32</v>
      </c>
      <c r="B386" s="12">
        <v>1000</v>
      </c>
      <c r="C386" s="12" t="s">
        <v>23</v>
      </c>
      <c r="D386" s="12" t="s">
        <v>19</v>
      </c>
      <c r="E386" s="12">
        <v>8127229</v>
      </c>
    </row>
    <row r="387" spans="1:5">
      <c r="A387" s="15" t="s">
        <v>33</v>
      </c>
      <c r="B387" s="13">
        <v>2508</v>
      </c>
      <c r="C387" s="13" t="s">
        <v>15</v>
      </c>
      <c r="D387" s="13" t="s">
        <v>13</v>
      </c>
      <c r="E387" s="13">
        <v>-285554.25</v>
      </c>
    </row>
    <row r="388" spans="1:5">
      <c r="A388" s="14" t="s">
        <v>33</v>
      </c>
      <c r="B388" s="12">
        <v>2508</v>
      </c>
      <c r="C388" s="12" t="s">
        <v>15</v>
      </c>
      <c r="D388" s="12" t="s">
        <v>12</v>
      </c>
      <c r="E388" s="12">
        <v>-235434.5</v>
      </c>
    </row>
    <row r="389" spans="1:5">
      <c r="A389" s="15" t="s">
        <v>33</v>
      </c>
      <c r="B389" s="13">
        <v>2508</v>
      </c>
      <c r="C389" s="13" t="s">
        <v>15</v>
      </c>
      <c r="D389" s="13" t="s">
        <v>14</v>
      </c>
      <c r="E389" s="13">
        <v>-233095.5</v>
      </c>
    </row>
    <row r="390" spans="1:5">
      <c r="A390" s="14" t="s">
        <v>33</v>
      </c>
      <c r="B390" s="12">
        <v>2508</v>
      </c>
      <c r="C390" s="12" t="s">
        <v>15</v>
      </c>
      <c r="D390" s="12" t="s">
        <v>10</v>
      </c>
      <c r="E390" s="12">
        <v>-227469</v>
      </c>
    </row>
    <row r="391" spans="1:5">
      <c r="A391" s="15" t="s">
        <v>33</v>
      </c>
      <c r="B391" s="13">
        <v>2508</v>
      </c>
      <c r="C391" s="13" t="s">
        <v>15</v>
      </c>
      <c r="D391" s="13" t="s">
        <v>19</v>
      </c>
      <c r="E391" s="13">
        <v>-213641.75</v>
      </c>
    </row>
    <row r="392" spans="1:5">
      <c r="A392" s="14" t="s">
        <v>33</v>
      </c>
      <c r="B392" s="12">
        <v>2508</v>
      </c>
      <c r="C392" s="12" t="s">
        <v>15</v>
      </c>
      <c r="D392" s="12" t="s">
        <v>8</v>
      </c>
      <c r="E392" s="12">
        <v>-193394.25</v>
      </c>
    </row>
    <row r="393" spans="1:5">
      <c r="A393" s="15" t="s">
        <v>33</v>
      </c>
      <c r="B393" s="13">
        <v>2508</v>
      </c>
      <c r="C393" s="13" t="s">
        <v>15</v>
      </c>
      <c r="D393" s="13" t="s">
        <v>6</v>
      </c>
      <c r="E393" s="13">
        <v>-188474.25</v>
      </c>
    </row>
    <row r="394" spans="1:5">
      <c r="A394" s="14" t="s">
        <v>33</v>
      </c>
      <c r="B394" s="12">
        <v>2000</v>
      </c>
      <c r="C394" s="12" t="s">
        <v>18</v>
      </c>
      <c r="D394" s="12" t="s">
        <v>19</v>
      </c>
      <c r="E394" s="12">
        <v>-141101.58333333334</v>
      </c>
    </row>
    <row r="395" spans="1:5">
      <c r="A395" s="15" t="s">
        <v>33</v>
      </c>
      <c r="B395" s="13">
        <v>2500</v>
      </c>
      <c r="C395" s="13" t="s">
        <v>25</v>
      </c>
      <c r="D395" s="13" t="s">
        <v>19</v>
      </c>
      <c r="E395" s="13">
        <v>-50691.25</v>
      </c>
    </row>
    <row r="396" spans="1:5">
      <c r="A396" s="14" t="s">
        <v>33</v>
      </c>
      <c r="B396" s="12">
        <v>2502</v>
      </c>
      <c r="C396" s="12" t="s">
        <v>7</v>
      </c>
      <c r="D396" s="12" t="s">
        <v>6</v>
      </c>
      <c r="E396" s="12">
        <v>-20742.25</v>
      </c>
    </row>
    <row r="397" spans="1:5">
      <c r="A397" s="15" t="s">
        <v>33</v>
      </c>
      <c r="B397" s="13">
        <v>2502</v>
      </c>
      <c r="C397" s="13" t="s">
        <v>7</v>
      </c>
      <c r="D397" s="13" t="s">
        <v>14</v>
      </c>
      <c r="E397" s="13">
        <v>-20462.5</v>
      </c>
    </row>
    <row r="398" spans="1:5">
      <c r="A398" s="14" t="s">
        <v>33</v>
      </c>
      <c r="B398" s="12">
        <v>2502</v>
      </c>
      <c r="C398" s="12" t="s">
        <v>7</v>
      </c>
      <c r="D398" s="12" t="s">
        <v>19</v>
      </c>
      <c r="E398" s="12">
        <v>-19207.5</v>
      </c>
    </row>
    <row r="399" spans="1:5">
      <c r="A399" s="15" t="s">
        <v>33</v>
      </c>
      <c r="B399" s="13">
        <v>2502</v>
      </c>
      <c r="C399" s="13" t="s">
        <v>7</v>
      </c>
      <c r="D399" s="13" t="s">
        <v>8</v>
      </c>
      <c r="E399" s="13">
        <v>-19045.25</v>
      </c>
    </row>
    <row r="400" spans="1:5">
      <c r="A400" s="14" t="s">
        <v>33</v>
      </c>
      <c r="B400" s="12">
        <v>2502</v>
      </c>
      <c r="C400" s="12" t="s">
        <v>7</v>
      </c>
      <c r="D400" s="12" t="s">
        <v>13</v>
      </c>
      <c r="E400" s="12">
        <v>-17935.75</v>
      </c>
    </row>
    <row r="401" spans="1:5">
      <c r="A401" s="15" t="s">
        <v>33</v>
      </c>
      <c r="B401" s="13">
        <v>2502</v>
      </c>
      <c r="C401" s="13" t="s">
        <v>7</v>
      </c>
      <c r="D401" s="13" t="s">
        <v>12</v>
      </c>
      <c r="E401" s="13">
        <v>-16403.75</v>
      </c>
    </row>
    <row r="402" spans="1:5">
      <c r="A402" s="14" t="s">
        <v>33</v>
      </c>
      <c r="B402" s="12">
        <v>2512</v>
      </c>
      <c r="C402" s="12" t="s">
        <v>16</v>
      </c>
      <c r="D402" s="12" t="s">
        <v>8</v>
      </c>
      <c r="E402" s="12">
        <v>-14566</v>
      </c>
    </row>
    <row r="403" spans="1:5">
      <c r="A403" s="15" t="s">
        <v>33</v>
      </c>
      <c r="B403" s="13">
        <v>2512</v>
      </c>
      <c r="C403" s="13" t="s">
        <v>16</v>
      </c>
      <c r="D403" s="13" t="s">
        <v>19</v>
      </c>
      <c r="E403" s="13">
        <v>-13893.25</v>
      </c>
    </row>
    <row r="404" spans="1:5">
      <c r="A404" s="14" t="s">
        <v>33</v>
      </c>
      <c r="B404" s="12">
        <v>2502</v>
      </c>
      <c r="C404" s="12" t="s">
        <v>7</v>
      </c>
      <c r="D404" s="12" t="s">
        <v>10</v>
      </c>
      <c r="E404" s="12">
        <v>-13632</v>
      </c>
    </row>
    <row r="405" spans="1:5">
      <c r="A405" s="15" t="s">
        <v>33</v>
      </c>
      <c r="B405" s="13">
        <v>2512</v>
      </c>
      <c r="C405" s="13" t="s">
        <v>16</v>
      </c>
      <c r="D405" s="13" t="s">
        <v>14</v>
      </c>
      <c r="E405" s="13">
        <v>-13188.75</v>
      </c>
    </row>
    <row r="406" spans="1:5">
      <c r="A406" s="14" t="s">
        <v>33</v>
      </c>
      <c r="B406" s="12">
        <v>2512</v>
      </c>
      <c r="C406" s="12" t="s">
        <v>16</v>
      </c>
      <c r="D406" s="12" t="s">
        <v>6</v>
      </c>
      <c r="E406" s="12">
        <v>-12959</v>
      </c>
    </row>
    <row r="407" spans="1:5">
      <c r="A407" s="15" t="s">
        <v>33</v>
      </c>
      <c r="B407" s="13">
        <v>2512</v>
      </c>
      <c r="C407" s="13" t="s">
        <v>16</v>
      </c>
      <c r="D407" s="13" t="s">
        <v>10</v>
      </c>
      <c r="E407" s="13">
        <v>-11441.25</v>
      </c>
    </row>
    <row r="408" spans="1:5">
      <c r="A408" s="14" t="s">
        <v>33</v>
      </c>
      <c r="B408" s="12">
        <v>2512</v>
      </c>
      <c r="C408" s="12" t="s">
        <v>16</v>
      </c>
      <c r="D408" s="12" t="s">
        <v>12</v>
      </c>
      <c r="E408" s="12">
        <v>-11101</v>
      </c>
    </row>
    <row r="409" spans="1:5">
      <c r="A409" s="15" t="s">
        <v>33</v>
      </c>
      <c r="B409" s="13">
        <v>2512</v>
      </c>
      <c r="C409" s="13" t="s">
        <v>16</v>
      </c>
      <c r="D409" s="13" t="s">
        <v>13</v>
      </c>
      <c r="E409" s="13">
        <v>-11086.25</v>
      </c>
    </row>
    <row r="410" spans="1:5">
      <c r="A410" s="14" t="s">
        <v>33</v>
      </c>
      <c r="B410" s="12">
        <v>2510</v>
      </c>
      <c r="C410" s="12" t="s">
        <v>24</v>
      </c>
      <c r="D410" s="12" t="s">
        <v>10</v>
      </c>
      <c r="E410" s="12">
        <v>-7357.5</v>
      </c>
    </row>
    <row r="411" spans="1:5">
      <c r="A411" s="15" t="s">
        <v>33</v>
      </c>
      <c r="B411" s="13">
        <v>2510</v>
      </c>
      <c r="C411" s="13" t="s">
        <v>24</v>
      </c>
      <c r="D411" s="13" t="s">
        <v>12</v>
      </c>
      <c r="E411" s="13">
        <v>-7166.25</v>
      </c>
    </row>
    <row r="412" spans="1:5">
      <c r="A412" s="14" t="s">
        <v>33</v>
      </c>
      <c r="B412" s="12">
        <v>2513</v>
      </c>
      <c r="C412" s="12" t="s">
        <v>17</v>
      </c>
      <c r="D412" s="12" t="s">
        <v>6</v>
      </c>
      <c r="E412" s="12">
        <v>-7028.5</v>
      </c>
    </row>
    <row r="413" spans="1:5">
      <c r="A413" s="15" t="s">
        <v>33</v>
      </c>
      <c r="B413" s="13">
        <v>2513</v>
      </c>
      <c r="C413" s="13" t="s">
        <v>17</v>
      </c>
      <c r="D413" s="13" t="s">
        <v>19</v>
      </c>
      <c r="E413" s="13">
        <v>-6780.25</v>
      </c>
    </row>
    <row r="414" spans="1:5">
      <c r="A414" s="14" t="s">
        <v>33</v>
      </c>
      <c r="B414" s="12">
        <v>2513</v>
      </c>
      <c r="C414" s="12" t="s">
        <v>17</v>
      </c>
      <c r="D414" s="12" t="s">
        <v>10</v>
      </c>
      <c r="E414" s="12">
        <v>-6577.25</v>
      </c>
    </row>
    <row r="415" spans="1:5">
      <c r="A415" s="15" t="s">
        <v>33</v>
      </c>
      <c r="B415" s="13">
        <v>2513</v>
      </c>
      <c r="C415" s="13" t="s">
        <v>17</v>
      </c>
      <c r="D415" s="13" t="s">
        <v>13</v>
      </c>
      <c r="E415" s="13">
        <v>-6268.5</v>
      </c>
    </row>
    <row r="416" spans="1:5">
      <c r="A416" s="14" t="s">
        <v>33</v>
      </c>
      <c r="B416" s="12">
        <v>2513</v>
      </c>
      <c r="C416" s="12" t="s">
        <v>17</v>
      </c>
      <c r="D416" s="12" t="s">
        <v>8</v>
      </c>
      <c r="E416" s="12">
        <v>-6173.25</v>
      </c>
    </row>
    <row r="417" spans="1:5">
      <c r="A417" s="15" t="s">
        <v>33</v>
      </c>
      <c r="B417" s="13">
        <v>2513</v>
      </c>
      <c r="C417" s="13" t="s">
        <v>17</v>
      </c>
      <c r="D417" s="13" t="s">
        <v>14</v>
      </c>
      <c r="E417" s="13">
        <v>-5853</v>
      </c>
    </row>
    <row r="418" spans="1:5">
      <c r="A418" s="14" t="s">
        <v>33</v>
      </c>
      <c r="B418" s="12">
        <v>2507</v>
      </c>
      <c r="C418" s="12" t="s">
        <v>11</v>
      </c>
      <c r="D418" s="12" t="s">
        <v>8</v>
      </c>
      <c r="E418" s="12">
        <v>-5693.5</v>
      </c>
    </row>
    <row r="419" spans="1:5">
      <c r="A419" s="15" t="s">
        <v>33</v>
      </c>
      <c r="B419" s="13">
        <v>2510</v>
      </c>
      <c r="C419" s="13" t="s">
        <v>24</v>
      </c>
      <c r="D419" s="13" t="s">
        <v>8</v>
      </c>
      <c r="E419" s="13">
        <v>-5630.5</v>
      </c>
    </row>
    <row r="420" spans="1:5">
      <c r="A420" s="14" t="s">
        <v>33</v>
      </c>
      <c r="B420" s="12">
        <v>2507</v>
      </c>
      <c r="C420" s="12" t="s">
        <v>11</v>
      </c>
      <c r="D420" s="12" t="s">
        <v>19</v>
      </c>
      <c r="E420" s="12">
        <v>-5364.75</v>
      </c>
    </row>
    <row r="421" spans="1:5">
      <c r="A421" s="15" t="s">
        <v>33</v>
      </c>
      <c r="B421" s="13">
        <v>2510</v>
      </c>
      <c r="C421" s="13" t="s">
        <v>24</v>
      </c>
      <c r="D421" s="13" t="s">
        <v>19</v>
      </c>
      <c r="E421" s="13">
        <v>-5354.75</v>
      </c>
    </row>
    <row r="422" spans="1:5">
      <c r="A422" s="14" t="s">
        <v>33</v>
      </c>
      <c r="B422" s="12">
        <v>2510</v>
      </c>
      <c r="C422" s="12" t="s">
        <v>24</v>
      </c>
      <c r="D422" s="12" t="s">
        <v>6</v>
      </c>
      <c r="E422" s="12">
        <v>-5354.75</v>
      </c>
    </row>
    <row r="423" spans="1:5">
      <c r="A423" s="15" t="s">
        <v>33</v>
      </c>
      <c r="B423" s="13">
        <v>2513</v>
      </c>
      <c r="C423" s="13" t="s">
        <v>17</v>
      </c>
      <c r="D423" s="13" t="s">
        <v>12</v>
      </c>
      <c r="E423" s="13">
        <v>-5172.5</v>
      </c>
    </row>
    <row r="424" spans="1:5">
      <c r="A424" s="14" t="s">
        <v>33</v>
      </c>
      <c r="B424" s="12">
        <v>2507</v>
      </c>
      <c r="C424" s="12" t="s">
        <v>11</v>
      </c>
      <c r="D424" s="12" t="s">
        <v>6</v>
      </c>
      <c r="E424" s="12">
        <v>-5171.5</v>
      </c>
    </row>
    <row r="425" spans="1:5">
      <c r="A425" s="15" t="s">
        <v>33</v>
      </c>
      <c r="B425" s="13">
        <v>2514</v>
      </c>
      <c r="C425" s="13" t="s">
        <v>20</v>
      </c>
      <c r="D425" s="13" t="s">
        <v>10</v>
      </c>
      <c r="E425" s="13">
        <v>-4891</v>
      </c>
    </row>
    <row r="426" spans="1:5">
      <c r="A426" s="14" t="s">
        <v>33</v>
      </c>
      <c r="B426" s="12">
        <v>2514</v>
      </c>
      <c r="C426" s="12" t="s">
        <v>20</v>
      </c>
      <c r="D426" s="12" t="s">
        <v>12</v>
      </c>
      <c r="E426" s="12">
        <v>-4811</v>
      </c>
    </row>
    <row r="427" spans="1:5">
      <c r="A427" s="15" t="s">
        <v>33</v>
      </c>
      <c r="B427" s="13">
        <v>2514</v>
      </c>
      <c r="C427" s="13" t="s">
        <v>20</v>
      </c>
      <c r="D427" s="13" t="s">
        <v>19</v>
      </c>
      <c r="E427" s="13">
        <v>-4718.25</v>
      </c>
    </row>
    <row r="428" spans="1:5">
      <c r="A428" s="14" t="s">
        <v>33</v>
      </c>
      <c r="B428" s="12">
        <v>2514</v>
      </c>
      <c r="C428" s="12" t="s">
        <v>20</v>
      </c>
      <c r="D428" s="12" t="s">
        <v>8</v>
      </c>
      <c r="E428" s="12">
        <v>-4478.75</v>
      </c>
    </row>
    <row r="429" spans="1:5">
      <c r="A429" s="15" t="s">
        <v>33</v>
      </c>
      <c r="B429" s="13">
        <v>2507</v>
      </c>
      <c r="C429" s="13" t="s">
        <v>11</v>
      </c>
      <c r="D429" s="13" t="s">
        <v>12</v>
      </c>
      <c r="E429" s="13">
        <v>-4193.75</v>
      </c>
    </row>
    <row r="430" spans="1:5">
      <c r="A430" s="14" t="s">
        <v>33</v>
      </c>
      <c r="B430" s="12">
        <v>2507</v>
      </c>
      <c r="C430" s="12" t="s">
        <v>11</v>
      </c>
      <c r="D430" s="12" t="s">
        <v>14</v>
      </c>
      <c r="E430" s="12">
        <v>-4158.75</v>
      </c>
    </row>
    <row r="431" spans="1:5">
      <c r="A431" s="15" t="s">
        <v>33</v>
      </c>
      <c r="B431" s="13">
        <v>2507</v>
      </c>
      <c r="C431" s="13" t="s">
        <v>11</v>
      </c>
      <c r="D431" s="13" t="s">
        <v>10</v>
      </c>
      <c r="E431" s="13">
        <v>-4083.5</v>
      </c>
    </row>
    <row r="432" spans="1:5">
      <c r="A432" s="14" t="s">
        <v>33</v>
      </c>
      <c r="B432" s="12">
        <v>2514</v>
      </c>
      <c r="C432" s="12" t="s">
        <v>20</v>
      </c>
      <c r="D432" s="12" t="s">
        <v>14</v>
      </c>
      <c r="E432" s="12">
        <v>-4049.5</v>
      </c>
    </row>
    <row r="433" spans="1:5">
      <c r="A433" s="15" t="s">
        <v>33</v>
      </c>
      <c r="B433" s="13">
        <v>2514</v>
      </c>
      <c r="C433" s="13" t="s">
        <v>20</v>
      </c>
      <c r="D433" s="13" t="s">
        <v>13</v>
      </c>
      <c r="E433" s="13">
        <v>-3982.75</v>
      </c>
    </row>
    <row r="434" spans="1:5">
      <c r="A434" s="14" t="s">
        <v>33</v>
      </c>
      <c r="B434" s="12">
        <v>2510</v>
      </c>
      <c r="C434" s="12" t="s">
        <v>24</v>
      </c>
      <c r="D434" s="12" t="s">
        <v>13</v>
      </c>
      <c r="E434" s="12">
        <v>-3849.75</v>
      </c>
    </row>
    <row r="435" spans="1:5">
      <c r="A435" s="15" t="s">
        <v>33</v>
      </c>
      <c r="B435" s="13">
        <v>2507</v>
      </c>
      <c r="C435" s="13" t="s">
        <v>11</v>
      </c>
      <c r="D435" s="13" t="s">
        <v>13</v>
      </c>
      <c r="E435" s="13">
        <v>-3837.75</v>
      </c>
    </row>
    <row r="436" spans="1:5">
      <c r="A436" s="14" t="s">
        <v>33</v>
      </c>
      <c r="B436" s="12">
        <v>2514</v>
      </c>
      <c r="C436" s="12" t="s">
        <v>20</v>
      </c>
      <c r="D436" s="12" t="s">
        <v>6</v>
      </c>
      <c r="E436" s="12">
        <v>-3607.75</v>
      </c>
    </row>
    <row r="437" spans="1:5">
      <c r="A437" s="15" t="s">
        <v>33</v>
      </c>
      <c r="B437" s="13">
        <v>2510</v>
      </c>
      <c r="C437" s="13" t="s">
        <v>24</v>
      </c>
      <c r="D437" s="13" t="s">
        <v>14</v>
      </c>
      <c r="E437" s="13">
        <v>-3359</v>
      </c>
    </row>
    <row r="438" spans="1:5">
      <c r="A438" s="14" t="s">
        <v>33</v>
      </c>
      <c r="B438" s="12">
        <v>2505</v>
      </c>
      <c r="C438" s="12" t="s">
        <v>9</v>
      </c>
      <c r="D438" s="12" t="s">
        <v>8</v>
      </c>
      <c r="E438" s="12">
        <v>-2724</v>
      </c>
    </row>
    <row r="439" spans="1:5">
      <c r="A439" s="15" t="s">
        <v>33</v>
      </c>
      <c r="B439" s="13">
        <v>2505</v>
      </c>
      <c r="C439" s="13" t="s">
        <v>9</v>
      </c>
      <c r="D439" s="13" t="s">
        <v>19</v>
      </c>
      <c r="E439" s="13">
        <v>-2424.5</v>
      </c>
    </row>
    <row r="440" spans="1:5">
      <c r="A440" s="14" t="s">
        <v>33</v>
      </c>
      <c r="B440" s="12">
        <v>2505</v>
      </c>
      <c r="C440" s="12" t="s">
        <v>9</v>
      </c>
      <c r="D440" s="12" t="s">
        <v>14</v>
      </c>
      <c r="E440" s="12">
        <v>-2379.75</v>
      </c>
    </row>
    <row r="441" spans="1:5">
      <c r="A441" s="15" t="s">
        <v>33</v>
      </c>
      <c r="B441" s="13">
        <v>2506</v>
      </c>
      <c r="C441" s="13" t="s">
        <v>27</v>
      </c>
      <c r="D441" s="13" t="s">
        <v>14</v>
      </c>
      <c r="E441" s="13">
        <v>-2374</v>
      </c>
    </row>
    <row r="442" spans="1:5">
      <c r="A442" s="14" t="s">
        <v>33</v>
      </c>
      <c r="B442" s="12">
        <v>2505</v>
      </c>
      <c r="C442" s="12" t="s">
        <v>9</v>
      </c>
      <c r="D442" s="12" t="s">
        <v>12</v>
      </c>
      <c r="E442" s="12">
        <v>-2306.75</v>
      </c>
    </row>
    <row r="443" spans="1:5">
      <c r="A443" s="15" t="s">
        <v>33</v>
      </c>
      <c r="B443" s="13">
        <v>2506</v>
      </c>
      <c r="C443" s="13" t="s">
        <v>27</v>
      </c>
      <c r="D443" s="13" t="s">
        <v>8</v>
      </c>
      <c r="E443" s="13">
        <v>-2067.5</v>
      </c>
    </row>
    <row r="444" spans="1:5">
      <c r="A444" s="14" t="s">
        <v>33</v>
      </c>
      <c r="B444" s="12">
        <v>2505</v>
      </c>
      <c r="C444" s="12" t="s">
        <v>9</v>
      </c>
      <c r="D444" s="12" t="s">
        <v>6</v>
      </c>
      <c r="E444" s="12">
        <v>-2013.5</v>
      </c>
    </row>
    <row r="445" spans="1:5">
      <c r="A445" s="15" t="s">
        <v>33</v>
      </c>
      <c r="B445" s="13">
        <v>2505</v>
      </c>
      <c r="C445" s="13" t="s">
        <v>9</v>
      </c>
      <c r="D445" s="13" t="s">
        <v>10</v>
      </c>
      <c r="E445" s="13">
        <v>-1863.75</v>
      </c>
    </row>
    <row r="446" spans="1:5">
      <c r="A446" s="14" t="s">
        <v>33</v>
      </c>
      <c r="B446" s="12">
        <v>2505</v>
      </c>
      <c r="C446" s="12" t="s">
        <v>9</v>
      </c>
      <c r="D446" s="12" t="s">
        <v>13</v>
      </c>
      <c r="E446" s="12">
        <v>-1824.25</v>
      </c>
    </row>
    <row r="447" spans="1:5">
      <c r="A447" s="15" t="s">
        <v>33</v>
      </c>
      <c r="B447" s="13">
        <v>2503</v>
      </c>
      <c r="C447" s="13" t="s">
        <v>22</v>
      </c>
      <c r="D447" s="13" t="s">
        <v>8</v>
      </c>
      <c r="E447" s="13">
        <v>-1649.75</v>
      </c>
    </row>
    <row r="448" spans="1:5">
      <c r="A448" s="14" t="s">
        <v>33</v>
      </c>
      <c r="B448" s="12">
        <v>2503</v>
      </c>
      <c r="C448" s="12" t="s">
        <v>22</v>
      </c>
      <c r="D448" s="12" t="s">
        <v>14</v>
      </c>
      <c r="E448" s="12">
        <v>-1269</v>
      </c>
    </row>
    <row r="449" spans="1:5">
      <c r="A449" s="15" t="s">
        <v>33</v>
      </c>
      <c r="B449" s="13">
        <v>2503</v>
      </c>
      <c r="C449" s="13" t="s">
        <v>22</v>
      </c>
      <c r="D449" s="13" t="s">
        <v>13</v>
      </c>
      <c r="E449" s="13">
        <v>-1266.5</v>
      </c>
    </row>
    <row r="450" spans="1:5">
      <c r="A450" s="14" t="s">
        <v>33</v>
      </c>
      <c r="B450" s="12">
        <v>2503</v>
      </c>
      <c r="C450" s="12" t="s">
        <v>22</v>
      </c>
      <c r="D450" s="12" t="s">
        <v>10</v>
      </c>
      <c r="E450" s="12">
        <v>-1222.5</v>
      </c>
    </row>
    <row r="451" spans="1:5">
      <c r="A451" s="15" t="s">
        <v>33</v>
      </c>
      <c r="B451" s="13">
        <v>2504</v>
      </c>
      <c r="C451" s="13" t="s">
        <v>21</v>
      </c>
      <c r="D451" s="13" t="s">
        <v>19</v>
      </c>
      <c r="E451" s="13">
        <v>-1215</v>
      </c>
    </row>
    <row r="452" spans="1:5">
      <c r="A452" s="14" t="s">
        <v>33</v>
      </c>
      <c r="B452" s="12">
        <v>2503</v>
      </c>
      <c r="C452" s="12" t="s">
        <v>22</v>
      </c>
      <c r="D452" s="12" t="s">
        <v>12</v>
      </c>
      <c r="E452" s="12">
        <v>-1204</v>
      </c>
    </row>
    <row r="453" spans="1:5">
      <c r="A453" s="15" t="s">
        <v>33</v>
      </c>
      <c r="B453" s="13">
        <v>2503</v>
      </c>
      <c r="C453" s="13" t="s">
        <v>22</v>
      </c>
      <c r="D453" s="13" t="s">
        <v>19</v>
      </c>
      <c r="E453" s="13">
        <v>-1057.5</v>
      </c>
    </row>
    <row r="454" spans="1:5">
      <c r="A454" s="14" t="s">
        <v>33</v>
      </c>
      <c r="B454" s="12">
        <v>2503</v>
      </c>
      <c r="C454" s="12" t="s">
        <v>22</v>
      </c>
      <c r="D454" s="12" t="s">
        <v>6</v>
      </c>
      <c r="E454" s="12">
        <v>-928.5</v>
      </c>
    </row>
    <row r="455" spans="1:5">
      <c r="A455" s="15" t="s">
        <v>33</v>
      </c>
      <c r="B455" s="13">
        <v>2501</v>
      </c>
      <c r="C455" s="13" t="s">
        <v>5</v>
      </c>
      <c r="D455" s="13" t="s">
        <v>14</v>
      </c>
      <c r="E455" s="13">
        <v>-706.5</v>
      </c>
    </row>
    <row r="456" spans="1:5">
      <c r="A456" s="14" t="s">
        <v>33</v>
      </c>
      <c r="B456" s="12">
        <v>2501</v>
      </c>
      <c r="C456" s="12" t="s">
        <v>5</v>
      </c>
      <c r="D456" s="12" t="s">
        <v>10</v>
      </c>
      <c r="E456" s="12">
        <v>-564.75</v>
      </c>
    </row>
    <row r="457" spans="1:5">
      <c r="A457" s="15" t="s">
        <v>33</v>
      </c>
      <c r="B457" s="13">
        <v>2501</v>
      </c>
      <c r="C457" s="13" t="s">
        <v>5</v>
      </c>
      <c r="D457" s="13" t="s">
        <v>6</v>
      </c>
      <c r="E457" s="13">
        <v>-544</v>
      </c>
    </row>
    <row r="458" spans="1:5">
      <c r="A458" s="14" t="s">
        <v>33</v>
      </c>
      <c r="B458" s="12">
        <v>2501</v>
      </c>
      <c r="C458" s="12" t="s">
        <v>5</v>
      </c>
      <c r="D458" s="12" t="s">
        <v>13</v>
      </c>
      <c r="E458" s="12">
        <v>-543.75</v>
      </c>
    </row>
    <row r="459" spans="1:5">
      <c r="A459" s="15" t="s">
        <v>33</v>
      </c>
      <c r="B459" s="13">
        <v>2501</v>
      </c>
      <c r="C459" s="13" t="s">
        <v>5</v>
      </c>
      <c r="D459" s="13" t="s">
        <v>19</v>
      </c>
      <c r="E459" s="13">
        <v>-499.5</v>
      </c>
    </row>
    <row r="460" spans="1:5">
      <c r="A460" s="14" t="s">
        <v>33</v>
      </c>
      <c r="B460" s="12">
        <v>2501</v>
      </c>
      <c r="C460" s="12" t="s">
        <v>5</v>
      </c>
      <c r="D460" s="12" t="s">
        <v>8</v>
      </c>
      <c r="E460" s="12">
        <v>-487.75</v>
      </c>
    </row>
    <row r="461" spans="1:5">
      <c r="A461" s="15" t="s">
        <v>33</v>
      </c>
      <c r="B461" s="13">
        <v>2501</v>
      </c>
      <c r="C461" s="13" t="s">
        <v>5</v>
      </c>
      <c r="D461" s="13" t="s">
        <v>12</v>
      </c>
      <c r="E461" s="13">
        <v>-401</v>
      </c>
    </row>
    <row r="462" spans="1:5">
      <c r="A462" s="14" t="s">
        <v>33</v>
      </c>
      <c r="B462" s="12">
        <v>1500</v>
      </c>
      <c r="C462" s="12" t="s">
        <v>26</v>
      </c>
      <c r="D462" s="12" t="s">
        <v>19</v>
      </c>
      <c r="E462" s="12">
        <v>-41</v>
      </c>
    </row>
    <row r="463" spans="1:5">
      <c r="A463" s="15" t="s">
        <v>33</v>
      </c>
      <c r="B463" s="13">
        <v>1000</v>
      </c>
      <c r="C463" s="13" t="s">
        <v>23</v>
      </c>
      <c r="D463" s="13" t="s">
        <v>19</v>
      </c>
      <c r="E463" s="13">
        <v>8889625</v>
      </c>
    </row>
    <row r="464" spans="1:5">
      <c r="A464" s="14" t="s">
        <v>34</v>
      </c>
      <c r="B464" s="12">
        <v>2508</v>
      </c>
      <c r="C464" s="12" t="s">
        <v>15</v>
      </c>
      <c r="D464" s="12" t="s">
        <v>14</v>
      </c>
      <c r="E464" s="12">
        <v>-234878</v>
      </c>
    </row>
    <row r="465" spans="1:5">
      <c r="A465" s="15" t="s">
        <v>34</v>
      </c>
      <c r="B465" s="13">
        <v>2000</v>
      </c>
      <c r="C465" s="13" t="s">
        <v>18</v>
      </c>
      <c r="D465" s="13" t="s">
        <v>19</v>
      </c>
      <c r="E465" s="13">
        <v>-220996.5</v>
      </c>
    </row>
    <row r="466" spans="1:5">
      <c r="A466" s="14" t="s">
        <v>34</v>
      </c>
      <c r="B466" s="12">
        <v>2508</v>
      </c>
      <c r="C466" s="12" t="s">
        <v>15</v>
      </c>
      <c r="D466" s="12" t="s">
        <v>10</v>
      </c>
      <c r="E466" s="12">
        <v>-218442.75</v>
      </c>
    </row>
    <row r="467" spans="1:5">
      <c r="A467" s="15" t="s">
        <v>34</v>
      </c>
      <c r="B467" s="13">
        <v>2508</v>
      </c>
      <c r="C467" s="13" t="s">
        <v>15</v>
      </c>
      <c r="D467" s="13" t="s">
        <v>8</v>
      </c>
      <c r="E467" s="13">
        <v>-208326.5</v>
      </c>
    </row>
    <row r="468" spans="1:5">
      <c r="A468" s="14" t="s">
        <v>34</v>
      </c>
      <c r="B468" s="12">
        <v>2508</v>
      </c>
      <c r="C468" s="12" t="s">
        <v>15</v>
      </c>
      <c r="D468" s="12" t="s">
        <v>6</v>
      </c>
      <c r="E468" s="12">
        <v>-206662</v>
      </c>
    </row>
    <row r="469" spans="1:5">
      <c r="A469" s="15" t="s">
        <v>34</v>
      </c>
      <c r="B469" s="13">
        <v>2508</v>
      </c>
      <c r="C469" s="13" t="s">
        <v>15</v>
      </c>
      <c r="D469" s="13" t="s">
        <v>19</v>
      </c>
      <c r="E469" s="13">
        <v>-201472.5</v>
      </c>
    </row>
    <row r="470" spans="1:5">
      <c r="A470" s="14" t="s">
        <v>34</v>
      </c>
      <c r="B470" s="12">
        <v>2508</v>
      </c>
      <c r="C470" s="12" t="s">
        <v>15</v>
      </c>
      <c r="D470" s="12" t="s">
        <v>13</v>
      </c>
      <c r="E470" s="12">
        <v>-198583.75</v>
      </c>
    </row>
    <row r="471" spans="1:5">
      <c r="A471" s="15" t="s">
        <v>34</v>
      </c>
      <c r="B471" s="13">
        <v>2508</v>
      </c>
      <c r="C471" s="13" t="s">
        <v>15</v>
      </c>
      <c r="D471" s="13" t="s">
        <v>12</v>
      </c>
      <c r="E471" s="13">
        <v>-180158.5</v>
      </c>
    </row>
    <row r="472" spans="1:5">
      <c r="A472" s="14" t="s">
        <v>34</v>
      </c>
      <c r="B472" s="12">
        <v>2500</v>
      </c>
      <c r="C472" s="12" t="s">
        <v>25</v>
      </c>
      <c r="D472" s="12" t="s">
        <v>19</v>
      </c>
      <c r="E472" s="12">
        <v>-30042</v>
      </c>
    </row>
    <row r="473" spans="1:5">
      <c r="A473" s="15" t="s">
        <v>34</v>
      </c>
      <c r="B473" s="13">
        <v>2502</v>
      </c>
      <c r="C473" s="13" t="s">
        <v>7</v>
      </c>
      <c r="D473" s="13" t="s">
        <v>19</v>
      </c>
      <c r="E473" s="13">
        <v>-21538.75</v>
      </c>
    </row>
    <row r="474" spans="1:5">
      <c r="A474" s="14" t="s">
        <v>34</v>
      </c>
      <c r="B474" s="12">
        <v>2502</v>
      </c>
      <c r="C474" s="12" t="s">
        <v>7</v>
      </c>
      <c r="D474" s="12" t="s">
        <v>10</v>
      </c>
      <c r="E474" s="12">
        <v>-21119.5</v>
      </c>
    </row>
    <row r="475" spans="1:5">
      <c r="A475" s="15" t="s">
        <v>34</v>
      </c>
      <c r="B475" s="13">
        <v>2502</v>
      </c>
      <c r="C475" s="13" t="s">
        <v>7</v>
      </c>
      <c r="D475" s="13" t="s">
        <v>6</v>
      </c>
      <c r="E475" s="13">
        <v>-20324.25</v>
      </c>
    </row>
    <row r="476" spans="1:5">
      <c r="A476" s="14" t="s">
        <v>34</v>
      </c>
      <c r="B476" s="12">
        <v>2502</v>
      </c>
      <c r="C476" s="12" t="s">
        <v>7</v>
      </c>
      <c r="D476" s="12" t="s">
        <v>12</v>
      </c>
      <c r="E476" s="12">
        <v>-19547.75</v>
      </c>
    </row>
    <row r="477" spans="1:5">
      <c r="A477" s="15" t="s">
        <v>34</v>
      </c>
      <c r="B477" s="13">
        <v>2502</v>
      </c>
      <c r="C477" s="13" t="s">
        <v>7</v>
      </c>
      <c r="D477" s="13" t="s">
        <v>14</v>
      </c>
      <c r="E477" s="13">
        <v>-18479.5</v>
      </c>
    </row>
    <row r="478" spans="1:5">
      <c r="A478" s="14" t="s">
        <v>34</v>
      </c>
      <c r="B478" s="12">
        <v>2512</v>
      </c>
      <c r="C478" s="12" t="s">
        <v>16</v>
      </c>
      <c r="D478" s="12" t="s">
        <v>14</v>
      </c>
      <c r="E478" s="12">
        <v>-17329.5</v>
      </c>
    </row>
    <row r="479" spans="1:5">
      <c r="A479" s="15" t="s">
        <v>34</v>
      </c>
      <c r="B479" s="13">
        <v>2502</v>
      </c>
      <c r="C479" s="13" t="s">
        <v>7</v>
      </c>
      <c r="D479" s="13" t="s">
        <v>8</v>
      </c>
      <c r="E479" s="13">
        <v>-16689</v>
      </c>
    </row>
    <row r="480" spans="1:5">
      <c r="A480" s="14" t="s">
        <v>34</v>
      </c>
      <c r="B480" s="12">
        <v>2502</v>
      </c>
      <c r="C480" s="12" t="s">
        <v>7</v>
      </c>
      <c r="D480" s="12" t="s">
        <v>13</v>
      </c>
      <c r="E480" s="12">
        <v>-15326.75</v>
      </c>
    </row>
    <row r="481" spans="1:5">
      <c r="A481" s="15" t="s">
        <v>34</v>
      </c>
      <c r="B481" s="13">
        <v>2512</v>
      </c>
      <c r="C481" s="13" t="s">
        <v>16</v>
      </c>
      <c r="D481" s="13" t="s">
        <v>6</v>
      </c>
      <c r="E481" s="13">
        <v>-14109</v>
      </c>
    </row>
    <row r="482" spans="1:5">
      <c r="A482" s="14" t="s">
        <v>34</v>
      </c>
      <c r="B482" s="12">
        <v>2512</v>
      </c>
      <c r="C482" s="12" t="s">
        <v>16</v>
      </c>
      <c r="D482" s="12" t="s">
        <v>19</v>
      </c>
      <c r="E482" s="12">
        <v>-12958.75</v>
      </c>
    </row>
    <row r="483" spans="1:5">
      <c r="A483" s="15" t="s">
        <v>34</v>
      </c>
      <c r="B483" s="13">
        <v>2512</v>
      </c>
      <c r="C483" s="13" t="s">
        <v>16</v>
      </c>
      <c r="D483" s="13" t="s">
        <v>10</v>
      </c>
      <c r="E483" s="13">
        <v>-12844.75</v>
      </c>
    </row>
    <row r="484" spans="1:5">
      <c r="A484" s="14" t="s">
        <v>34</v>
      </c>
      <c r="B484" s="12">
        <v>2512</v>
      </c>
      <c r="C484" s="12" t="s">
        <v>16</v>
      </c>
      <c r="D484" s="12" t="s">
        <v>13</v>
      </c>
      <c r="E484" s="12">
        <v>-11927.25</v>
      </c>
    </row>
    <row r="485" spans="1:5">
      <c r="A485" s="15" t="s">
        <v>34</v>
      </c>
      <c r="B485" s="13">
        <v>2512</v>
      </c>
      <c r="C485" s="13" t="s">
        <v>16</v>
      </c>
      <c r="D485" s="13" t="s">
        <v>8</v>
      </c>
      <c r="E485" s="13">
        <v>-10967</v>
      </c>
    </row>
    <row r="486" spans="1:5">
      <c r="A486" s="14" t="s">
        <v>34</v>
      </c>
      <c r="B486" s="12">
        <v>2513</v>
      </c>
      <c r="C486" s="12" t="s">
        <v>17</v>
      </c>
      <c r="D486" s="12" t="s">
        <v>14</v>
      </c>
      <c r="E486" s="12">
        <v>-9027.75</v>
      </c>
    </row>
    <row r="487" spans="1:5">
      <c r="A487" s="15" t="s">
        <v>34</v>
      </c>
      <c r="B487" s="13">
        <v>2512</v>
      </c>
      <c r="C487" s="13" t="s">
        <v>16</v>
      </c>
      <c r="D487" s="13" t="s">
        <v>12</v>
      </c>
      <c r="E487" s="13">
        <v>-9013.75</v>
      </c>
    </row>
    <row r="488" spans="1:5">
      <c r="A488" s="14" t="s">
        <v>34</v>
      </c>
      <c r="B488" s="12">
        <v>2513</v>
      </c>
      <c r="C488" s="12" t="s">
        <v>17</v>
      </c>
      <c r="D488" s="12" t="s">
        <v>10</v>
      </c>
      <c r="E488" s="12">
        <v>-7505.5</v>
      </c>
    </row>
    <row r="489" spans="1:5">
      <c r="A489" s="15" t="s">
        <v>34</v>
      </c>
      <c r="B489" s="13">
        <v>2510</v>
      </c>
      <c r="C489" s="13" t="s">
        <v>24</v>
      </c>
      <c r="D489" s="13" t="s">
        <v>13</v>
      </c>
      <c r="E489" s="13">
        <v>-6935.75</v>
      </c>
    </row>
    <row r="490" spans="1:5">
      <c r="A490" s="14" t="s">
        <v>34</v>
      </c>
      <c r="B490" s="12">
        <v>2513</v>
      </c>
      <c r="C490" s="12" t="s">
        <v>17</v>
      </c>
      <c r="D490" s="12" t="s">
        <v>6</v>
      </c>
      <c r="E490" s="12">
        <v>-6879</v>
      </c>
    </row>
    <row r="491" spans="1:5">
      <c r="A491" s="15" t="s">
        <v>34</v>
      </c>
      <c r="B491" s="13">
        <v>2510</v>
      </c>
      <c r="C491" s="13" t="s">
        <v>24</v>
      </c>
      <c r="D491" s="13" t="s">
        <v>8</v>
      </c>
      <c r="E491" s="13">
        <v>-6788</v>
      </c>
    </row>
    <row r="492" spans="1:5">
      <c r="A492" s="14" t="s">
        <v>34</v>
      </c>
      <c r="B492" s="12">
        <v>2513</v>
      </c>
      <c r="C492" s="12" t="s">
        <v>17</v>
      </c>
      <c r="D492" s="12" t="s">
        <v>12</v>
      </c>
      <c r="E492" s="12">
        <v>-6614.5</v>
      </c>
    </row>
    <row r="493" spans="1:5">
      <c r="A493" s="15" t="s">
        <v>34</v>
      </c>
      <c r="B493" s="13">
        <v>2514</v>
      </c>
      <c r="C493" s="13" t="s">
        <v>20</v>
      </c>
      <c r="D493" s="13" t="s">
        <v>14</v>
      </c>
      <c r="E493" s="13">
        <v>-5395.5</v>
      </c>
    </row>
    <row r="494" spans="1:5">
      <c r="A494" s="14" t="s">
        <v>34</v>
      </c>
      <c r="B494" s="12">
        <v>2513</v>
      </c>
      <c r="C494" s="12" t="s">
        <v>17</v>
      </c>
      <c r="D494" s="12" t="s">
        <v>8</v>
      </c>
      <c r="E494" s="12">
        <v>-5290</v>
      </c>
    </row>
    <row r="495" spans="1:5">
      <c r="A495" s="15" t="s">
        <v>34</v>
      </c>
      <c r="B495" s="13">
        <v>2513</v>
      </c>
      <c r="C495" s="13" t="s">
        <v>17</v>
      </c>
      <c r="D495" s="13" t="s">
        <v>13</v>
      </c>
      <c r="E495" s="13">
        <v>-5198.5</v>
      </c>
    </row>
    <row r="496" spans="1:5">
      <c r="A496" s="14" t="s">
        <v>34</v>
      </c>
      <c r="B496" s="12">
        <v>1500</v>
      </c>
      <c r="C496" s="12" t="s">
        <v>26</v>
      </c>
      <c r="D496" s="12" t="s">
        <v>19</v>
      </c>
      <c r="E496" s="12">
        <v>-5165.25</v>
      </c>
    </row>
    <row r="497" spans="1:5">
      <c r="A497" s="15" t="s">
        <v>34</v>
      </c>
      <c r="B497" s="13">
        <v>2507</v>
      </c>
      <c r="C497" s="13" t="s">
        <v>11</v>
      </c>
      <c r="D497" s="13" t="s">
        <v>8</v>
      </c>
      <c r="E497" s="13">
        <v>-5129</v>
      </c>
    </row>
    <row r="498" spans="1:5">
      <c r="A498" s="14" t="s">
        <v>34</v>
      </c>
      <c r="B498" s="12">
        <v>2513</v>
      </c>
      <c r="C498" s="12" t="s">
        <v>17</v>
      </c>
      <c r="D498" s="12" t="s">
        <v>19</v>
      </c>
      <c r="E498" s="12">
        <v>-4989.75</v>
      </c>
    </row>
    <row r="499" spans="1:5">
      <c r="A499" s="15" t="s">
        <v>34</v>
      </c>
      <c r="B499" s="13">
        <v>2507</v>
      </c>
      <c r="C499" s="13" t="s">
        <v>11</v>
      </c>
      <c r="D499" s="13" t="s">
        <v>10</v>
      </c>
      <c r="E499" s="13">
        <v>-4965.25</v>
      </c>
    </row>
    <row r="500" spans="1:5">
      <c r="A500" s="14" t="s">
        <v>34</v>
      </c>
      <c r="B500" s="12">
        <v>2507</v>
      </c>
      <c r="C500" s="12" t="s">
        <v>11</v>
      </c>
      <c r="D500" s="12" t="s">
        <v>13</v>
      </c>
      <c r="E500" s="12">
        <v>-4852.75</v>
      </c>
    </row>
    <row r="501" spans="1:5">
      <c r="A501" s="15" t="s">
        <v>34</v>
      </c>
      <c r="B501" s="13">
        <v>2507</v>
      </c>
      <c r="C501" s="13" t="s">
        <v>11</v>
      </c>
      <c r="D501" s="13" t="s">
        <v>19</v>
      </c>
      <c r="E501" s="13">
        <v>-4805</v>
      </c>
    </row>
    <row r="502" spans="1:5">
      <c r="A502" s="14" t="s">
        <v>34</v>
      </c>
      <c r="B502" s="12">
        <v>2514</v>
      </c>
      <c r="C502" s="12" t="s">
        <v>20</v>
      </c>
      <c r="D502" s="12" t="s">
        <v>12</v>
      </c>
      <c r="E502" s="12">
        <v>-4756.25</v>
      </c>
    </row>
    <row r="503" spans="1:5">
      <c r="A503" s="15" t="s">
        <v>34</v>
      </c>
      <c r="B503" s="13">
        <v>2510</v>
      </c>
      <c r="C503" s="13" t="s">
        <v>24</v>
      </c>
      <c r="D503" s="13" t="s">
        <v>14</v>
      </c>
      <c r="E503" s="13">
        <v>-4693</v>
      </c>
    </row>
    <row r="504" spans="1:5">
      <c r="A504" s="14" t="s">
        <v>34</v>
      </c>
      <c r="B504" s="12">
        <v>2514</v>
      </c>
      <c r="C504" s="12" t="s">
        <v>20</v>
      </c>
      <c r="D504" s="12" t="s">
        <v>8</v>
      </c>
      <c r="E504" s="12">
        <v>-4686</v>
      </c>
    </row>
    <row r="505" spans="1:5">
      <c r="A505" s="15" t="s">
        <v>34</v>
      </c>
      <c r="B505" s="13">
        <v>2514</v>
      </c>
      <c r="C505" s="13" t="s">
        <v>20</v>
      </c>
      <c r="D505" s="13" t="s">
        <v>19</v>
      </c>
      <c r="E505" s="13">
        <v>-4569.5</v>
      </c>
    </row>
    <row r="506" spans="1:5">
      <c r="A506" s="14" t="s">
        <v>34</v>
      </c>
      <c r="B506" s="12">
        <v>2514</v>
      </c>
      <c r="C506" s="12" t="s">
        <v>20</v>
      </c>
      <c r="D506" s="12" t="s">
        <v>10</v>
      </c>
      <c r="E506" s="12">
        <v>-4474.25</v>
      </c>
    </row>
    <row r="507" spans="1:5">
      <c r="A507" s="15" t="s">
        <v>34</v>
      </c>
      <c r="B507" s="13">
        <v>2507</v>
      </c>
      <c r="C507" s="13" t="s">
        <v>11</v>
      </c>
      <c r="D507" s="13" t="s">
        <v>14</v>
      </c>
      <c r="E507" s="13">
        <v>-4450</v>
      </c>
    </row>
    <row r="508" spans="1:5">
      <c r="A508" s="14" t="s">
        <v>34</v>
      </c>
      <c r="B508" s="12">
        <v>2514</v>
      </c>
      <c r="C508" s="12" t="s">
        <v>20</v>
      </c>
      <c r="D508" s="12" t="s">
        <v>6</v>
      </c>
      <c r="E508" s="12">
        <v>-4390.25</v>
      </c>
    </row>
    <row r="509" spans="1:5">
      <c r="A509" s="15" t="s">
        <v>34</v>
      </c>
      <c r="B509" s="13">
        <v>2510</v>
      </c>
      <c r="C509" s="13" t="s">
        <v>24</v>
      </c>
      <c r="D509" s="13" t="s">
        <v>19</v>
      </c>
      <c r="E509" s="13">
        <v>-4346.25</v>
      </c>
    </row>
    <row r="510" spans="1:5">
      <c r="A510" s="14" t="s">
        <v>34</v>
      </c>
      <c r="B510" s="12">
        <v>2507</v>
      </c>
      <c r="C510" s="12" t="s">
        <v>11</v>
      </c>
      <c r="D510" s="12" t="s">
        <v>6</v>
      </c>
      <c r="E510" s="12">
        <v>-4100.75</v>
      </c>
    </row>
    <row r="511" spans="1:5">
      <c r="A511" s="15" t="s">
        <v>34</v>
      </c>
      <c r="B511" s="13">
        <v>2514</v>
      </c>
      <c r="C511" s="13" t="s">
        <v>20</v>
      </c>
      <c r="D511" s="13" t="s">
        <v>13</v>
      </c>
      <c r="E511" s="13">
        <v>-4076.5</v>
      </c>
    </row>
    <row r="512" spans="1:5">
      <c r="A512" s="14" t="s">
        <v>34</v>
      </c>
      <c r="B512" s="12">
        <v>2507</v>
      </c>
      <c r="C512" s="12" t="s">
        <v>11</v>
      </c>
      <c r="D512" s="12" t="s">
        <v>12</v>
      </c>
      <c r="E512" s="12">
        <v>-4017</v>
      </c>
    </row>
    <row r="513" spans="1:5">
      <c r="A513" s="15" t="s">
        <v>34</v>
      </c>
      <c r="B513" s="13">
        <v>2510</v>
      </c>
      <c r="C513" s="13" t="s">
        <v>24</v>
      </c>
      <c r="D513" s="13" t="s">
        <v>6</v>
      </c>
      <c r="E513" s="13">
        <v>-3915.75</v>
      </c>
    </row>
    <row r="514" spans="1:5">
      <c r="A514" s="14" t="s">
        <v>34</v>
      </c>
      <c r="B514" s="12">
        <v>2510</v>
      </c>
      <c r="C514" s="12" t="s">
        <v>24</v>
      </c>
      <c r="D514" s="12" t="s">
        <v>12</v>
      </c>
      <c r="E514" s="12">
        <v>-3812</v>
      </c>
    </row>
    <row r="515" spans="1:5">
      <c r="A515" s="15" t="s">
        <v>34</v>
      </c>
      <c r="B515" s="13">
        <v>2510</v>
      </c>
      <c r="C515" s="13" t="s">
        <v>24</v>
      </c>
      <c r="D515" s="13" t="s">
        <v>10</v>
      </c>
      <c r="E515" s="13">
        <v>-3573.5</v>
      </c>
    </row>
    <row r="516" spans="1:5">
      <c r="A516" s="14" t="s">
        <v>34</v>
      </c>
      <c r="B516" s="12">
        <v>2505</v>
      </c>
      <c r="C516" s="12" t="s">
        <v>9</v>
      </c>
      <c r="D516" s="12" t="s">
        <v>19</v>
      </c>
      <c r="E516" s="12">
        <v>-2697.75</v>
      </c>
    </row>
    <row r="517" spans="1:5">
      <c r="A517" s="15" t="s">
        <v>34</v>
      </c>
      <c r="B517" s="13">
        <v>2505</v>
      </c>
      <c r="C517" s="13" t="s">
        <v>9</v>
      </c>
      <c r="D517" s="13" t="s">
        <v>6</v>
      </c>
      <c r="E517" s="13">
        <v>-2437.25</v>
      </c>
    </row>
    <row r="518" spans="1:5">
      <c r="A518" s="14" t="s">
        <v>34</v>
      </c>
      <c r="B518" s="12">
        <v>2505</v>
      </c>
      <c r="C518" s="12" t="s">
        <v>9</v>
      </c>
      <c r="D518" s="12" t="s">
        <v>10</v>
      </c>
      <c r="E518" s="12">
        <v>-2307.75</v>
      </c>
    </row>
    <row r="519" spans="1:5">
      <c r="A519" s="15" t="s">
        <v>34</v>
      </c>
      <c r="B519" s="13">
        <v>2505</v>
      </c>
      <c r="C519" s="13" t="s">
        <v>9</v>
      </c>
      <c r="D519" s="13" t="s">
        <v>13</v>
      </c>
      <c r="E519" s="13">
        <v>-2269</v>
      </c>
    </row>
    <row r="520" spans="1:5">
      <c r="A520" s="14" t="s">
        <v>34</v>
      </c>
      <c r="B520" s="12">
        <v>2505</v>
      </c>
      <c r="C520" s="12" t="s">
        <v>9</v>
      </c>
      <c r="D520" s="12" t="s">
        <v>14</v>
      </c>
      <c r="E520" s="12">
        <v>-2259.25</v>
      </c>
    </row>
    <row r="521" spans="1:5">
      <c r="A521" s="15" t="s">
        <v>34</v>
      </c>
      <c r="B521" s="13">
        <v>2506</v>
      </c>
      <c r="C521" s="13" t="s">
        <v>27</v>
      </c>
      <c r="D521" s="13" t="s">
        <v>8</v>
      </c>
      <c r="E521" s="13">
        <v>-2225.5</v>
      </c>
    </row>
    <row r="522" spans="1:5">
      <c r="A522" s="14" t="s">
        <v>34</v>
      </c>
      <c r="B522" s="12">
        <v>2505</v>
      </c>
      <c r="C522" s="12" t="s">
        <v>9</v>
      </c>
      <c r="D522" s="12" t="s">
        <v>8</v>
      </c>
      <c r="E522" s="12">
        <v>-2167.75</v>
      </c>
    </row>
    <row r="523" spans="1:5">
      <c r="A523" s="15" t="s">
        <v>34</v>
      </c>
      <c r="B523" s="13">
        <v>2506</v>
      </c>
      <c r="C523" s="13" t="s">
        <v>27</v>
      </c>
      <c r="D523" s="13" t="s">
        <v>14</v>
      </c>
      <c r="E523" s="13">
        <v>-2099.5</v>
      </c>
    </row>
    <row r="524" spans="1:5">
      <c r="A524" s="14" t="s">
        <v>34</v>
      </c>
      <c r="B524" s="12">
        <v>2505</v>
      </c>
      <c r="C524" s="12" t="s">
        <v>9</v>
      </c>
      <c r="D524" s="12" t="s">
        <v>12</v>
      </c>
      <c r="E524" s="12">
        <v>-1882.5</v>
      </c>
    </row>
    <row r="525" spans="1:5">
      <c r="A525" s="15" t="s">
        <v>34</v>
      </c>
      <c r="B525" s="13">
        <v>2503</v>
      </c>
      <c r="C525" s="13" t="s">
        <v>22</v>
      </c>
      <c r="D525" s="13" t="s">
        <v>6</v>
      </c>
      <c r="E525" s="13">
        <v>-1476.25</v>
      </c>
    </row>
    <row r="526" spans="1:5">
      <c r="A526" s="14" t="s">
        <v>34</v>
      </c>
      <c r="B526" s="12">
        <v>2504</v>
      </c>
      <c r="C526" s="12" t="s">
        <v>21</v>
      </c>
      <c r="D526" s="12" t="s">
        <v>19</v>
      </c>
      <c r="E526" s="12">
        <v>-1442</v>
      </c>
    </row>
    <row r="527" spans="1:5">
      <c r="A527" s="15" t="s">
        <v>34</v>
      </c>
      <c r="B527" s="13">
        <v>2503</v>
      </c>
      <c r="C527" s="13" t="s">
        <v>22</v>
      </c>
      <c r="D527" s="13" t="s">
        <v>8</v>
      </c>
      <c r="E527" s="13">
        <v>-1399.25</v>
      </c>
    </row>
    <row r="528" spans="1:5">
      <c r="A528" s="14" t="s">
        <v>34</v>
      </c>
      <c r="B528" s="12">
        <v>2503</v>
      </c>
      <c r="C528" s="12" t="s">
        <v>22</v>
      </c>
      <c r="D528" s="12" t="s">
        <v>10</v>
      </c>
      <c r="E528" s="12">
        <v>-1336</v>
      </c>
    </row>
    <row r="529" spans="1:5">
      <c r="A529" s="15" t="s">
        <v>34</v>
      </c>
      <c r="B529" s="13">
        <v>2503</v>
      </c>
      <c r="C529" s="13" t="s">
        <v>22</v>
      </c>
      <c r="D529" s="13" t="s">
        <v>12</v>
      </c>
      <c r="E529" s="13">
        <v>-1263.25</v>
      </c>
    </row>
    <row r="530" spans="1:5">
      <c r="A530" s="14" t="s">
        <v>34</v>
      </c>
      <c r="B530" s="12">
        <v>2503</v>
      </c>
      <c r="C530" s="12" t="s">
        <v>22</v>
      </c>
      <c r="D530" s="12" t="s">
        <v>14</v>
      </c>
      <c r="E530" s="12">
        <v>-1219.5</v>
      </c>
    </row>
    <row r="531" spans="1:5">
      <c r="A531" s="15" t="s">
        <v>34</v>
      </c>
      <c r="B531" s="13">
        <v>2503</v>
      </c>
      <c r="C531" s="13" t="s">
        <v>22</v>
      </c>
      <c r="D531" s="13" t="s">
        <v>19</v>
      </c>
      <c r="E531" s="13">
        <v>-1165.5</v>
      </c>
    </row>
    <row r="532" spans="1:5">
      <c r="A532" s="14" t="s">
        <v>34</v>
      </c>
      <c r="B532" s="12">
        <v>2503</v>
      </c>
      <c r="C532" s="12" t="s">
        <v>22</v>
      </c>
      <c r="D532" s="12" t="s">
        <v>13</v>
      </c>
      <c r="E532" s="12">
        <v>-1026</v>
      </c>
    </row>
    <row r="533" spans="1:5">
      <c r="A533" s="15" t="s">
        <v>34</v>
      </c>
      <c r="B533" s="13">
        <v>2501</v>
      </c>
      <c r="C533" s="13" t="s">
        <v>5</v>
      </c>
      <c r="D533" s="13" t="s">
        <v>19</v>
      </c>
      <c r="E533" s="13">
        <v>-647.75</v>
      </c>
    </row>
    <row r="534" spans="1:5">
      <c r="A534" s="14" t="s">
        <v>34</v>
      </c>
      <c r="B534" s="12">
        <v>2501</v>
      </c>
      <c r="C534" s="12" t="s">
        <v>5</v>
      </c>
      <c r="D534" s="12" t="s">
        <v>12</v>
      </c>
      <c r="E534" s="12">
        <v>-624.5</v>
      </c>
    </row>
    <row r="535" spans="1:5">
      <c r="A535" s="15" t="s">
        <v>34</v>
      </c>
      <c r="B535" s="13">
        <v>2501</v>
      </c>
      <c r="C535" s="13" t="s">
        <v>5</v>
      </c>
      <c r="D535" s="13" t="s">
        <v>8</v>
      </c>
      <c r="E535" s="13">
        <v>-549.25</v>
      </c>
    </row>
    <row r="536" spans="1:5">
      <c r="A536" s="14" t="s">
        <v>34</v>
      </c>
      <c r="B536" s="12">
        <v>2501</v>
      </c>
      <c r="C536" s="12" t="s">
        <v>5</v>
      </c>
      <c r="D536" s="12" t="s">
        <v>6</v>
      </c>
      <c r="E536" s="12">
        <v>-512.25</v>
      </c>
    </row>
    <row r="537" spans="1:5">
      <c r="A537" s="15" t="s">
        <v>34</v>
      </c>
      <c r="B537" s="13">
        <v>2501</v>
      </c>
      <c r="C537" s="13" t="s">
        <v>5</v>
      </c>
      <c r="D537" s="13" t="s">
        <v>13</v>
      </c>
      <c r="E537" s="13">
        <v>-492.75</v>
      </c>
    </row>
    <row r="538" spans="1:5">
      <c r="A538" s="14" t="s">
        <v>34</v>
      </c>
      <c r="B538" s="12">
        <v>2501</v>
      </c>
      <c r="C538" s="12" t="s">
        <v>5</v>
      </c>
      <c r="D538" s="12" t="s">
        <v>14</v>
      </c>
      <c r="E538" s="12">
        <v>-479.5</v>
      </c>
    </row>
    <row r="539" spans="1:5">
      <c r="A539" s="15" t="s">
        <v>34</v>
      </c>
      <c r="B539" s="13">
        <v>2501</v>
      </c>
      <c r="C539" s="13" t="s">
        <v>5</v>
      </c>
      <c r="D539" s="13" t="s">
        <v>10</v>
      </c>
      <c r="E539" s="13">
        <v>-376.25</v>
      </c>
    </row>
    <row r="540" spans="1:5">
      <c r="A540" s="14" t="s">
        <v>34</v>
      </c>
      <c r="B540" s="12">
        <v>1000</v>
      </c>
      <c r="C540" s="12" t="s">
        <v>23</v>
      </c>
      <c r="D540" s="12" t="s">
        <v>19</v>
      </c>
      <c r="E540" s="12">
        <v>9730180</v>
      </c>
    </row>
    <row r="541" spans="1:5">
      <c r="A541" s="15" t="s">
        <v>35</v>
      </c>
      <c r="B541" s="13">
        <v>2508</v>
      </c>
      <c r="C541" s="13" t="s">
        <v>15</v>
      </c>
      <c r="D541" s="13" t="s">
        <v>8</v>
      </c>
      <c r="E541" s="13">
        <v>-308403.75</v>
      </c>
    </row>
    <row r="542" spans="1:5">
      <c r="A542" s="14" t="s">
        <v>35</v>
      </c>
      <c r="B542" s="12">
        <v>2508</v>
      </c>
      <c r="C542" s="12" t="s">
        <v>15</v>
      </c>
      <c r="D542" s="12" t="s">
        <v>14</v>
      </c>
      <c r="E542" s="12">
        <v>-268894</v>
      </c>
    </row>
    <row r="543" spans="1:5">
      <c r="A543" s="15" t="s">
        <v>35</v>
      </c>
      <c r="B543" s="13">
        <v>2508</v>
      </c>
      <c r="C543" s="13" t="s">
        <v>15</v>
      </c>
      <c r="D543" s="13" t="s">
        <v>13</v>
      </c>
      <c r="E543" s="13">
        <v>-266738.25</v>
      </c>
    </row>
    <row r="544" spans="1:5">
      <c r="A544" s="14" t="s">
        <v>35</v>
      </c>
      <c r="B544" s="12">
        <v>2508</v>
      </c>
      <c r="C544" s="12" t="s">
        <v>15</v>
      </c>
      <c r="D544" s="12" t="s">
        <v>10</v>
      </c>
      <c r="E544" s="12">
        <v>-227950.5</v>
      </c>
    </row>
    <row r="545" spans="1:5">
      <c r="A545" s="15" t="s">
        <v>35</v>
      </c>
      <c r="B545" s="13">
        <v>2508</v>
      </c>
      <c r="C545" s="13" t="s">
        <v>15</v>
      </c>
      <c r="D545" s="13" t="s">
        <v>19</v>
      </c>
      <c r="E545" s="13">
        <v>-223136.25</v>
      </c>
    </row>
    <row r="546" spans="1:5">
      <c r="A546" s="14" t="s">
        <v>35</v>
      </c>
      <c r="B546" s="12">
        <v>2508</v>
      </c>
      <c r="C546" s="12" t="s">
        <v>15</v>
      </c>
      <c r="D546" s="12" t="s">
        <v>12</v>
      </c>
      <c r="E546" s="12">
        <v>-204259</v>
      </c>
    </row>
    <row r="547" spans="1:5">
      <c r="A547" s="15" t="s">
        <v>35</v>
      </c>
      <c r="B547" s="13">
        <v>2508</v>
      </c>
      <c r="C547" s="13" t="s">
        <v>15</v>
      </c>
      <c r="D547" s="13" t="s">
        <v>6</v>
      </c>
      <c r="E547" s="13">
        <v>-192807</v>
      </c>
    </row>
    <row r="548" spans="1:5">
      <c r="A548" s="14" t="s">
        <v>35</v>
      </c>
      <c r="B548" s="12">
        <v>2000</v>
      </c>
      <c r="C548" s="12" t="s">
        <v>18</v>
      </c>
      <c r="D548" s="12" t="s">
        <v>19</v>
      </c>
      <c r="E548" s="12">
        <v>-84058.083333333328</v>
      </c>
    </row>
    <row r="549" spans="1:5">
      <c r="A549" s="15" t="s">
        <v>35</v>
      </c>
      <c r="B549" s="13">
        <v>2500</v>
      </c>
      <c r="C549" s="13" t="s">
        <v>25</v>
      </c>
      <c r="D549" s="13" t="s">
        <v>19</v>
      </c>
      <c r="E549" s="13">
        <v>-31272.5</v>
      </c>
    </row>
    <row r="550" spans="1:5">
      <c r="A550" s="14" t="s">
        <v>35</v>
      </c>
      <c r="B550" s="12">
        <v>2502</v>
      </c>
      <c r="C550" s="12" t="s">
        <v>7</v>
      </c>
      <c r="D550" s="12" t="s">
        <v>6</v>
      </c>
      <c r="E550" s="12">
        <v>-23897.75</v>
      </c>
    </row>
    <row r="551" spans="1:5">
      <c r="A551" s="15" t="s">
        <v>35</v>
      </c>
      <c r="B551" s="13">
        <v>2502</v>
      </c>
      <c r="C551" s="13" t="s">
        <v>7</v>
      </c>
      <c r="D551" s="13" t="s">
        <v>13</v>
      </c>
      <c r="E551" s="13">
        <v>-20639</v>
      </c>
    </row>
    <row r="552" spans="1:5">
      <c r="A552" s="14" t="s">
        <v>35</v>
      </c>
      <c r="B552" s="12">
        <v>2502</v>
      </c>
      <c r="C552" s="12" t="s">
        <v>7</v>
      </c>
      <c r="D552" s="12" t="s">
        <v>8</v>
      </c>
      <c r="E552" s="12">
        <v>-20547.5</v>
      </c>
    </row>
    <row r="553" spans="1:5">
      <c r="A553" s="15" t="s">
        <v>35</v>
      </c>
      <c r="B553" s="13">
        <v>2502</v>
      </c>
      <c r="C553" s="13" t="s">
        <v>7</v>
      </c>
      <c r="D553" s="13" t="s">
        <v>19</v>
      </c>
      <c r="E553" s="13">
        <v>-20285.5</v>
      </c>
    </row>
    <row r="554" spans="1:5">
      <c r="A554" s="14" t="s">
        <v>35</v>
      </c>
      <c r="B554" s="12">
        <v>2502</v>
      </c>
      <c r="C554" s="12" t="s">
        <v>7</v>
      </c>
      <c r="D554" s="12" t="s">
        <v>14</v>
      </c>
      <c r="E554" s="12">
        <v>-18668</v>
      </c>
    </row>
    <row r="555" spans="1:5">
      <c r="A555" s="15" t="s">
        <v>35</v>
      </c>
      <c r="B555" s="13">
        <v>2502</v>
      </c>
      <c r="C555" s="13" t="s">
        <v>7</v>
      </c>
      <c r="D555" s="13" t="s">
        <v>12</v>
      </c>
      <c r="E555" s="13">
        <v>-16488.25</v>
      </c>
    </row>
    <row r="556" spans="1:5">
      <c r="A556" s="14" t="s">
        <v>35</v>
      </c>
      <c r="B556" s="12">
        <v>2512</v>
      </c>
      <c r="C556" s="12" t="s">
        <v>16</v>
      </c>
      <c r="D556" s="12" t="s">
        <v>13</v>
      </c>
      <c r="E556" s="12">
        <v>-15642.5</v>
      </c>
    </row>
    <row r="557" spans="1:5">
      <c r="A557" s="15" t="s">
        <v>35</v>
      </c>
      <c r="B557" s="13">
        <v>2502</v>
      </c>
      <c r="C557" s="13" t="s">
        <v>7</v>
      </c>
      <c r="D557" s="13" t="s">
        <v>10</v>
      </c>
      <c r="E557" s="13">
        <v>-15235.75</v>
      </c>
    </row>
    <row r="558" spans="1:5">
      <c r="A558" s="14" t="s">
        <v>35</v>
      </c>
      <c r="B558" s="12">
        <v>2512</v>
      </c>
      <c r="C558" s="12" t="s">
        <v>16</v>
      </c>
      <c r="D558" s="12" t="s">
        <v>19</v>
      </c>
      <c r="E558" s="12">
        <v>-11558</v>
      </c>
    </row>
    <row r="559" spans="1:5">
      <c r="A559" s="15" t="s">
        <v>35</v>
      </c>
      <c r="B559" s="13">
        <v>2512</v>
      </c>
      <c r="C559" s="13" t="s">
        <v>16</v>
      </c>
      <c r="D559" s="13" t="s">
        <v>8</v>
      </c>
      <c r="E559" s="13">
        <v>-11101</v>
      </c>
    </row>
    <row r="560" spans="1:5">
      <c r="A560" s="14" t="s">
        <v>35</v>
      </c>
      <c r="B560" s="12">
        <v>2512</v>
      </c>
      <c r="C560" s="12" t="s">
        <v>16</v>
      </c>
      <c r="D560" s="12" t="s">
        <v>6</v>
      </c>
      <c r="E560" s="12">
        <v>-10979</v>
      </c>
    </row>
    <row r="561" spans="1:5">
      <c r="A561" s="15" t="s">
        <v>35</v>
      </c>
      <c r="B561" s="13">
        <v>2512</v>
      </c>
      <c r="C561" s="13" t="s">
        <v>16</v>
      </c>
      <c r="D561" s="13" t="s">
        <v>12</v>
      </c>
      <c r="E561" s="13">
        <v>-10567.5</v>
      </c>
    </row>
    <row r="562" spans="1:5">
      <c r="A562" s="14" t="s">
        <v>35</v>
      </c>
      <c r="B562" s="12">
        <v>2512</v>
      </c>
      <c r="C562" s="12" t="s">
        <v>16</v>
      </c>
      <c r="D562" s="12" t="s">
        <v>10</v>
      </c>
      <c r="E562" s="12">
        <v>-9820.25</v>
      </c>
    </row>
    <row r="563" spans="1:5">
      <c r="A563" s="15" t="s">
        <v>35</v>
      </c>
      <c r="B563" s="13">
        <v>2512</v>
      </c>
      <c r="C563" s="13" t="s">
        <v>16</v>
      </c>
      <c r="D563" s="13" t="s">
        <v>14</v>
      </c>
      <c r="E563" s="13">
        <v>-8425</v>
      </c>
    </row>
    <row r="564" spans="1:5">
      <c r="A564" s="14" t="s">
        <v>35</v>
      </c>
      <c r="B564" s="12">
        <v>2513</v>
      </c>
      <c r="C564" s="12" t="s">
        <v>17</v>
      </c>
      <c r="D564" s="12" t="s">
        <v>12</v>
      </c>
      <c r="E564" s="12">
        <v>-8371.25</v>
      </c>
    </row>
    <row r="565" spans="1:5">
      <c r="A565" s="15" t="s">
        <v>35</v>
      </c>
      <c r="B565" s="13">
        <v>2510</v>
      </c>
      <c r="C565" s="13" t="s">
        <v>24</v>
      </c>
      <c r="D565" s="13" t="s">
        <v>14</v>
      </c>
      <c r="E565" s="13">
        <v>-6974.25</v>
      </c>
    </row>
    <row r="566" spans="1:5">
      <c r="A566" s="14" t="s">
        <v>35</v>
      </c>
      <c r="B566" s="12">
        <v>2513</v>
      </c>
      <c r="C566" s="12" t="s">
        <v>17</v>
      </c>
      <c r="D566" s="12" t="s">
        <v>13</v>
      </c>
      <c r="E566" s="12">
        <v>-6698</v>
      </c>
    </row>
    <row r="567" spans="1:5">
      <c r="A567" s="15" t="s">
        <v>35</v>
      </c>
      <c r="B567" s="13">
        <v>2510</v>
      </c>
      <c r="C567" s="13" t="s">
        <v>24</v>
      </c>
      <c r="D567" s="13" t="s">
        <v>6</v>
      </c>
      <c r="E567" s="13">
        <v>-6681.75</v>
      </c>
    </row>
    <row r="568" spans="1:5">
      <c r="A568" s="14" t="s">
        <v>35</v>
      </c>
      <c r="B568" s="12">
        <v>2513</v>
      </c>
      <c r="C568" s="12" t="s">
        <v>17</v>
      </c>
      <c r="D568" s="12" t="s">
        <v>10</v>
      </c>
      <c r="E568" s="12">
        <v>-6577.25</v>
      </c>
    </row>
    <row r="569" spans="1:5">
      <c r="A569" s="15" t="s">
        <v>35</v>
      </c>
      <c r="B569" s="13">
        <v>2510</v>
      </c>
      <c r="C569" s="13" t="s">
        <v>24</v>
      </c>
      <c r="D569" s="13" t="s">
        <v>8</v>
      </c>
      <c r="E569" s="13">
        <v>-6388</v>
      </c>
    </row>
    <row r="570" spans="1:5">
      <c r="A570" s="14" t="s">
        <v>35</v>
      </c>
      <c r="B570" s="12">
        <v>2514</v>
      </c>
      <c r="C570" s="12" t="s">
        <v>20</v>
      </c>
      <c r="D570" s="12" t="s">
        <v>10</v>
      </c>
      <c r="E570" s="12">
        <v>-6029.25</v>
      </c>
    </row>
    <row r="571" spans="1:5">
      <c r="A571" s="15" t="s">
        <v>35</v>
      </c>
      <c r="B571" s="13">
        <v>2510</v>
      </c>
      <c r="C571" s="13" t="s">
        <v>24</v>
      </c>
      <c r="D571" s="13" t="s">
        <v>12</v>
      </c>
      <c r="E571" s="13">
        <v>-6006</v>
      </c>
    </row>
    <row r="572" spans="1:5">
      <c r="A572" s="14" t="s">
        <v>35</v>
      </c>
      <c r="B572" s="12">
        <v>2514</v>
      </c>
      <c r="C572" s="12" t="s">
        <v>20</v>
      </c>
      <c r="D572" s="12" t="s">
        <v>8</v>
      </c>
      <c r="E572" s="12">
        <v>-5750</v>
      </c>
    </row>
    <row r="573" spans="1:5">
      <c r="A573" s="15" t="s">
        <v>35</v>
      </c>
      <c r="B573" s="13">
        <v>2514</v>
      </c>
      <c r="C573" s="13" t="s">
        <v>20</v>
      </c>
      <c r="D573" s="13" t="s">
        <v>12</v>
      </c>
      <c r="E573" s="13">
        <v>-5621.75</v>
      </c>
    </row>
    <row r="574" spans="1:5">
      <c r="A574" s="14" t="s">
        <v>35</v>
      </c>
      <c r="B574" s="12">
        <v>2513</v>
      </c>
      <c r="C574" s="12" t="s">
        <v>17</v>
      </c>
      <c r="D574" s="12" t="s">
        <v>6</v>
      </c>
      <c r="E574" s="12">
        <v>-5577.5</v>
      </c>
    </row>
    <row r="575" spans="1:5">
      <c r="A575" s="15" t="s">
        <v>35</v>
      </c>
      <c r="B575" s="13">
        <v>2513</v>
      </c>
      <c r="C575" s="13" t="s">
        <v>17</v>
      </c>
      <c r="D575" s="13" t="s">
        <v>19</v>
      </c>
      <c r="E575" s="13">
        <v>-5521.25</v>
      </c>
    </row>
    <row r="576" spans="1:5">
      <c r="A576" s="14" t="s">
        <v>35</v>
      </c>
      <c r="B576" s="12">
        <v>2510</v>
      </c>
      <c r="C576" s="12" t="s">
        <v>24</v>
      </c>
      <c r="D576" s="12" t="s">
        <v>13</v>
      </c>
      <c r="E576" s="12">
        <v>-5180.25</v>
      </c>
    </row>
    <row r="577" spans="1:5">
      <c r="A577" s="15" t="s">
        <v>35</v>
      </c>
      <c r="B577" s="13">
        <v>2507</v>
      </c>
      <c r="C577" s="13" t="s">
        <v>11</v>
      </c>
      <c r="D577" s="13" t="s">
        <v>8</v>
      </c>
      <c r="E577" s="13">
        <v>-5030.25</v>
      </c>
    </row>
    <row r="578" spans="1:5">
      <c r="A578" s="14" t="s">
        <v>35</v>
      </c>
      <c r="B578" s="12">
        <v>2514</v>
      </c>
      <c r="C578" s="12" t="s">
        <v>20</v>
      </c>
      <c r="D578" s="12" t="s">
        <v>13</v>
      </c>
      <c r="E578" s="12">
        <v>-5013.5</v>
      </c>
    </row>
    <row r="579" spans="1:5">
      <c r="A579" s="15" t="s">
        <v>35</v>
      </c>
      <c r="B579" s="13">
        <v>2507</v>
      </c>
      <c r="C579" s="13" t="s">
        <v>11</v>
      </c>
      <c r="D579" s="13" t="s">
        <v>13</v>
      </c>
      <c r="E579" s="13">
        <v>-4974.75</v>
      </c>
    </row>
    <row r="580" spans="1:5">
      <c r="A580" s="14" t="s">
        <v>35</v>
      </c>
      <c r="B580" s="12">
        <v>2514</v>
      </c>
      <c r="C580" s="12" t="s">
        <v>20</v>
      </c>
      <c r="D580" s="12" t="s">
        <v>19</v>
      </c>
      <c r="E580" s="12">
        <v>-4969.25</v>
      </c>
    </row>
    <row r="581" spans="1:5">
      <c r="A581" s="15" t="s">
        <v>35</v>
      </c>
      <c r="B581" s="13">
        <v>2513</v>
      </c>
      <c r="C581" s="13" t="s">
        <v>17</v>
      </c>
      <c r="D581" s="13" t="s">
        <v>8</v>
      </c>
      <c r="E581" s="13">
        <v>-4904.25</v>
      </c>
    </row>
    <row r="582" spans="1:5">
      <c r="A582" s="14" t="s">
        <v>35</v>
      </c>
      <c r="B582" s="12">
        <v>2507</v>
      </c>
      <c r="C582" s="12" t="s">
        <v>11</v>
      </c>
      <c r="D582" s="12" t="s">
        <v>14</v>
      </c>
      <c r="E582" s="12">
        <v>-4805</v>
      </c>
    </row>
    <row r="583" spans="1:5">
      <c r="A583" s="15" t="s">
        <v>35</v>
      </c>
      <c r="B583" s="13">
        <v>2507</v>
      </c>
      <c r="C583" s="13" t="s">
        <v>11</v>
      </c>
      <c r="D583" s="13" t="s">
        <v>10</v>
      </c>
      <c r="E583" s="13">
        <v>-4753</v>
      </c>
    </row>
    <row r="584" spans="1:5">
      <c r="A584" s="14" t="s">
        <v>35</v>
      </c>
      <c r="B584" s="12">
        <v>2514</v>
      </c>
      <c r="C584" s="12" t="s">
        <v>20</v>
      </c>
      <c r="D584" s="12" t="s">
        <v>6</v>
      </c>
      <c r="E584" s="12">
        <v>-4724.75</v>
      </c>
    </row>
    <row r="585" spans="1:5">
      <c r="A585" s="15" t="s">
        <v>35</v>
      </c>
      <c r="B585" s="13">
        <v>2513</v>
      </c>
      <c r="C585" s="13" t="s">
        <v>17</v>
      </c>
      <c r="D585" s="13" t="s">
        <v>14</v>
      </c>
      <c r="E585" s="13">
        <v>-4646.5</v>
      </c>
    </row>
    <row r="586" spans="1:5">
      <c r="A586" s="14" t="s">
        <v>35</v>
      </c>
      <c r="B586" s="12">
        <v>2514</v>
      </c>
      <c r="C586" s="12" t="s">
        <v>20</v>
      </c>
      <c r="D586" s="12" t="s">
        <v>14</v>
      </c>
      <c r="E586" s="12">
        <v>-4595.25</v>
      </c>
    </row>
    <row r="587" spans="1:5">
      <c r="A587" s="15" t="s">
        <v>35</v>
      </c>
      <c r="B587" s="13">
        <v>2507</v>
      </c>
      <c r="C587" s="13" t="s">
        <v>11</v>
      </c>
      <c r="D587" s="13" t="s">
        <v>12</v>
      </c>
      <c r="E587" s="13">
        <v>-4120.75</v>
      </c>
    </row>
    <row r="588" spans="1:5">
      <c r="A588" s="14" t="s">
        <v>35</v>
      </c>
      <c r="B588" s="12">
        <v>2507</v>
      </c>
      <c r="C588" s="12" t="s">
        <v>11</v>
      </c>
      <c r="D588" s="12" t="s">
        <v>6</v>
      </c>
      <c r="E588" s="12">
        <v>-4051</v>
      </c>
    </row>
    <row r="589" spans="1:5">
      <c r="A589" s="15" t="s">
        <v>35</v>
      </c>
      <c r="B589" s="13">
        <v>2510</v>
      </c>
      <c r="C589" s="13" t="s">
        <v>24</v>
      </c>
      <c r="D589" s="13" t="s">
        <v>10</v>
      </c>
      <c r="E589" s="13">
        <v>-3699</v>
      </c>
    </row>
    <row r="590" spans="1:5">
      <c r="A590" s="14" t="s">
        <v>35</v>
      </c>
      <c r="B590" s="12">
        <v>2507</v>
      </c>
      <c r="C590" s="12" t="s">
        <v>11</v>
      </c>
      <c r="D590" s="12" t="s">
        <v>19</v>
      </c>
      <c r="E590" s="12">
        <v>-3378.25</v>
      </c>
    </row>
    <row r="591" spans="1:5">
      <c r="A591" s="15" t="s">
        <v>35</v>
      </c>
      <c r="B591" s="13">
        <v>2510</v>
      </c>
      <c r="C591" s="13" t="s">
        <v>24</v>
      </c>
      <c r="D591" s="13" t="s">
        <v>19</v>
      </c>
      <c r="E591" s="13">
        <v>-3307.5</v>
      </c>
    </row>
    <row r="592" spans="1:5">
      <c r="A592" s="14" t="s">
        <v>35</v>
      </c>
      <c r="B592" s="12">
        <v>2505</v>
      </c>
      <c r="C592" s="12" t="s">
        <v>9</v>
      </c>
      <c r="D592" s="12" t="s">
        <v>12</v>
      </c>
      <c r="E592" s="12">
        <v>-3079.25</v>
      </c>
    </row>
    <row r="593" spans="1:5">
      <c r="A593" s="15" t="s">
        <v>35</v>
      </c>
      <c r="B593" s="13">
        <v>2505</v>
      </c>
      <c r="C593" s="13" t="s">
        <v>9</v>
      </c>
      <c r="D593" s="13" t="s">
        <v>13</v>
      </c>
      <c r="E593" s="13">
        <v>-2915.75</v>
      </c>
    </row>
    <row r="594" spans="1:5">
      <c r="A594" s="14" t="s">
        <v>35</v>
      </c>
      <c r="B594" s="12">
        <v>2506</v>
      </c>
      <c r="C594" s="12" t="s">
        <v>27</v>
      </c>
      <c r="D594" s="12" t="s">
        <v>14</v>
      </c>
      <c r="E594" s="12">
        <v>-2107.75</v>
      </c>
    </row>
    <row r="595" spans="1:5">
      <c r="A595" s="15" t="s">
        <v>35</v>
      </c>
      <c r="B595" s="13">
        <v>2505</v>
      </c>
      <c r="C595" s="13" t="s">
        <v>9</v>
      </c>
      <c r="D595" s="13" t="s">
        <v>14</v>
      </c>
      <c r="E595" s="13">
        <v>-2063.75</v>
      </c>
    </row>
    <row r="596" spans="1:5">
      <c r="A596" s="14" t="s">
        <v>35</v>
      </c>
      <c r="B596" s="12">
        <v>2506</v>
      </c>
      <c r="C596" s="12" t="s">
        <v>27</v>
      </c>
      <c r="D596" s="12" t="s">
        <v>8</v>
      </c>
      <c r="E596" s="12">
        <v>-1977.25</v>
      </c>
    </row>
    <row r="597" spans="1:5">
      <c r="A597" s="15" t="s">
        <v>35</v>
      </c>
      <c r="B597" s="13">
        <v>2505</v>
      </c>
      <c r="C597" s="13" t="s">
        <v>9</v>
      </c>
      <c r="D597" s="13" t="s">
        <v>8</v>
      </c>
      <c r="E597" s="13">
        <v>-1939</v>
      </c>
    </row>
    <row r="598" spans="1:5">
      <c r="A598" s="14" t="s">
        <v>35</v>
      </c>
      <c r="B598" s="12">
        <v>2504</v>
      </c>
      <c r="C598" s="12" t="s">
        <v>21</v>
      </c>
      <c r="D598" s="12" t="s">
        <v>19</v>
      </c>
      <c r="E598" s="12">
        <v>-1933</v>
      </c>
    </row>
    <row r="599" spans="1:5">
      <c r="A599" s="15" t="s">
        <v>35</v>
      </c>
      <c r="B599" s="13">
        <v>2505</v>
      </c>
      <c r="C599" s="13" t="s">
        <v>9</v>
      </c>
      <c r="D599" s="13" t="s">
        <v>6</v>
      </c>
      <c r="E599" s="13">
        <v>-1919.5</v>
      </c>
    </row>
    <row r="600" spans="1:5">
      <c r="A600" s="14" t="s">
        <v>35</v>
      </c>
      <c r="B600" s="12">
        <v>2505</v>
      </c>
      <c r="C600" s="12" t="s">
        <v>9</v>
      </c>
      <c r="D600" s="12" t="s">
        <v>19</v>
      </c>
      <c r="E600" s="12">
        <v>-1853.25</v>
      </c>
    </row>
    <row r="601" spans="1:5">
      <c r="A601" s="15" t="s">
        <v>35</v>
      </c>
      <c r="B601" s="13">
        <v>2505</v>
      </c>
      <c r="C601" s="13" t="s">
        <v>9</v>
      </c>
      <c r="D601" s="13" t="s">
        <v>10</v>
      </c>
      <c r="E601" s="13">
        <v>-1843.5</v>
      </c>
    </row>
    <row r="602" spans="1:5">
      <c r="A602" s="14" t="s">
        <v>35</v>
      </c>
      <c r="B602" s="12">
        <v>1500</v>
      </c>
      <c r="C602" s="12" t="s">
        <v>26</v>
      </c>
      <c r="D602" s="12" t="s">
        <v>19</v>
      </c>
      <c r="E602" s="12">
        <v>-1831.5</v>
      </c>
    </row>
    <row r="603" spans="1:5">
      <c r="A603" s="15" t="s">
        <v>35</v>
      </c>
      <c r="B603" s="13">
        <v>2503</v>
      </c>
      <c r="C603" s="13" t="s">
        <v>22</v>
      </c>
      <c r="D603" s="13" t="s">
        <v>6</v>
      </c>
      <c r="E603" s="13">
        <v>-1355</v>
      </c>
    </row>
    <row r="604" spans="1:5">
      <c r="A604" s="14" t="s">
        <v>35</v>
      </c>
      <c r="B604" s="12">
        <v>2503</v>
      </c>
      <c r="C604" s="12" t="s">
        <v>22</v>
      </c>
      <c r="D604" s="12" t="s">
        <v>13</v>
      </c>
      <c r="E604" s="12">
        <v>-1324</v>
      </c>
    </row>
    <row r="605" spans="1:5">
      <c r="A605" s="15" t="s">
        <v>35</v>
      </c>
      <c r="B605" s="13">
        <v>2503</v>
      </c>
      <c r="C605" s="13" t="s">
        <v>22</v>
      </c>
      <c r="D605" s="13" t="s">
        <v>12</v>
      </c>
      <c r="E605" s="13">
        <v>-1257.75</v>
      </c>
    </row>
    <row r="606" spans="1:5">
      <c r="A606" s="14" t="s">
        <v>35</v>
      </c>
      <c r="B606" s="12">
        <v>2503</v>
      </c>
      <c r="C606" s="12" t="s">
        <v>22</v>
      </c>
      <c r="D606" s="12" t="s">
        <v>8</v>
      </c>
      <c r="E606" s="12">
        <v>-1222.5</v>
      </c>
    </row>
    <row r="607" spans="1:5">
      <c r="A607" s="15" t="s">
        <v>35</v>
      </c>
      <c r="B607" s="13">
        <v>2503</v>
      </c>
      <c r="C607" s="13" t="s">
        <v>22</v>
      </c>
      <c r="D607" s="13" t="s">
        <v>10</v>
      </c>
      <c r="E607" s="13">
        <v>-1103</v>
      </c>
    </row>
    <row r="608" spans="1:5">
      <c r="A608" s="14" t="s">
        <v>35</v>
      </c>
      <c r="B608" s="12">
        <v>2503</v>
      </c>
      <c r="C608" s="12" t="s">
        <v>22</v>
      </c>
      <c r="D608" s="12" t="s">
        <v>19</v>
      </c>
      <c r="E608" s="12">
        <v>-1048.25</v>
      </c>
    </row>
    <row r="609" spans="1:5">
      <c r="A609" s="15" t="s">
        <v>35</v>
      </c>
      <c r="B609" s="13">
        <v>2503</v>
      </c>
      <c r="C609" s="13" t="s">
        <v>22</v>
      </c>
      <c r="D609" s="13" t="s">
        <v>14</v>
      </c>
      <c r="E609" s="13">
        <v>-1010.5</v>
      </c>
    </row>
    <row r="610" spans="1:5">
      <c r="A610" s="14" t="s">
        <v>35</v>
      </c>
      <c r="B610" s="12">
        <v>2501</v>
      </c>
      <c r="C610" s="12" t="s">
        <v>5</v>
      </c>
      <c r="D610" s="12" t="s">
        <v>6</v>
      </c>
      <c r="E610" s="12">
        <v>-677.25</v>
      </c>
    </row>
    <row r="611" spans="1:5">
      <c r="A611" s="15" t="s">
        <v>35</v>
      </c>
      <c r="B611" s="13">
        <v>2501</v>
      </c>
      <c r="C611" s="13" t="s">
        <v>5</v>
      </c>
      <c r="D611" s="13" t="s">
        <v>14</v>
      </c>
      <c r="E611" s="13">
        <v>-612.5</v>
      </c>
    </row>
    <row r="612" spans="1:5">
      <c r="A612" s="14" t="s">
        <v>35</v>
      </c>
      <c r="B612" s="12">
        <v>2501</v>
      </c>
      <c r="C612" s="12" t="s">
        <v>5</v>
      </c>
      <c r="D612" s="12" t="s">
        <v>19</v>
      </c>
      <c r="E612" s="12">
        <v>-584.75</v>
      </c>
    </row>
    <row r="613" spans="1:5">
      <c r="A613" s="15" t="s">
        <v>35</v>
      </c>
      <c r="B613" s="13">
        <v>2501</v>
      </c>
      <c r="C613" s="13" t="s">
        <v>5</v>
      </c>
      <c r="D613" s="13" t="s">
        <v>8</v>
      </c>
      <c r="E613" s="13">
        <v>-549</v>
      </c>
    </row>
    <row r="614" spans="1:5">
      <c r="A614" s="14" t="s">
        <v>35</v>
      </c>
      <c r="B614" s="12">
        <v>2501</v>
      </c>
      <c r="C614" s="12" t="s">
        <v>5</v>
      </c>
      <c r="D614" s="12" t="s">
        <v>12</v>
      </c>
      <c r="E614" s="12">
        <v>-488</v>
      </c>
    </row>
    <row r="615" spans="1:5">
      <c r="A615" s="15" t="s">
        <v>35</v>
      </c>
      <c r="B615" s="13">
        <v>2501</v>
      </c>
      <c r="C615" s="13" t="s">
        <v>5</v>
      </c>
      <c r="D615" s="13" t="s">
        <v>10</v>
      </c>
      <c r="E615" s="13">
        <v>-470</v>
      </c>
    </row>
    <row r="616" spans="1:5">
      <c r="A616" s="14" t="s">
        <v>35</v>
      </c>
      <c r="B616" s="12">
        <v>2501</v>
      </c>
      <c r="C616" s="12" t="s">
        <v>5</v>
      </c>
      <c r="D616" s="12" t="s">
        <v>13</v>
      </c>
      <c r="E616" s="12">
        <v>-464.75</v>
      </c>
    </row>
    <row r="617" spans="1:5">
      <c r="A617" s="15" t="s">
        <v>35</v>
      </c>
      <c r="B617" s="13">
        <v>1000</v>
      </c>
      <c r="C617" s="13" t="s">
        <v>23</v>
      </c>
      <c r="D617" s="13" t="s">
        <v>19</v>
      </c>
      <c r="E617" s="13">
        <v>9208197</v>
      </c>
    </row>
    <row r="618" spans="1:5">
      <c r="A618" s="14" t="s">
        <v>36</v>
      </c>
      <c r="B618" s="12">
        <v>2508</v>
      </c>
      <c r="C618" s="12" t="s">
        <v>15</v>
      </c>
      <c r="D618" s="12" t="s">
        <v>6</v>
      </c>
      <c r="E618" s="12">
        <v>-277520.25</v>
      </c>
    </row>
    <row r="619" spans="1:5">
      <c r="A619" s="15" t="s">
        <v>36</v>
      </c>
      <c r="B619" s="13">
        <v>2508</v>
      </c>
      <c r="C619" s="13" t="s">
        <v>15</v>
      </c>
      <c r="D619" s="13" t="s">
        <v>13</v>
      </c>
      <c r="E619" s="13">
        <v>-246966.25</v>
      </c>
    </row>
    <row r="620" spans="1:5">
      <c r="A620" s="14" t="s">
        <v>36</v>
      </c>
      <c r="B620" s="12">
        <v>2508</v>
      </c>
      <c r="C620" s="12" t="s">
        <v>15</v>
      </c>
      <c r="D620" s="12" t="s">
        <v>12</v>
      </c>
      <c r="E620" s="12">
        <v>-241004.5</v>
      </c>
    </row>
    <row r="621" spans="1:5">
      <c r="A621" s="15" t="s">
        <v>36</v>
      </c>
      <c r="B621" s="13">
        <v>2508</v>
      </c>
      <c r="C621" s="13" t="s">
        <v>15</v>
      </c>
      <c r="D621" s="13" t="s">
        <v>14</v>
      </c>
      <c r="E621" s="13">
        <v>-233701.25</v>
      </c>
    </row>
    <row r="622" spans="1:5">
      <c r="A622" s="14" t="s">
        <v>36</v>
      </c>
      <c r="B622" s="12">
        <v>2508</v>
      </c>
      <c r="C622" s="12" t="s">
        <v>15</v>
      </c>
      <c r="D622" s="12" t="s">
        <v>10</v>
      </c>
      <c r="E622" s="12">
        <v>-212567</v>
      </c>
    </row>
    <row r="623" spans="1:5">
      <c r="A623" s="15" t="s">
        <v>36</v>
      </c>
      <c r="B623" s="13">
        <v>2508</v>
      </c>
      <c r="C623" s="13" t="s">
        <v>15</v>
      </c>
      <c r="D623" s="13" t="s">
        <v>19</v>
      </c>
      <c r="E623" s="13">
        <v>-196737.5</v>
      </c>
    </row>
    <row r="624" spans="1:5">
      <c r="A624" s="14" t="s">
        <v>36</v>
      </c>
      <c r="B624" s="12">
        <v>2508</v>
      </c>
      <c r="C624" s="12" t="s">
        <v>15</v>
      </c>
      <c r="D624" s="12" t="s">
        <v>8</v>
      </c>
      <c r="E624" s="12">
        <v>-194476.25</v>
      </c>
    </row>
    <row r="625" spans="1:5">
      <c r="A625" s="15" t="s">
        <v>36</v>
      </c>
      <c r="B625" s="13">
        <v>2000</v>
      </c>
      <c r="C625" s="13" t="s">
        <v>18</v>
      </c>
      <c r="D625" s="13" t="s">
        <v>19</v>
      </c>
      <c r="E625" s="13">
        <v>-167466.75</v>
      </c>
    </row>
    <row r="626" spans="1:5">
      <c r="A626" s="14" t="s">
        <v>36</v>
      </c>
      <c r="B626" s="12">
        <v>2500</v>
      </c>
      <c r="C626" s="12" t="s">
        <v>25</v>
      </c>
      <c r="D626" s="12" t="s">
        <v>19</v>
      </c>
      <c r="E626" s="12">
        <v>-36502.5</v>
      </c>
    </row>
    <row r="627" spans="1:5">
      <c r="A627" s="15" t="s">
        <v>36</v>
      </c>
      <c r="B627" s="13">
        <v>2502</v>
      </c>
      <c r="C627" s="13" t="s">
        <v>7</v>
      </c>
      <c r="D627" s="13" t="s">
        <v>12</v>
      </c>
      <c r="E627" s="13">
        <v>-22557.75</v>
      </c>
    </row>
    <row r="628" spans="1:5">
      <c r="A628" s="14" t="s">
        <v>36</v>
      </c>
      <c r="B628" s="12">
        <v>2502</v>
      </c>
      <c r="C628" s="12" t="s">
        <v>7</v>
      </c>
      <c r="D628" s="12" t="s">
        <v>14</v>
      </c>
      <c r="E628" s="12">
        <v>-18921.75</v>
      </c>
    </row>
    <row r="629" spans="1:5">
      <c r="A629" s="15" t="s">
        <v>36</v>
      </c>
      <c r="B629" s="13">
        <v>2502</v>
      </c>
      <c r="C629" s="13" t="s">
        <v>7</v>
      </c>
      <c r="D629" s="13" t="s">
        <v>6</v>
      </c>
      <c r="E629" s="13">
        <v>-18513</v>
      </c>
    </row>
    <row r="630" spans="1:5">
      <c r="A630" s="14" t="s">
        <v>36</v>
      </c>
      <c r="B630" s="12">
        <v>2512</v>
      </c>
      <c r="C630" s="12" t="s">
        <v>16</v>
      </c>
      <c r="D630" s="12" t="s">
        <v>12</v>
      </c>
      <c r="E630" s="12">
        <v>-18022</v>
      </c>
    </row>
    <row r="631" spans="1:5">
      <c r="A631" s="15" t="s">
        <v>36</v>
      </c>
      <c r="B631" s="13">
        <v>2502</v>
      </c>
      <c r="C631" s="13" t="s">
        <v>7</v>
      </c>
      <c r="D631" s="13" t="s">
        <v>8</v>
      </c>
      <c r="E631" s="13">
        <v>-17703</v>
      </c>
    </row>
    <row r="632" spans="1:5">
      <c r="A632" s="14" t="s">
        <v>36</v>
      </c>
      <c r="B632" s="12">
        <v>2502</v>
      </c>
      <c r="C632" s="12" t="s">
        <v>7</v>
      </c>
      <c r="D632" s="12" t="s">
        <v>10</v>
      </c>
      <c r="E632" s="12">
        <v>-17703</v>
      </c>
    </row>
    <row r="633" spans="1:5">
      <c r="A633" s="15" t="s">
        <v>36</v>
      </c>
      <c r="B633" s="13">
        <v>2502</v>
      </c>
      <c r="C633" s="13" t="s">
        <v>7</v>
      </c>
      <c r="D633" s="13" t="s">
        <v>13</v>
      </c>
      <c r="E633" s="13">
        <v>-16405.25</v>
      </c>
    </row>
    <row r="634" spans="1:5">
      <c r="A634" s="14" t="s">
        <v>36</v>
      </c>
      <c r="B634" s="12">
        <v>1500</v>
      </c>
      <c r="C634" s="12" t="s">
        <v>26</v>
      </c>
      <c r="D634" s="12" t="s">
        <v>19</v>
      </c>
      <c r="E634" s="12">
        <v>-16026</v>
      </c>
    </row>
    <row r="635" spans="1:5">
      <c r="A635" s="15" t="s">
        <v>36</v>
      </c>
      <c r="B635" s="13">
        <v>2502</v>
      </c>
      <c r="C635" s="13" t="s">
        <v>7</v>
      </c>
      <c r="D635" s="13" t="s">
        <v>19</v>
      </c>
      <c r="E635" s="13">
        <v>-14248</v>
      </c>
    </row>
    <row r="636" spans="1:5">
      <c r="A636" s="14" t="s">
        <v>36</v>
      </c>
      <c r="B636" s="12">
        <v>2512</v>
      </c>
      <c r="C636" s="12" t="s">
        <v>16</v>
      </c>
      <c r="D636" s="12" t="s">
        <v>10</v>
      </c>
      <c r="E636" s="12">
        <v>-13238</v>
      </c>
    </row>
    <row r="637" spans="1:5">
      <c r="A637" s="15" t="s">
        <v>36</v>
      </c>
      <c r="B637" s="13">
        <v>2512</v>
      </c>
      <c r="C637" s="13" t="s">
        <v>16</v>
      </c>
      <c r="D637" s="13" t="s">
        <v>13</v>
      </c>
      <c r="E637" s="13">
        <v>-12465.25</v>
      </c>
    </row>
    <row r="638" spans="1:5">
      <c r="A638" s="14" t="s">
        <v>36</v>
      </c>
      <c r="B638" s="12">
        <v>2512</v>
      </c>
      <c r="C638" s="12" t="s">
        <v>16</v>
      </c>
      <c r="D638" s="12" t="s">
        <v>6</v>
      </c>
      <c r="E638" s="12">
        <v>-11801.5</v>
      </c>
    </row>
    <row r="639" spans="1:5">
      <c r="A639" s="15" t="s">
        <v>36</v>
      </c>
      <c r="B639" s="13">
        <v>2512</v>
      </c>
      <c r="C639" s="13" t="s">
        <v>16</v>
      </c>
      <c r="D639" s="13" t="s">
        <v>14</v>
      </c>
      <c r="E639" s="13">
        <v>-10737.5</v>
      </c>
    </row>
    <row r="640" spans="1:5">
      <c r="A640" s="14" t="s">
        <v>36</v>
      </c>
      <c r="B640" s="12">
        <v>2512</v>
      </c>
      <c r="C640" s="12" t="s">
        <v>16</v>
      </c>
      <c r="D640" s="12" t="s">
        <v>19</v>
      </c>
      <c r="E640" s="12">
        <v>-10073.5</v>
      </c>
    </row>
    <row r="641" spans="1:5">
      <c r="A641" s="15" t="s">
        <v>36</v>
      </c>
      <c r="B641" s="13">
        <v>2512</v>
      </c>
      <c r="C641" s="13" t="s">
        <v>16</v>
      </c>
      <c r="D641" s="13" t="s">
        <v>8</v>
      </c>
      <c r="E641" s="13">
        <v>-8735</v>
      </c>
    </row>
    <row r="642" spans="1:5">
      <c r="A642" s="14" t="s">
        <v>36</v>
      </c>
      <c r="B642" s="12">
        <v>2513</v>
      </c>
      <c r="C642" s="12" t="s">
        <v>17</v>
      </c>
      <c r="D642" s="12" t="s">
        <v>8</v>
      </c>
      <c r="E642" s="12">
        <v>-7451.5</v>
      </c>
    </row>
    <row r="643" spans="1:5">
      <c r="A643" s="15" t="s">
        <v>36</v>
      </c>
      <c r="B643" s="13">
        <v>2513</v>
      </c>
      <c r="C643" s="13" t="s">
        <v>17</v>
      </c>
      <c r="D643" s="13" t="s">
        <v>6</v>
      </c>
      <c r="E643" s="13">
        <v>-7255.25</v>
      </c>
    </row>
    <row r="644" spans="1:5">
      <c r="A644" s="14" t="s">
        <v>36</v>
      </c>
      <c r="B644" s="12">
        <v>2510</v>
      </c>
      <c r="C644" s="12" t="s">
        <v>24</v>
      </c>
      <c r="D644" s="12" t="s">
        <v>19</v>
      </c>
      <c r="E644" s="12">
        <v>-6654.25</v>
      </c>
    </row>
    <row r="645" spans="1:5">
      <c r="A645" s="15" t="s">
        <v>36</v>
      </c>
      <c r="B645" s="13">
        <v>2513</v>
      </c>
      <c r="C645" s="13" t="s">
        <v>17</v>
      </c>
      <c r="D645" s="13" t="s">
        <v>14</v>
      </c>
      <c r="E645" s="13">
        <v>-6498.5</v>
      </c>
    </row>
    <row r="646" spans="1:5">
      <c r="A646" s="14" t="s">
        <v>36</v>
      </c>
      <c r="B646" s="12">
        <v>2510</v>
      </c>
      <c r="C646" s="12" t="s">
        <v>24</v>
      </c>
      <c r="D646" s="12" t="s">
        <v>8</v>
      </c>
      <c r="E646" s="12">
        <v>-5689.5</v>
      </c>
    </row>
    <row r="647" spans="1:5">
      <c r="A647" s="15" t="s">
        <v>36</v>
      </c>
      <c r="B647" s="13">
        <v>2507</v>
      </c>
      <c r="C647" s="13" t="s">
        <v>11</v>
      </c>
      <c r="D647" s="13" t="s">
        <v>13</v>
      </c>
      <c r="E647" s="13">
        <v>-5560.75</v>
      </c>
    </row>
    <row r="648" spans="1:5">
      <c r="A648" s="14" t="s">
        <v>36</v>
      </c>
      <c r="B648" s="12">
        <v>2510</v>
      </c>
      <c r="C648" s="12" t="s">
        <v>24</v>
      </c>
      <c r="D648" s="12" t="s">
        <v>6</v>
      </c>
      <c r="E648" s="12">
        <v>-5388</v>
      </c>
    </row>
    <row r="649" spans="1:5">
      <c r="A649" s="15" t="s">
        <v>36</v>
      </c>
      <c r="B649" s="13">
        <v>2507</v>
      </c>
      <c r="C649" s="13" t="s">
        <v>11</v>
      </c>
      <c r="D649" s="13" t="s">
        <v>10</v>
      </c>
      <c r="E649" s="13">
        <v>-5306.5</v>
      </c>
    </row>
    <row r="650" spans="1:5">
      <c r="A650" s="14" t="s">
        <v>36</v>
      </c>
      <c r="B650" s="12">
        <v>2513</v>
      </c>
      <c r="C650" s="12" t="s">
        <v>17</v>
      </c>
      <c r="D650" s="12" t="s">
        <v>12</v>
      </c>
      <c r="E650" s="12">
        <v>-5222</v>
      </c>
    </row>
    <row r="651" spans="1:5">
      <c r="A651" s="15" t="s">
        <v>36</v>
      </c>
      <c r="B651" s="13">
        <v>2510</v>
      </c>
      <c r="C651" s="13" t="s">
        <v>24</v>
      </c>
      <c r="D651" s="13" t="s">
        <v>10</v>
      </c>
      <c r="E651" s="13">
        <v>-5180.25</v>
      </c>
    </row>
    <row r="652" spans="1:5">
      <c r="A652" s="14" t="s">
        <v>36</v>
      </c>
      <c r="B652" s="12">
        <v>2513</v>
      </c>
      <c r="C652" s="12" t="s">
        <v>17</v>
      </c>
      <c r="D652" s="12" t="s">
        <v>13</v>
      </c>
      <c r="E652" s="12">
        <v>-5014.5</v>
      </c>
    </row>
    <row r="653" spans="1:5">
      <c r="A653" s="15" t="s">
        <v>36</v>
      </c>
      <c r="B653" s="13">
        <v>2513</v>
      </c>
      <c r="C653" s="13" t="s">
        <v>17</v>
      </c>
      <c r="D653" s="13" t="s">
        <v>19</v>
      </c>
      <c r="E653" s="13">
        <v>-4957</v>
      </c>
    </row>
    <row r="654" spans="1:5">
      <c r="A654" s="14" t="s">
        <v>36</v>
      </c>
      <c r="B654" s="12">
        <v>2514</v>
      </c>
      <c r="C654" s="12" t="s">
        <v>20</v>
      </c>
      <c r="D654" s="12" t="s">
        <v>13</v>
      </c>
      <c r="E654" s="12">
        <v>-4928</v>
      </c>
    </row>
    <row r="655" spans="1:5">
      <c r="A655" s="15" t="s">
        <v>36</v>
      </c>
      <c r="B655" s="13">
        <v>2514</v>
      </c>
      <c r="C655" s="13" t="s">
        <v>20</v>
      </c>
      <c r="D655" s="13" t="s">
        <v>8</v>
      </c>
      <c r="E655" s="13">
        <v>-4730.75</v>
      </c>
    </row>
    <row r="656" spans="1:5">
      <c r="A656" s="14" t="s">
        <v>36</v>
      </c>
      <c r="B656" s="12">
        <v>2507</v>
      </c>
      <c r="C656" s="12" t="s">
        <v>11</v>
      </c>
      <c r="D656" s="12" t="s">
        <v>12</v>
      </c>
      <c r="E656" s="12">
        <v>-4644.75</v>
      </c>
    </row>
    <row r="657" spans="1:5">
      <c r="A657" s="15" t="s">
        <v>36</v>
      </c>
      <c r="B657" s="13">
        <v>2514</v>
      </c>
      <c r="C657" s="13" t="s">
        <v>20</v>
      </c>
      <c r="D657" s="13" t="s">
        <v>10</v>
      </c>
      <c r="E657" s="13">
        <v>-4569.5</v>
      </c>
    </row>
    <row r="658" spans="1:5">
      <c r="A658" s="14" t="s">
        <v>36</v>
      </c>
      <c r="B658" s="12">
        <v>2507</v>
      </c>
      <c r="C658" s="12" t="s">
        <v>11</v>
      </c>
      <c r="D658" s="12" t="s">
        <v>6</v>
      </c>
      <c r="E658" s="12">
        <v>-4519.25</v>
      </c>
    </row>
    <row r="659" spans="1:5">
      <c r="A659" s="15" t="s">
        <v>36</v>
      </c>
      <c r="B659" s="13">
        <v>2514</v>
      </c>
      <c r="C659" s="13" t="s">
        <v>20</v>
      </c>
      <c r="D659" s="13" t="s">
        <v>12</v>
      </c>
      <c r="E659" s="13">
        <v>-4514.5</v>
      </c>
    </row>
    <row r="660" spans="1:5">
      <c r="A660" s="14" t="s">
        <v>36</v>
      </c>
      <c r="B660" s="12">
        <v>2514</v>
      </c>
      <c r="C660" s="12" t="s">
        <v>20</v>
      </c>
      <c r="D660" s="12" t="s">
        <v>19</v>
      </c>
      <c r="E660" s="12">
        <v>-4449.5</v>
      </c>
    </row>
    <row r="661" spans="1:5">
      <c r="A661" s="15" t="s">
        <v>36</v>
      </c>
      <c r="B661" s="13">
        <v>2513</v>
      </c>
      <c r="C661" s="13" t="s">
        <v>17</v>
      </c>
      <c r="D661" s="13" t="s">
        <v>10</v>
      </c>
      <c r="E661" s="13">
        <v>-4343.5</v>
      </c>
    </row>
    <row r="662" spans="1:5">
      <c r="A662" s="14" t="s">
        <v>36</v>
      </c>
      <c r="B662" s="12">
        <v>2507</v>
      </c>
      <c r="C662" s="12" t="s">
        <v>11</v>
      </c>
      <c r="D662" s="12" t="s">
        <v>8</v>
      </c>
      <c r="E662" s="12">
        <v>-4262.5</v>
      </c>
    </row>
    <row r="663" spans="1:5">
      <c r="A663" s="15" t="s">
        <v>36</v>
      </c>
      <c r="B663" s="13">
        <v>2514</v>
      </c>
      <c r="C663" s="13" t="s">
        <v>20</v>
      </c>
      <c r="D663" s="13" t="s">
        <v>6</v>
      </c>
      <c r="E663" s="13">
        <v>-4259.5</v>
      </c>
    </row>
    <row r="664" spans="1:5">
      <c r="A664" s="14" t="s">
        <v>36</v>
      </c>
      <c r="B664" s="12">
        <v>2510</v>
      </c>
      <c r="C664" s="12" t="s">
        <v>24</v>
      </c>
      <c r="D664" s="12" t="s">
        <v>12</v>
      </c>
      <c r="E664" s="12">
        <v>-4189.5</v>
      </c>
    </row>
    <row r="665" spans="1:5">
      <c r="A665" s="15" t="s">
        <v>36</v>
      </c>
      <c r="B665" s="13">
        <v>2514</v>
      </c>
      <c r="C665" s="13" t="s">
        <v>20</v>
      </c>
      <c r="D665" s="13" t="s">
        <v>14</v>
      </c>
      <c r="E665" s="13">
        <v>-4133</v>
      </c>
    </row>
    <row r="666" spans="1:5">
      <c r="A666" s="14" t="s">
        <v>36</v>
      </c>
      <c r="B666" s="12">
        <v>2507</v>
      </c>
      <c r="C666" s="12" t="s">
        <v>11</v>
      </c>
      <c r="D666" s="12" t="s">
        <v>19</v>
      </c>
      <c r="E666" s="12">
        <v>-4116</v>
      </c>
    </row>
    <row r="667" spans="1:5">
      <c r="A667" s="15" t="s">
        <v>36</v>
      </c>
      <c r="B667" s="13">
        <v>2510</v>
      </c>
      <c r="C667" s="13" t="s">
        <v>24</v>
      </c>
      <c r="D667" s="13" t="s">
        <v>13</v>
      </c>
      <c r="E667" s="13">
        <v>-3963</v>
      </c>
    </row>
    <row r="668" spans="1:5">
      <c r="A668" s="14" t="s">
        <v>36</v>
      </c>
      <c r="B668" s="12">
        <v>2507</v>
      </c>
      <c r="C668" s="12" t="s">
        <v>11</v>
      </c>
      <c r="D668" s="12" t="s">
        <v>14</v>
      </c>
      <c r="E668" s="12">
        <v>-3624.5</v>
      </c>
    </row>
    <row r="669" spans="1:5">
      <c r="A669" s="15" t="s">
        <v>36</v>
      </c>
      <c r="B669" s="13">
        <v>2510</v>
      </c>
      <c r="C669" s="13" t="s">
        <v>24</v>
      </c>
      <c r="D669" s="13" t="s">
        <v>14</v>
      </c>
      <c r="E669" s="13">
        <v>-3462</v>
      </c>
    </row>
    <row r="670" spans="1:5">
      <c r="A670" s="14" t="s">
        <v>36</v>
      </c>
      <c r="B670" s="12">
        <v>2505</v>
      </c>
      <c r="C670" s="12" t="s">
        <v>9</v>
      </c>
      <c r="D670" s="12" t="s">
        <v>12</v>
      </c>
      <c r="E670" s="12">
        <v>-3050.25</v>
      </c>
    </row>
    <row r="671" spans="1:5">
      <c r="A671" s="15" t="s">
        <v>36</v>
      </c>
      <c r="B671" s="13">
        <v>2505</v>
      </c>
      <c r="C671" s="13" t="s">
        <v>9</v>
      </c>
      <c r="D671" s="13" t="s">
        <v>6</v>
      </c>
      <c r="E671" s="13">
        <v>-3050.25</v>
      </c>
    </row>
    <row r="672" spans="1:5">
      <c r="A672" s="14" t="s">
        <v>36</v>
      </c>
      <c r="B672" s="12">
        <v>2505</v>
      </c>
      <c r="C672" s="12" t="s">
        <v>9</v>
      </c>
      <c r="D672" s="12" t="s">
        <v>14</v>
      </c>
      <c r="E672" s="12">
        <v>-2997.5</v>
      </c>
    </row>
    <row r="673" spans="1:5">
      <c r="A673" s="15" t="s">
        <v>36</v>
      </c>
      <c r="B673" s="13">
        <v>2505</v>
      </c>
      <c r="C673" s="13" t="s">
        <v>9</v>
      </c>
      <c r="D673" s="13" t="s">
        <v>8</v>
      </c>
      <c r="E673" s="13">
        <v>-2943</v>
      </c>
    </row>
    <row r="674" spans="1:5">
      <c r="A674" s="14" t="s">
        <v>36</v>
      </c>
      <c r="B674" s="12">
        <v>2505</v>
      </c>
      <c r="C674" s="12" t="s">
        <v>9</v>
      </c>
      <c r="D674" s="12" t="s">
        <v>19</v>
      </c>
      <c r="E674" s="12">
        <v>-2434.75</v>
      </c>
    </row>
    <row r="675" spans="1:5">
      <c r="A675" s="15" t="s">
        <v>36</v>
      </c>
      <c r="B675" s="13">
        <v>2505</v>
      </c>
      <c r="C675" s="13" t="s">
        <v>9</v>
      </c>
      <c r="D675" s="13" t="s">
        <v>13</v>
      </c>
      <c r="E675" s="13">
        <v>-2299.5</v>
      </c>
    </row>
    <row r="676" spans="1:5">
      <c r="A676" s="14" t="s">
        <v>36</v>
      </c>
      <c r="B676" s="12">
        <v>2505</v>
      </c>
      <c r="C676" s="12" t="s">
        <v>9</v>
      </c>
      <c r="D676" s="12" t="s">
        <v>10</v>
      </c>
      <c r="E676" s="12">
        <v>-2274.5</v>
      </c>
    </row>
    <row r="677" spans="1:5">
      <c r="A677" s="15" t="s">
        <v>36</v>
      </c>
      <c r="B677" s="13">
        <v>2506</v>
      </c>
      <c r="C677" s="13" t="s">
        <v>27</v>
      </c>
      <c r="D677" s="13" t="s">
        <v>8</v>
      </c>
      <c r="E677" s="13">
        <v>-2068.5</v>
      </c>
    </row>
    <row r="678" spans="1:5">
      <c r="A678" s="14" t="s">
        <v>36</v>
      </c>
      <c r="B678" s="12">
        <v>2504</v>
      </c>
      <c r="C678" s="12" t="s">
        <v>21</v>
      </c>
      <c r="D678" s="12" t="s">
        <v>19</v>
      </c>
      <c r="E678" s="12">
        <v>-1920.75</v>
      </c>
    </row>
    <row r="679" spans="1:5">
      <c r="A679" s="15" t="s">
        <v>36</v>
      </c>
      <c r="B679" s="13">
        <v>2506</v>
      </c>
      <c r="C679" s="13" t="s">
        <v>27</v>
      </c>
      <c r="D679" s="13" t="s">
        <v>14</v>
      </c>
      <c r="E679" s="13">
        <v>-1891</v>
      </c>
    </row>
    <row r="680" spans="1:5">
      <c r="A680" s="14" t="s">
        <v>36</v>
      </c>
      <c r="B680" s="12">
        <v>2503</v>
      </c>
      <c r="C680" s="12" t="s">
        <v>22</v>
      </c>
      <c r="D680" s="12" t="s">
        <v>14</v>
      </c>
      <c r="E680" s="12">
        <v>-1635</v>
      </c>
    </row>
    <row r="681" spans="1:5">
      <c r="A681" s="15" t="s">
        <v>36</v>
      </c>
      <c r="B681" s="13">
        <v>2503</v>
      </c>
      <c r="C681" s="13" t="s">
        <v>22</v>
      </c>
      <c r="D681" s="13" t="s">
        <v>12</v>
      </c>
      <c r="E681" s="13">
        <v>-1315.75</v>
      </c>
    </row>
    <row r="682" spans="1:5">
      <c r="A682" s="14" t="s">
        <v>36</v>
      </c>
      <c r="B682" s="12">
        <v>2503</v>
      </c>
      <c r="C682" s="12" t="s">
        <v>22</v>
      </c>
      <c r="D682" s="12" t="s">
        <v>19</v>
      </c>
      <c r="E682" s="12">
        <v>-1293.75</v>
      </c>
    </row>
    <row r="683" spans="1:5">
      <c r="A683" s="15" t="s">
        <v>36</v>
      </c>
      <c r="B683" s="13">
        <v>2503</v>
      </c>
      <c r="C683" s="13" t="s">
        <v>22</v>
      </c>
      <c r="D683" s="13" t="s">
        <v>8</v>
      </c>
      <c r="E683" s="13">
        <v>-1222.25</v>
      </c>
    </row>
    <row r="684" spans="1:5">
      <c r="A684" s="14" t="s">
        <v>36</v>
      </c>
      <c r="B684" s="12">
        <v>2503</v>
      </c>
      <c r="C684" s="12" t="s">
        <v>22</v>
      </c>
      <c r="D684" s="12" t="s">
        <v>13</v>
      </c>
      <c r="E684" s="12">
        <v>-1103.25</v>
      </c>
    </row>
    <row r="685" spans="1:5">
      <c r="A685" s="15" t="s">
        <v>36</v>
      </c>
      <c r="B685" s="13">
        <v>2503</v>
      </c>
      <c r="C685" s="13" t="s">
        <v>22</v>
      </c>
      <c r="D685" s="13" t="s">
        <v>10</v>
      </c>
      <c r="E685" s="13">
        <v>-1092.75</v>
      </c>
    </row>
    <row r="686" spans="1:5">
      <c r="A686" s="14" t="s">
        <v>36</v>
      </c>
      <c r="B686" s="12">
        <v>2503</v>
      </c>
      <c r="C686" s="12" t="s">
        <v>22</v>
      </c>
      <c r="D686" s="12" t="s">
        <v>6</v>
      </c>
      <c r="E686" s="12">
        <v>-1057.5</v>
      </c>
    </row>
    <row r="687" spans="1:5">
      <c r="A687" s="15" t="s">
        <v>36</v>
      </c>
      <c r="B687" s="13">
        <v>2501</v>
      </c>
      <c r="C687" s="13" t="s">
        <v>5</v>
      </c>
      <c r="D687" s="13" t="s">
        <v>19</v>
      </c>
      <c r="E687" s="13">
        <v>-668.75</v>
      </c>
    </row>
    <row r="688" spans="1:5">
      <c r="A688" s="14" t="s">
        <v>36</v>
      </c>
      <c r="B688" s="12">
        <v>2501</v>
      </c>
      <c r="C688" s="12" t="s">
        <v>5</v>
      </c>
      <c r="D688" s="12" t="s">
        <v>6</v>
      </c>
      <c r="E688" s="12">
        <v>-569.75</v>
      </c>
    </row>
    <row r="689" spans="1:5">
      <c r="A689" s="15" t="s">
        <v>36</v>
      </c>
      <c r="B689" s="13">
        <v>2501</v>
      </c>
      <c r="C689" s="13" t="s">
        <v>5</v>
      </c>
      <c r="D689" s="13" t="s">
        <v>13</v>
      </c>
      <c r="E689" s="13">
        <v>-553.25</v>
      </c>
    </row>
    <row r="690" spans="1:5">
      <c r="A690" s="14" t="s">
        <v>36</v>
      </c>
      <c r="B690" s="12">
        <v>2501</v>
      </c>
      <c r="C690" s="12" t="s">
        <v>5</v>
      </c>
      <c r="D690" s="12" t="s">
        <v>12</v>
      </c>
      <c r="E690" s="12">
        <v>-539.5</v>
      </c>
    </row>
    <row r="691" spans="1:5">
      <c r="A691" s="15" t="s">
        <v>36</v>
      </c>
      <c r="B691" s="13">
        <v>2501</v>
      </c>
      <c r="C691" s="13" t="s">
        <v>5</v>
      </c>
      <c r="D691" s="13" t="s">
        <v>10</v>
      </c>
      <c r="E691" s="13">
        <v>-531</v>
      </c>
    </row>
    <row r="692" spans="1:5">
      <c r="A692" s="14" t="s">
        <v>36</v>
      </c>
      <c r="B692" s="12">
        <v>2501</v>
      </c>
      <c r="C692" s="12" t="s">
        <v>5</v>
      </c>
      <c r="D692" s="12" t="s">
        <v>14</v>
      </c>
      <c r="E692" s="12">
        <v>-504.5</v>
      </c>
    </row>
    <row r="693" spans="1:5">
      <c r="A693" s="15" t="s">
        <v>36</v>
      </c>
      <c r="B693" s="13">
        <v>2501</v>
      </c>
      <c r="C693" s="13" t="s">
        <v>5</v>
      </c>
      <c r="D693" s="13" t="s">
        <v>8</v>
      </c>
      <c r="E693" s="13">
        <v>-463.75</v>
      </c>
    </row>
    <row r="694" spans="1:5">
      <c r="A694" s="14" t="s">
        <v>36</v>
      </c>
      <c r="B694" s="12">
        <v>1000</v>
      </c>
      <c r="C694" s="12" t="s">
        <v>23</v>
      </c>
      <c r="D694" s="12" t="s">
        <v>19</v>
      </c>
      <c r="E694" s="12">
        <v>9118441</v>
      </c>
    </row>
    <row r="695" spans="1:5">
      <c r="A695" s="15" t="s">
        <v>37</v>
      </c>
      <c r="B695" s="13">
        <v>2508</v>
      </c>
      <c r="C695" s="13" t="s">
        <v>15</v>
      </c>
      <c r="D695" s="13" t="s">
        <v>13</v>
      </c>
      <c r="E695" s="13">
        <v>-268894</v>
      </c>
    </row>
    <row r="696" spans="1:5">
      <c r="A696" s="14" t="s">
        <v>37</v>
      </c>
      <c r="B696" s="12">
        <v>2508</v>
      </c>
      <c r="C696" s="12" t="s">
        <v>15</v>
      </c>
      <c r="D696" s="12" t="s">
        <v>10</v>
      </c>
      <c r="E696" s="12">
        <v>-260505.5</v>
      </c>
    </row>
    <row r="697" spans="1:5">
      <c r="A697" s="15" t="s">
        <v>37</v>
      </c>
      <c r="B697" s="13">
        <v>2508</v>
      </c>
      <c r="C697" s="13" t="s">
        <v>15</v>
      </c>
      <c r="D697" s="13" t="s">
        <v>12</v>
      </c>
      <c r="E697" s="13">
        <v>-245110.75</v>
      </c>
    </row>
    <row r="698" spans="1:5">
      <c r="A698" s="14" t="s">
        <v>37</v>
      </c>
      <c r="B698" s="12">
        <v>2508</v>
      </c>
      <c r="C698" s="12" t="s">
        <v>15</v>
      </c>
      <c r="D698" s="12" t="s">
        <v>19</v>
      </c>
      <c r="E698" s="12">
        <v>-244847.75</v>
      </c>
    </row>
    <row r="699" spans="1:5">
      <c r="A699" s="15" t="s">
        <v>37</v>
      </c>
      <c r="B699" s="13">
        <v>2508</v>
      </c>
      <c r="C699" s="13" t="s">
        <v>15</v>
      </c>
      <c r="D699" s="13" t="s">
        <v>14</v>
      </c>
      <c r="E699" s="13">
        <v>-242633.5</v>
      </c>
    </row>
    <row r="700" spans="1:5">
      <c r="A700" s="14" t="s">
        <v>37</v>
      </c>
      <c r="B700" s="12">
        <v>2508</v>
      </c>
      <c r="C700" s="12" t="s">
        <v>15</v>
      </c>
      <c r="D700" s="12" t="s">
        <v>8</v>
      </c>
      <c r="E700" s="12">
        <v>-218677.25</v>
      </c>
    </row>
    <row r="701" spans="1:5">
      <c r="A701" s="15" t="s">
        <v>37</v>
      </c>
      <c r="B701" s="13">
        <v>2000</v>
      </c>
      <c r="C701" s="13" t="s">
        <v>18</v>
      </c>
      <c r="D701" s="13" t="s">
        <v>19</v>
      </c>
      <c r="E701" s="13">
        <v>-196676.25</v>
      </c>
    </row>
    <row r="702" spans="1:5">
      <c r="A702" s="14" t="s">
        <v>37</v>
      </c>
      <c r="B702" s="12">
        <v>2508</v>
      </c>
      <c r="C702" s="12" t="s">
        <v>15</v>
      </c>
      <c r="D702" s="12" t="s">
        <v>6</v>
      </c>
      <c r="E702" s="12">
        <v>-195567.25</v>
      </c>
    </row>
    <row r="703" spans="1:5">
      <c r="A703" s="15" t="s">
        <v>37</v>
      </c>
      <c r="B703" s="13">
        <v>2500</v>
      </c>
      <c r="C703" s="13" t="s">
        <v>25</v>
      </c>
      <c r="D703" s="13" t="s">
        <v>19</v>
      </c>
      <c r="E703" s="13">
        <v>-35856.5</v>
      </c>
    </row>
    <row r="704" spans="1:5">
      <c r="A704" s="14" t="s">
        <v>37</v>
      </c>
      <c r="B704" s="12">
        <v>2502</v>
      </c>
      <c r="C704" s="12" t="s">
        <v>7</v>
      </c>
      <c r="D704" s="12" t="s">
        <v>19</v>
      </c>
      <c r="E704" s="12">
        <v>-20934.75</v>
      </c>
    </row>
    <row r="705" spans="1:5">
      <c r="A705" s="15" t="s">
        <v>37</v>
      </c>
      <c r="B705" s="13">
        <v>2502</v>
      </c>
      <c r="C705" s="13" t="s">
        <v>7</v>
      </c>
      <c r="D705" s="13" t="s">
        <v>10</v>
      </c>
      <c r="E705" s="13">
        <v>-19733.75</v>
      </c>
    </row>
    <row r="706" spans="1:5">
      <c r="A706" s="14" t="s">
        <v>37</v>
      </c>
      <c r="B706" s="12">
        <v>2512</v>
      </c>
      <c r="C706" s="12" t="s">
        <v>16</v>
      </c>
      <c r="D706" s="12" t="s">
        <v>19</v>
      </c>
      <c r="E706" s="12">
        <v>-18850.25</v>
      </c>
    </row>
    <row r="707" spans="1:5">
      <c r="A707" s="15" t="s">
        <v>37</v>
      </c>
      <c r="B707" s="13">
        <v>2502</v>
      </c>
      <c r="C707" s="13" t="s">
        <v>7</v>
      </c>
      <c r="D707" s="13" t="s">
        <v>8</v>
      </c>
      <c r="E707" s="13">
        <v>-18028</v>
      </c>
    </row>
    <row r="708" spans="1:5">
      <c r="A708" s="14" t="s">
        <v>37</v>
      </c>
      <c r="B708" s="12">
        <v>2502</v>
      </c>
      <c r="C708" s="12" t="s">
        <v>7</v>
      </c>
      <c r="D708" s="12" t="s">
        <v>12</v>
      </c>
      <c r="E708" s="12">
        <v>-17215.75</v>
      </c>
    </row>
    <row r="709" spans="1:5">
      <c r="A709" s="15" t="s">
        <v>37</v>
      </c>
      <c r="B709" s="13">
        <v>2502</v>
      </c>
      <c r="C709" s="13" t="s">
        <v>7</v>
      </c>
      <c r="D709" s="13" t="s">
        <v>6</v>
      </c>
      <c r="E709" s="13">
        <v>-16698</v>
      </c>
    </row>
    <row r="710" spans="1:5">
      <c r="A710" s="14" t="s">
        <v>37</v>
      </c>
      <c r="B710" s="12">
        <v>2502</v>
      </c>
      <c r="C710" s="12" t="s">
        <v>7</v>
      </c>
      <c r="D710" s="12" t="s">
        <v>14</v>
      </c>
      <c r="E710" s="12">
        <v>-15595.25</v>
      </c>
    </row>
    <row r="711" spans="1:5">
      <c r="A711" s="15" t="s">
        <v>37</v>
      </c>
      <c r="B711" s="13">
        <v>2502</v>
      </c>
      <c r="C711" s="13" t="s">
        <v>7</v>
      </c>
      <c r="D711" s="13" t="s">
        <v>13</v>
      </c>
      <c r="E711" s="13">
        <v>-15468.25</v>
      </c>
    </row>
    <row r="712" spans="1:5">
      <c r="A712" s="14" t="s">
        <v>37</v>
      </c>
      <c r="B712" s="12">
        <v>2512</v>
      </c>
      <c r="C712" s="12" t="s">
        <v>16</v>
      </c>
      <c r="D712" s="12" t="s">
        <v>13</v>
      </c>
      <c r="E712" s="12">
        <v>-14810.75</v>
      </c>
    </row>
    <row r="713" spans="1:5">
      <c r="A713" s="15" t="s">
        <v>37</v>
      </c>
      <c r="B713" s="13">
        <v>2512</v>
      </c>
      <c r="C713" s="13" t="s">
        <v>16</v>
      </c>
      <c r="D713" s="13" t="s">
        <v>10</v>
      </c>
      <c r="E713" s="13">
        <v>-14417.5</v>
      </c>
    </row>
    <row r="714" spans="1:5">
      <c r="A714" s="14" t="s">
        <v>37</v>
      </c>
      <c r="B714" s="12">
        <v>2512</v>
      </c>
      <c r="C714" s="12" t="s">
        <v>16</v>
      </c>
      <c r="D714" s="12" t="s">
        <v>12</v>
      </c>
      <c r="E714" s="12">
        <v>-13309</v>
      </c>
    </row>
    <row r="715" spans="1:5">
      <c r="A715" s="15" t="s">
        <v>37</v>
      </c>
      <c r="B715" s="13">
        <v>2512</v>
      </c>
      <c r="C715" s="13" t="s">
        <v>16</v>
      </c>
      <c r="D715" s="13" t="s">
        <v>8</v>
      </c>
      <c r="E715" s="13">
        <v>-13035.5</v>
      </c>
    </row>
    <row r="716" spans="1:5">
      <c r="A716" s="14" t="s">
        <v>37</v>
      </c>
      <c r="B716" s="12">
        <v>2512</v>
      </c>
      <c r="C716" s="12" t="s">
        <v>16</v>
      </c>
      <c r="D716" s="12" t="s">
        <v>14</v>
      </c>
      <c r="E716" s="12">
        <v>-12835.5</v>
      </c>
    </row>
    <row r="717" spans="1:5">
      <c r="A717" s="15" t="s">
        <v>37</v>
      </c>
      <c r="B717" s="13">
        <v>2512</v>
      </c>
      <c r="C717" s="13" t="s">
        <v>16</v>
      </c>
      <c r="D717" s="13" t="s">
        <v>6</v>
      </c>
      <c r="E717" s="13">
        <v>-12608.5</v>
      </c>
    </row>
    <row r="718" spans="1:5">
      <c r="A718" s="14" t="s">
        <v>37</v>
      </c>
      <c r="B718" s="12">
        <v>2513</v>
      </c>
      <c r="C718" s="12" t="s">
        <v>17</v>
      </c>
      <c r="D718" s="12" t="s">
        <v>10</v>
      </c>
      <c r="E718" s="12">
        <v>-8256</v>
      </c>
    </row>
    <row r="719" spans="1:5">
      <c r="A719" s="15" t="s">
        <v>37</v>
      </c>
      <c r="B719" s="13">
        <v>2513</v>
      </c>
      <c r="C719" s="13" t="s">
        <v>17</v>
      </c>
      <c r="D719" s="13" t="s">
        <v>12</v>
      </c>
      <c r="E719" s="13">
        <v>-8125</v>
      </c>
    </row>
    <row r="720" spans="1:5">
      <c r="A720" s="14" t="s">
        <v>37</v>
      </c>
      <c r="B720" s="12">
        <v>2510</v>
      </c>
      <c r="C720" s="12" t="s">
        <v>24</v>
      </c>
      <c r="D720" s="12" t="s">
        <v>10</v>
      </c>
      <c r="E720" s="12">
        <v>-7230.25</v>
      </c>
    </row>
    <row r="721" spans="1:5">
      <c r="A721" s="15" t="s">
        <v>37</v>
      </c>
      <c r="B721" s="13">
        <v>2513</v>
      </c>
      <c r="C721" s="13" t="s">
        <v>17</v>
      </c>
      <c r="D721" s="13" t="s">
        <v>6</v>
      </c>
      <c r="E721" s="13">
        <v>-7155</v>
      </c>
    </row>
    <row r="722" spans="1:5">
      <c r="A722" s="14" t="s">
        <v>37</v>
      </c>
      <c r="B722" s="12">
        <v>2510</v>
      </c>
      <c r="C722" s="12" t="s">
        <v>24</v>
      </c>
      <c r="D722" s="12" t="s">
        <v>6</v>
      </c>
      <c r="E722" s="12">
        <v>-6753</v>
      </c>
    </row>
    <row r="723" spans="1:5">
      <c r="A723" s="15" t="s">
        <v>37</v>
      </c>
      <c r="B723" s="13">
        <v>2510</v>
      </c>
      <c r="C723" s="13" t="s">
        <v>24</v>
      </c>
      <c r="D723" s="13" t="s">
        <v>14</v>
      </c>
      <c r="E723" s="13">
        <v>-6570.5</v>
      </c>
    </row>
    <row r="724" spans="1:5">
      <c r="A724" s="14" t="s">
        <v>37</v>
      </c>
      <c r="B724" s="12">
        <v>2513</v>
      </c>
      <c r="C724" s="12" t="s">
        <v>17</v>
      </c>
      <c r="D724" s="12" t="s">
        <v>19</v>
      </c>
      <c r="E724" s="12">
        <v>-6399.5</v>
      </c>
    </row>
    <row r="725" spans="1:5">
      <c r="A725" s="15" t="s">
        <v>37</v>
      </c>
      <c r="B725" s="13">
        <v>2513</v>
      </c>
      <c r="C725" s="13" t="s">
        <v>17</v>
      </c>
      <c r="D725" s="13" t="s">
        <v>14</v>
      </c>
      <c r="E725" s="13">
        <v>-6094.5</v>
      </c>
    </row>
    <row r="726" spans="1:5">
      <c r="A726" s="14" t="s">
        <v>37</v>
      </c>
      <c r="B726" s="12">
        <v>2513</v>
      </c>
      <c r="C726" s="12" t="s">
        <v>17</v>
      </c>
      <c r="D726" s="12" t="s">
        <v>8</v>
      </c>
      <c r="E726" s="12">
        <v>-6065</v>
      </c>
    </row>
    <row r="727" spans="1:5">
      <c r="A727" s="15" t="s">
        <v>37</v>
      </c>
      <c r="B727" s="13">
        <v>2510</v>
      </c>
      <c r="C727" s="13" t="s">
        <v>24</v>
      </c>
      <c r="D727" s="13" t="s">
        <v>19</v>
      </c>
      <c r="E727" s="13">
        <v>-5968.25</v>
      </c>
    </row>
    <row r="728" spans="1:5">
      <c r="A728" s="14" t="s">
        <v>37</v>
      </c>
      <c r="B728" s="12">
        <v>2507</v>
      </c>
      <c r="C728" s="12" t="s">
        <v>11</v>
      </c>
      <c r="D728" s="12" t="s">
        <v>8</v>
      </c>
      <c r="E728" s="12">
        <v>-5938.75</v>
      </c>
    </row>
    <row r="729" spans="1:5">
      <c r="A729" s="15" t="s">
        <v>37</v>
      </c>
      <c r="B729" s="13">
        <v>2514</v>
      </c>
      <c r="C729" s="13" t="s">
        <v>20</v>
      </c>
      <c r="D729" s="13" t="s">
        <v>8</v>
      </c>
      <c r="E729" s="13">
        <v>-5806</v>
      </c>
    </row>
    <row r="730" spans="1:5">
      <c r="A730" s="14" t="s">
        <v>37</v>
      </c>
      <c r="B730" s="12">
        <v>2507</v>
      </c>
      <c r="C730" s="12" t="s">
        <v>11</v>
      </c>
      <c r="D730" s="12" t="s">
        <v>12</v>
      </c>
      <c r="E730" s="12">
        <v>-5668.75</v>
      </c>
    </row>
    <row r="731" spans="1:5">
      <c r="A731" s="15" t="s">
        <v>37</v>
      </c>
      <c r="B731" s="13">
        <v>2510</v>
      </c>
      <c r="C731" s="13" t="s">
        <v>24</v>
      </c>
      <c r="D731" s="13" t="s">
        <v>13</v>
      </c>
      <c r="E731" s="13">
        <v>-5620.5</v>
      </c>
    </row>
    <row r="732" spans="1:5">
      <c r="A732" s="14" t="s">
        <v>37</v>
      </c>
      <c r="B732" s="12">
        <v>2514</v>
      </c>
      <c r="C732" s="12" t="s">
        <v>20</v>
      </c>
      <c r="D732" s="12" t="s">
        <v>10</v>
      </c>
      <c r="E732" s="12">
        <v>-5421</v>
      </c>
    </row>
    <row r="733" spans="1:5">
      <c r="A733" s="15" t="s">
        <v>37</v>
      </c>
      <c r="B733" s="13">
        <v>2510</v>
      </c>
      <c r="C733" s="13" t="s">
        <v>24</v>
      </c>
      <c r="D733" s="13" t="s">
        <v>12</v>
      </c>
      <c r="E733" s="13">
        <v>-5357</v>
      </c>
    </row>
    <row r="734" spans="1:5">
      <c r="A734" s="14" t="s">
        <v>37</v>
      </c>
      <c r="B734" s="12">
        <v>2514</v>
      </c>
      <c r="C734" s="12" t="s">
        <v>20</v>
      </c>
      <c r="D734" s="12" t="s">
        <v>19</v>
      </c>
      <c r="E734" s="12">
        <v>-5220</v>
      </c>
    </row>
    <row r="735" spans="1:5">
      <c r="A735" s="15" t="s">
        <v>37</v>
      </c>
      <c r="B735" s="13">
        <v>2510</v>
      </c>
      <c r="C735" s="13" t="s">
        <v>24</v>
      </c>
      <c r="D735" s="13" t="s">
        <v>8</v>
      </c>
      <c r="E735" s="13">
        <v>-4964.25</v>
      </c>
    </row>
    <row r="736" spans="1:5">
      <c r="A736" s="14" t="s">
        <v>37</v>
      </c>
      <c r="B736" s="12">
        <v>2514</v>
      </c>
      <c r="C736" s="12" t="s">
        <v>20</v>
      </c>
      <c r="D736" s="12" t="s">
        <v>12</v>
      </c>
      <c r="E736" s="12">
        <v>-4928</v>
      </c>
    </row>
    <row r="737" spans="1:5">
      <c r="A737" s="15" t="s">
        <v>37</v>
      </c>
      <c r="B737" s="13">
        <v>2514</v>
      </c>
      <c r="C737" s="13" t="s">
        <v>20</v>
      </c>
      <c r="D737" s="13" t="s">
        <v>14</v>
      </c>
      <c r="E737" s="13">
        <v>-4838.25</v>
      </c>
    </row>
    <row r="738" spans="1:5">
      <c r="A738" s="14" t="s">
        <v>37</v>
      </c>
      <c r="B738" s="12">
        <v>2513</v>
      </c>
      <c r="C738" s="12" t="s">
        <v>17</v>
      </c>
      <c r="D738" s="12" t="s">
        <v>13</v>
      </c>
      <c r="E738" s="12">
        <v>-4687.75</v>
      </c>
    </row>
    <row r="739" spans="1:5">
      <c r="A739" s="15" t="s">
        <v>37</v>
      </c>
      <c r="B739" s="13">
        <v>2507</v>
      </c>
      <c r="C739" s="13" t="s">
        <v>11</v>
      </c>
      <c r="D739" s="13" t="s">
        <v>6</v>
      </c>
      <c r="E739" s="13">
        <v>-4547.25</v>
      </c>
    </row>
    <row r="740" spans="1:5">
      <c r="A740" s="14" t="s">
        <v>37</v>
      </c>
      <c r="B740" s="12">
        <v>2514</v>
      </c>
      <c r="C740" s="12" t="s">
        <v>20</v>
      </c>
      <c r="D740" s="12" t="s">
        <v>6</v>
      </c>
      <c r="E740" s="12">
        <v>-4404.5</v>
      </c>
    </row>
    <row r="741" spans="1:5">
      <c r="A741" s="15" t="s">
        <v>37</v>
      </c>
      <c r="B741" s="13">
        <v>2514</v>
      </c>
      <c r="C741" s="13" t="s">
        <v>20</v>
      </c>
      <c r="D741" s="13" t="s">
        <v>13</v>
      </c>
      <c r="E741" s="13">
        <v>-4383.25</v>
      </c>
    </row>
    <row r="742" spans="1:5">
      <c r="A742" s="14" t="s">
        <v>37</v>
      </c>
      <c r="B742" s="12">
        <v>2507</v>
      </c>
      <c r="C742" s="12" t="s">
        <v>11</v>
      </c>
      <c r="D742" s="12" t="s">
        <v>14</v>
      </c>
      <c r="E742" s="12">
        <v>-4168.75</v>
      </c>
    </row>
    <row r="743" spans="1:5">
      <c r="A743" s="15" t="s">
        <v>37</v>
      </c>
      <c r="B743" s="13">
        <v>2507</v>
      </c>
      <c r="C743" s="13" t="s">
        <v>11</v>
      </c>
      <c r="D743" s="13" t="s">
        <v>19</v>
      </c>
      <c r="E743" s="13">
        <v>-4155</v>
      </c>
    </row>
    <row r="744" spans="1:5">
      <c r="A744" s="14" t="s">
        <v>37</v>
      </c>
      <c r="B744" s="12">
        <v>2507</v>
      </c>
      <c r="C744" s="12" t="s">
        <v>11</v>
      </c>
      <c r="D744" s="12" t="s">
        <v>10</v>
      </c>
      <c r="E744" s="12">
        <v>-4116.25</v>
      </c>
    </row>
    <row r="745" spans="1:5">
      <c r="A745" s="15" t="s">
        <v>37</v>
      </c>
      <c r="B745" s="13">
        <v>2507</v>
      </c>
      <c r="C745" s="13" t="s">
        <v>11</v>
      </c>
      <c r="D745" s="13" t="s">
        <v>13</v>
      </c>
      <c r="E745" s="13">
        <v>-4074</v>
      </c>
    </row>
    <row r="746" spans="1:5">
      <c r="A746" s="14" t="s">
        <v>37</v>
      </c>
      <c r="B746" s="12">
        <v>2506</v>
      </c>
      <c r="C746" s="12" t="s">
        <v>27</v>
      </c>
      <c r="D746" s="12" t="s">
        <v>8</v>
      </c>
      <c r="E746" s="12">
        <v>-2873.5</v>
      </c>
    </row>
    <row r="747" spans="1:5">
      <c r="A747" s="15" t="s">
        <v>37</v>
      </c>
      <c r="B747" s="13">
        <v>2505</v>
      </c>
      <c r="C747" s="13" t="s">
        <v>9</v>
      </c>
      <c r="D747" s="13" t="s">
        <v>10</v>
      </c>
      <c r="E747" s="13">
        <v>-2782.75</v>
      </c>
    </row>
    <row r="748" spans="1:5">
      <c r="A748" s="14" t="s">
        <v>37</v>
      </c>
      <c r="B748" s="12">
        <v>2505</v>
      </c>
      <c r="C748" s="12" t="s">
        <v>9</v>
      </c>
      <c r="D748" s="12" t="s">
        <v>8</v>
      </c>
      <c r="E748" s="12">
        <v>-2695.75</v>
      </c>
    </row>
    <row r="749" spans="1:5">
      <c r="A749" s="15" t="s">
        <v>37</v>
      </c>
      <c r="B749" s="13">
        <v>2505</v>
      </c>
      <c r="C749" s="13" t="s">
        <v>9</v>
      </c>
      <c r="D749" s="13" t="s">
        <v>6</v>
      </c>
      <c r="E749" s="13">
        <v>-2479.75</v>
      </c>
    </row>
    <row r="750" spans="1:5">
      <c r="A750" s="14" t="s">
        <v>37</v>
      </c>
      <c r="B750" s="12">
        <v>2505</v>
      </c>
      <c r="C750" s="12" t="s">
        <v>9</v>
      </c>
      <c r="D750" s="12" t="s">
        <v>14</v>
      </c>
      <c r="E750" s="12">
        <v>-2356.25</v>
      </c>
    </row>
    <row r="751" spans="1:5">
      <c r="A751" s="15" t="s">
        <v>37</v>
      </c>
      <c r="B751" s="13">
        <v>2505</v>
      </c>
      <c r="C751" s="13" t="s">
        <v>9</v>
      </c>
      <c r="D751" s="13" t="s">
        <v>13</v>
      </c>
      <c r="E751" s="13">
        <v>-2314.25</v>
      </c>
    </row>
    <row r="752" spans="1:5">
      <c r="A752" s="14" t="s">
        <v>37</v>
      </c>
      <c r="B752" s="12">
        <v>2505</v>
      </c>
      <c r="C752" s="12" t="s">
        <v>9</v>
      </c>
      <c r="D752" s="12" t="s">
        <v>19</v>
      </c>
      <c r="E752" s="12">
        <v>-2126.5</v>
      </c>
    </row>
    <row r="753" spans="1:5">
      <c r="A753" s="15" t="s">
        <v>37</v>
      </c>
      <c r="B753" s="13">
        <v>2505</v>
      </c>
      <c r="C753" s="13" t="s">
        <v>9</v>
      </c>
      <c r="D753" s="13" t="s">
        <v>12</v>
      </c>
      <c r="E753" s="13">
        <v>-1985.25</v>
      </c>
    </row>
    <row r="754" spans="1:5">
      <c r="A754" s="14" t="s">
        <v>37</v>
      </c>
      <c r="B754" s="12">
        <v>2506</v>
      </c>
      <c r="C754" s="12" t="s">
        <v>27</v>
      </c>
      <c r="D754" s="12" t="s">
        <v>14</v>
      </c>
      <c r="E754" s="12">
        <v>-1904</v>
      </c>
    </row>
    <row r="755" spans="1:5">
      <c r="A755" s="15" t="s">
        <v>37</v>
      </c>
      <c r="B755" s="13">
        <v>2504</v>
      </c>
      <c r="C755" s="13" t="s">
        <v>21</v>
      </c>
      <c r="D755" s="13" t="s">
        <v>19</v>
      </c>
      <c r="E755" s="13">
        <v>-1468.75</v>
      </c>
    </row>
    <row r="756" spans="1:5">
      <c r="A756" s="14" t="s">
        <v>37</v>
      </c>
      <c r="B756" s="12">
        <v>2503</v>
      </c>
      <c r="C756" s="12" t="s">
        <v>22</v>
      </c>
      <c r="D756" s="12" t="s">
        <v>6</v>
      </c>
      <c r="E756" s="12">
        <v>-1355</v>
      </c>
    </row>
    <row r="757" spans="1:5">
      <c r="A757" s="15" t="s">
        <v>37</v>
      </c>
      <c r="B757" s="13">
        <v>2503</v>
      </c>
      <c r="C757" s="13" t="s">
        <v>22</v>
      </c>
      <c r="D757" s="13" t="s">
        <v>8</v>
      </c>
      <c r="E757" s="13">
        <v>-1345</v>
      </c>
    </row>
    <row r="758" spans="1:5">
      <c r="A758" s="14" t="s">
        <v>37</v>
      </c>
      <c r="B758" s="12">
        <v>2503</v>
      </c>
      <c r="C758" s="12" t="s">
        <v>22</v>
      </c>
      <c r="D758" s="12" t="s">
        <v>19</v>
      </c>
      <c r="E758" s="12">
        <v>-1306.5</v>
      </c>
    </row>
    <row r="759" spans="1:5">
      <c r="A759" s="15" t="s">
        <v>37</v>
      </c>
      <c r="B759" s="13">
        <v>2503</v>
      </c>
      <c r="C759" s="13" t="s">
        <v>22</v>
      </c>
      <c r="D759" s="13" t="s">
        <v>12</v>
      </c>
      <c r="E759" s="13">
        <v>-1233.25</v>
      </c>
    </row>
    <row r="760" spans="1:5">
      <c r="A760" s="14" t="s">
        <v>37</v>
      </c>
      <c r="B760" s="12">
        <v>2503</v>
      </c>
      <c r="C760" s="12" t="s">
        <v>22</v>
      </c>
      <c r="D760" s="12" t="s">
        <v>13</v>
      </c>
      <c r="E760" s="12">
        <v>-1048.75</v>
      </c>
    </row>
    <row r="761" spans="1:5">
      <c r="A761" s="15" t="s">
        <v>37</v>
      </c>
      <c r="B761" s="13">
        <v>2503</v>
      </c>
      <c r="C761" s="13" t="s">
        <v>22</v>
      </c>
      <c r="D761" s="13" t="s">
        <v>14</v>
      </c>
      <c r="E761" s="13">
        <v>-1048.5</v>
      </c>
    </row>
    <row r="762" spans="1:5">
      <c r="A762" s="14" t="s">
        <v>37</v>
      </c>
      <c r="B762" s="12">
        <v>2503</v>
      </c>
      <c r="C762" s="12" t="s">
        <v>22</v>
      </c>
      <c r="D762" s="12" t="s">
        <v>10</v>
      </c>
      <c r="E762" s="12">
        <v>-961.25</v>
      </c>
    </row>
    <row r="763" spans="1:5">
      <c r="A763" s="15" t="s">
        <v>37</v>
      </c>
      <c r="B763" s="13">
        <v>2501</v>
      </c>
      <c r="C763" s="13" t="s">
        <v>5</v>
      </c>
      <c r="D763" s="13" t="s">
        <v>14</v>
      </c>
      <c r="E763" s="13">
        <v>-621.25</v>
      </c>
    </row>
    <row r="764" spans="1:5">
      <c r="A764" s="14" t="s">
        <v>37</v>
      </c>
      <c r="B764" s="12">
        <v>2501</v>
      </c>
      <c r="C764" s="12" t="s">
        <v>5</v>
      </c>
      <c r="D764" s="12" t="s">
        <v>13</v>
      </c>
      <c r="E764" s="12">
        <v>-611.25</v>
      </c>
    </row>
    <row r="765" spans="1:5">
      <c r="A765" s="15" t="s">
        <v>37</v>
      </c>
      <c r="B765" s="13">
        <v>2501</v>
      </c>
      <c r="C765" s="13" t="s">
        <v>5</v>
      </c>
      <c r="D765" s="13" t="s">
        <v>12</v>
      </c>
      <c r="E765" s="13">
        <v>-590.5</v>
      </c>
    </row>
    <row r="766" spans="1:5">
      <c r="A766" s="14" t="s">
        <v>37</v>
      </c>
      <c r="B766" s="12">
        <v>2501</v>
      </c>
      <c r="C766" s="12" t="s">
        <v>5</v>
      </c>
      <c r="D766" s="12" t="s">
        <v>10</v>
      </c>
      <c r="E766" s="12">
        <v>-585.25</v>
      </c>
    </row>
    <row r="767" spans="1:5">
      <c r="A767" s="15" t="s">
        <v>37</v>
      </c>
      <c r="B767" s="13">
        <v>2501</v>
      </c>
      <c r="C767" s="13" t="s">
        <v>5</v>
      </c>
      <c r="D767" s="13" t="s">
        <v>6</v>
      </c>
      <c r="E767" s="13">
        <v>-539.25</v>
      </c>
    </row>
    <row r="768" spans="1:5">
      <c r="A768" s="14" t="s">
        <v>37</v>
      </c>
      <c r="B768" s="12">
        <v>2501</v>
      </c>
      <c r="C768" s="12" t="s">
        <v>5</v>
      </c>
      <c r="D768" s="12" t="s">
        <v>19</v>
      </c>
      <c r="E768" s="12">
        <v>-476.75</v>
      </c>
    </row>
    <row r="769" spans="1:5">
      <c r="A769" s="15" t="s">
        <v>37</v>
      </c>
      <c r="B769" s="13">
        <v>2501</v>
      </c>
      <c r="C769" s="13" t="s">
        <v>5</v>
      </c>
      <c r="D769" s="13" t="s">
        <v>8</v>
      </c>
      <c r="E769" s="13">
        <v>-460</v>
      </c>
    </row>
    <row r="770" spans="1:5">
      <c r="A770" s="14" t="s">
        <v>37</v>
      </c>
      <c r="B770" s="12">
        <v>1500</v>
      </c>
      <c r="C770" s="12" t="s">
        <v>26</v>
      </c>
      <c r="D770" s="12" t="s">
        <v>19</v>
      </c>
      <c r="E770" s="12">
        <v>-32.75</v>
      </c>
    </row>
    <row r="771" spans="1:5">
      <c r="A771" s="15" t="s">
        <v>37</v>
      </c>
      <c r="B771" s="13">
        <v>1000</v>
      </c>
      <c r="C771" s="13" t="s">
        <v>23</v>
      </c>
      <c r="D771" s="13" t="s">
        <v>19</v>
      </c>
      <c r="E771" s="13">
        <v>9010679</v>
      </c>
    </row>
    <row r="772" spans="1:5">
      <c r="A772" s="14" t="s">
        <v>38</v>
      </c>
      <c r="B772" s="12">
        <v>2508</v>
      </c>
      <c r="C772" s="12" t="s">
        <v>15</v>
      </c>
      <c r="D772" s="12" t="s">
        <v>10</v>
      </c>
      <c r="E772" s="12">
        <v>-264335</v>
      </c>
    </row>
    <row r="773" spans="1:5">
      <c r="A773" s="15" t="s">
        <v>38</v>
      </c>
      <c r="B773" s="13">
        <v>2508</v>
      </c>
      <c r="C773" s="13" t="s">
        <v>15</v>
      </c>
      <c r="D773" s="13" t="s">
        <v>13</v>
      </c>
      <c r="E773" s="13">
        <v>-249891.5</v>
      </c>
    </row>
    <row r="774" spans="1:5">
      <c r="A774" s="14" t="s">
        <v>38</v>
      </c>
      <c r="B774" s="12">
        <v>2508</v>
      </c>
      <c r="C774" s="12" t="s">
        <v>15</v>
      </c>
      <c r="D774" s="12" t="s">
        <v>6</v>
      </c>
      <c r="E774" s="12">
        <v>-246487.25</v>
      </c>
    </row>
    <row r="775" spans="1:5">
      <c r="A775" s="15" t="s">
        <v>38</v>
      </c>
      <c r="B775" s="13">
        <v>2508</v>
      </c>
      <c r="C775" s="13" t="s">
        <v>15</v>
      </c>
      <c r="D775" s="13" t="s">
        <v>19</v>
      </c>
      <c r="E775" s="13">
        <v>-240467.25</v>
      </c>
    </row>
    <row r="776" spans="1:5">
      <c r="A776" s="14" t="s">
        <v>38</v>
      </c>
      <c r="B776" s="12">
        <v>2508</v>
      </c>
      <c r="C776" s="12" t="s">
        <v>15</v>
      </c>
      <c r="D776" s="12" t="s">
        <v>12</v>
      </c>
      <c r="E776" s="12">
        <v>-237442</v>
      </c>
    </row>
    <row r="777" spans="1:5">
      <c r="A777" s="15" t="s">
        <v>38</v>
      </c>
      <c r="B777" s="13">
        <v>2508</v>
      </c>
      <c r="C777" s="13" t="s">
        <v>15</v>
      </c>
      <c r="D777" s="13" t="s">
        <v>8</v>
      </c>
      <c r="E777" s="13">
        <v>-236134.5</v>
      </c>
    </row>
    <row r="778" spans="1:5">
      <c r="A778" s="14" t="s">
        <v>38</v>
      </c>
      <c r="B778" s="12">
        <v>2508</v>
      </c>
      <c r="C778" s="12" t="s">
        <v>15</v>
      </c>
      <c r="D778" s="12" t="s">
        <v>14</v>
      </c>
      <c r="E778" s="12">
        <v>-221529.25</v>
      </c>
    </row>
    <row r="779" spans="1:5">
      <c r="A779" s="15" t="s">
        <v>38</v>
      </c>
      <c r="B779" s="13">
        <v>2000</v>
      </c>
      <c r="C779" s="13" t="s">
        <v>18</v>
      </c>
      <c r="D779" s="13" t="s">
        <v>19</v>
      </c>
      <c r="E779" s="13">
        <v>-106007.58333333333</v>
      </c>
    </row>
    <row r="780" spans="1:5">
      <c r="A780" s="14" t="s">
        <v>38</v>
      </c>
      <c r="B780" s="12">
        <v>2500</v>
      </c>
      <c r="C780" s="12" t="s">
        <v>25</v>
      </c>
      <c r="D780" s="12" t="s">
        <v>19</v>
      </c>
      <c r="E780" s="12">
        <v>-59957.25</v>
      </c>
    </row>
    <row r="781" spans="1:5">
      <c r="A781" s="15" t="s">
        <v>38</v>
      </c>
      <c r="B781" s="13">
        <v>1500</v>
      </c>
      <c r="C781" s="13" t="s">
        <v>26</v>
      </c>
      <c r="D781" s="13" t="s">
        <v>19</v>
      </c>
      <c r="E781" s="13">
        <v>-31728.75</v>
      </c>
    </row>
    <row r="782" spans="1:5">
      <c r="A782" s="14" t="s">
        <v>38</v>
      </c>
      <c r="B782" s="12">
        <v>2502</v>
      </c>
      <c r="C782" s="12" t="s">
        <v>7</v>
      </c>
      <c r="D782" s="12" t="s">
        <v>13</v>
      </c>
      <c r="E782" s="12">
        <v>-21496.5</v>
      </c>
    </row>
    <row r="783" spans="1:5">
      <c r="A783" s="15" t="s">
        <v>38</v>
      </c>
      <c r="B783" s="13">
        <v>2502</v>
      </c>
      <c r="C783" s="13" t="s">
        <v>7</v>
      </c>
      <c r="D783" s="13" t="s">
        <v>10</v>
      </c>
      <c r="E783" s="13">
        <v>-21136</v>
      </c>
    </row>
    <row r="784" spans="1:5">
      <c r="A784" s="14" t="s">
        <v>38</v>
      </c>
      <c r="B784" s="12">
        <v>2512</v>
      </c>
      <c r="C784" s="12" t="s">
        <v>16</v>
      </c>
      <c r="D784" s="12" t="s">
        <v>6</v>
      </c>
      <c r="E784" s="12">
        <v>-17308</v>
      </c>
    </row>
    <row r="785" spans="1:5">
      <c r="A785" s="15" t="s">
        <v>38</v>
      </c>
      <c r="B785" s="13">
        <v>2502</v>
      </c>
      <c r="C785" s="13" t="s">
        <v>7</v>
      </c>
      <c r="D785" s="13" t="s">
        <v>6</v>
      </c>
      <c r="E785" s="13">
        <v>-17159.5</v>
      </c>
    </row>
    <row r="786" spans="1:5">
      <c r="A786" s="14" t="s">
        <v>38</v>
      </c>
      <c r="B786" s="12">
        <v>2502</v>
      </c>
      <c r="C786" s="12" t="s">
        <v>7</v>
      </c>
      <c r="D786" s="12" t="s">
        <v>12</v>
      </c>
      <c r="E786" s="12">
        <v>-16656</v>
      </c>
    </row>
    <row r="787" spans="1:5">
      <c r="A787" s="15" t="s">
        <v>38</v>
      </c>
      <c r="B787" s="13">
        <v>2502</v>
      </c>
      <c r="C787" s="13" t="s">
        <v>7</v>
      </c>
      <c r="D787" s="13" t="s">
        <v>14</v>
      </c>
      <c r="E787" s="13">
        <v>-16068</v>
      </c>
    </row>
    <row r="788" spans="1:5">
      <c r="A788" s="14" t="s">
        <v>38</v>
      </c>
      <c r="B788" s="12">
        <v>2502</v>
      </c>
      <c r="C788" s="12" t="s">
        <v>7</v>
      </c>
      <c r="D788" s="12" t="s">
        <v>8</v>
      </c>
      <c r="E788" s="12">
        <v>-14645.5</v>
      </c>
    </row>
    <row r="789" spans="1:5">
      <c r="A789" s="15" t="s">
        <v>38</v>
      </c>
      <c r="B789" s="13">
        <v>2512</v>
      </c>
      <c r="C789" s="13" t="s">
        <v>16</v>
      </c>
      <c r="D789" s="13" t="s">
        <v>13</v>
      </c>
      <c r="E789" s="13">
        <v>-14262.25</v>
      </c>
    </row>
    <row r="790" spans="1:5">
      <c r="A790" s="14" t="s">
        <v>38</v>
      </c>
      <c r="B790" s="12">
        <v>2512</v>
      </c>
      <c r="C790" s="12" t="s">
        <v>16</v>
      </c>
      <c r="D790" s="12" t="s">
        <v>19</v>
      </c>
      <c r="E790" s="12">
        <v>-14109</v>
      </c>
    </row>
    <row r="791" spans="1:5">
      <c r="A791" s="15" t="s">
        <v>38</v>
      </c>
      <c r="B791" s="13">
        <v>2502</v>
      </c>
      <c r="C791" s="13" t="s">
        <v>7</v>
      </c>
      <c r="D791" s="13" t="s">
        <v>19</v>
      </c>
      <c r="E791" s="13">
        <v>-11894.5</v>
      </c>
    </row>
    <row r="792" spans="1:5">
      <c r="A792" s="14" t="s">
        <v>38</v>
      </c>
      <c r="B792" s="12">
        <v>2512</v>
      </c>
      <c r="C792" s="12" t="s">
        <v>16</v>
      </c>
      <c r="D792" s="12" t="s">
        <v>14</v>
      </c>
      <c r="E792" s="12">
        <v>-10140.5</v>
      </c>
    </row>
    <row r="793" spans="1:5">
      <c r="A793" s="15" t="s">
        <v>38</v>
      </c>
      <c r="B793" s="13">
        <v>2512</v>
      </c>
      <c r="C793" s="13" t="s">
        <v>16</v>
      </c>
      <c r="D793" s="13" t="s">
        <v>8</v>
      </c>
      <c r="E793" s="13">
        <v>-9943</v>
      </c>
    </row>
    <row r="794" spans="1:5">
      <c r="A794" s="14" t="s">
        <v>38</v>
      </c>
      <c r="B794" s="12">
        <v>2512</v>
      </c>
      <c r="C794" s="12" t="s">
        <v>16</v>
      </c>
      <c r="D794" s="12" t="s">
        <v>12</v>
      </c>
      <c r="E794" s="12">
        <v>-9820.25</v>
      </c>
    </row>
    <row r="795" spans="1:5">
      <c r="A795" s="15" t="s">
        <v>38</v>
      </c>
      <c r="B795" s="13">
        <v>2513</v>
      </c>
      <c r="C795" s="13" t="s">
        <v>17</v>
      </c>
      <c r="D795" s="13" t="s">
        <v>10</v>
      </c>
      <c r="E795" s="13">
        <v>-6879</v>
      </c>
    </row>
    <row r="796" spans="1:5">
      <c r="A796" s="14" t="s">
        <v>38</v>
      </c>
      <c r="B796" s="12">
        <v>2513</v>
      </c>
      <c r="C796" s="12" t="s">
        <v>17</v>
      </c>
      <c r="D796" s="12" t="s">
        <v>13</v>
      </c>
      <c r="E796" s="12">
        <v>-6818.5</v>
      </c>
    </row>
    <row r="797" spans="1:5">
      <c r="A797" s="15" t="s">
        <v>38</v>
      </c>
      <c r="B797" s="13">
        <v>2512</v>
      </c>
      <c r="C797" s="13" t="s">
        <v>16</v>
      </c>
      <c r="D797" s="13" t="s">
        <v>10</v>
      </c>
      <c r="E797" s="13">
        <v>-6540</v>
      </c>
    </row>
    <row r="798" spans="1:5">
      <c r="A798" s="14" t="s">
        <v>38</v>
      </c>
      <c r="B798" s="12">
        <v>2510</v>
      </c>
      <c r="C798" s="12" t="s">
        <v>24</v>
      </c>
      <c r="D798" s="12" t="s">
        <v>6</v>
      </c>
      <c r="E798" s="12">
        <v>-6133</v>
      </c>
    </row>
    <row r="799" spans="1:5">
      <c r="A799" s="15" t="s">
        <v>38</v>
      </c>
      <c r="B799" s="13">
        <v>2513</v>
      </c>
      <c r="C799" s="13" t="s">
        <v>17</v>
      </c>
      <c r="D799" s="13" t="s">
        <v>12</v>
      </c>
      <c r="E799" s="13">
        <v>-6010.75</v>
      </c>
    </row>
    <row r="800" spans="1:5">
      <c r="A800" s="14" t="s">
        <v>38</v>
      </c>
      <c r="B800" s="12">
        <v>2513</v>
      </c>
      <c r="C800" s="12" t="s">
        <v>17</v>
      </c>
      <c r="D800" s="12" t="s">
        <v>6</v>
      </c>
      <c r="E800" s="12">
        <v>-5772.25</v>
      </c>
    </row>
    <row r="801" spans="1:5">
      <c r="A801" s="15" t="s">
        <v>38</v>
      </c>
      <c r="B801" s="13">
        <v>2513</v>
      </c>
      <c r="C801" s="13" t="s">
        <v>17</v>
      </c>
      <c r="D801" s="13" t="s">
        <v>19</v>
      </c>
      <c r="E801" s="13">
        <v>-5762</v>
      </c>
    </row>
    <row r="802" spans="1:5">
      <c r="A802" s="14" t="s">
        <v>38</v>
      </c>
      <c r="B802" s="12">
        <v>2510</v>
      </c>
      <c r="C802" s="12" t="s">
        <v>24</v>
      </c>
      <c r="D802" s="12" t="s">
        <v>19</v>
      </c>
      <c r="E802" s="12">
        <v>-5684.25</v>
      </c>
    </row>
    <row r="803" spans="1:5">
      <c r="A803" s="15" t="s">
        <v>38</v>
      </c>
      <c r="B803" s="13">
        <v>2513</v>
      </c>
      <c r="C803" s="13" t="s">
        <v>17</v>
      </c>
      <c r="D803" s="13" t="s">
        <v>14</v>
      </c>
      <c r="E803" s="13">
        <v>-5556</v>
      </c>
    </row>
    <row r="804" spans="1:5">
      <c r="A804" s="14" t="s">
        <v>38</v>
      </c>
      <c r="B804" s="12">
        <v>2513</v>
      </c>
      <c r="C804" s="12" t="s">
        <v>17</v>
      </c>
      <c r="D804" s="12" t="s">
        <v>8</v>
      </c>
      <c r="E804" s="12">
        <v>-5396</v>
      </c>
    </row>
    <row r="805" spans="1:5">
      <c r="A805" s="15" t="s">
        <v>38</v>
      </c>
      <c r="B805" s="13">
        <v>2514</v>
      </c>
      <c r="C805" s="13" t="s">
        <v>20</v>
      </c>
      <c r="D805" s="13" t="s">
        <v>6</v>
      </c>
      <c r="E805" s="13">
        <v>-5158.75</v>
      </c>
    </row>
    <row r="806" spans="1:5">
      <c r="A806" s="14" t="s">
        <v>38</v>
      </c>
      <c r="B806" s="12">
        <v>2510</v>
      </c>
      <c r="C806" s="12" t="s">
        <v>24</v>
      </c>
      <c r="D806" s="12" t="s">
        <v>8</v>
      </c>
      <c r="E806" s="12">
        <v>-5075</v>
      </c>
    </row>
    <row r="807" spans="1:5">
      <c r="A807" s="15" t="s">
        <v>38</v>
      </c>
      <c r="B807" s="13">
        <v>2507</v>
      </c>
      <c r="C807" s="13" t="s">
        <v>11</v>
      </c>
      <c r="D807" s="13" t="s">
        <v>6</v>
      </c>
      <c r="E807" s="13">
        <v>-5074.75</v>
      </c>
    </row>
    <row r="808" spans="1:5">
      <c r="A808" s="14" t="s">
        <v>38</v>
      </c>
      <c r="B808" s="12">
        <v>2507</v>
      </c>
      <c r="C808" s="12" t="s">
        <v>11</v>
      </c>
      <c r="D808" s="12" t="s">
        <v>19</v>
      </c>
      <c r="E808" s="12">
        <v>-5030.25</v>
      </c>
    </row>
    <row r="809" spans="1:5">
      <c r="A809" s="15" t="s">
        <v>38</v>
      </c>
      <c r="B809" s="13">
        <v>2514</v>
      </c>
      <c r="C809" s="13" t="s">
        <v>20</v>
      </c>
      <c r="D809" s="13" t="s">
        <v>12</v>
      </c>
      <c r="E809" s="13">
        <v>-5002.5</v>
      </c>
    </row>
    <row r="810" spans="1:5">
      <c r="A810" s="14" t="s">
        <v>38</v>
      </c>
      <c r="B810" s="12">
        <v>2507</v>
      </c>
      <c r="C810" s="12" t="s">
        <v>11</v>
      </c>
      <c r="D810" s="12" t="s">
        <v>12</v>
      </c>
      <c r="E810" s="12">
        <v>-4913</v>
      </c>
    </row>
    <row r="811" spans="1:5">
      <c r="A811" s="15" t="s">
        <v>38</v>
      </c>
      <c r="B811" s="13">
        <v>2514</v>
      </c>
      <c r="C811" s="13" t="s">
        <v>20</v>
      </c>
      <c r="D811" s="13" t="s">
        <v>19</v>
      </c>
      <c r="E811" s="13">
        <v>-4883</v>
      </c>
    </row>
    <row r="812" spans="1:5">
      <c r="A812" s="14" t="s">
        <v>38</v>
      </c>
      <c r="B812" s="12">
        <v>2514</v>
      </c>
      <c r="C812" s="12" t="s">
        <v>20</v>
      </c>
      <c r="D812" s="12" t="s">
        <v>8</v>
      </c>
      <c r="E812" s="12">
        <v>-4868.75</v>
      </c>
    </row>
    <row r="813" spans="1:5">
      <c r="A813" s="15" t="s">
        <v>38</v>
      </c>
      <c r="B813" s="13">
        <v>2514</v>
      </c>
      <c r="C813" s="13" t="s">
        <v>20</v>
      </c>
      <c r="D813" s="13" t="s">
        <v>13</v>
      </c>
      <c r="E813" s="13">
        <v>-4861.5</v>
      </c>
    </row>
    <row r="814" spans="1:5">
      <c r="A814" s="14" t="s">
        <v>38</v>
      </c>
      <c r="B814" s="12">
        <v>2507</v>
      </c>
      <c r="C814" s="12" t="s">
        <v>11</v>
      </c>
      <c r="D814" s="12" t="s">
        <v>13</v>
      </c>
      <c r="E814" s="12">
        <v>-4809</v>
      </c>
    </row>
    <row r="815" spans="1:5">
      <c r="A815" s="15" t="s">
        <v>38</v>
      </c>
      <c r="B815" s="13">
        <v>2507</v>
      </c>
      <c r="C815" s="13" t="s">
        <v>11</v>
      </c>
      <c r="D815" s="13" t="s">
        <v>10</v>
      </c>
      <c r="E815" s="13">
        <v>-4562.5</v>
      </c>
    </row>
    <row r="816" spans="1:5">
      <c r="A816" s="14" t="s">
        <v>38</v>
      </c>
      <c r="B816" s="12">
        <v>2510</v>
      </c>
      <c r="C816" s="12" t="s">
        <v>24</v>
      </c>
      <c r="D816" s="12" t="s">
        <v>12</v>
      </c>
      <c r="E816" s="12">
        <v>-4498</v>
      </c>
    </row>
    <row r="817" spans="1:5">
      <c r="A817" s="15" t="s">
        <v>38</v>
      </c>
      <c r="B817" s="13">
        <v>2514</v>
      </c>
      <c r="C817" s="13" t="s">
        <v>20</v>
      </c>
      <c r="D817" s="13" t="s">
        <v>14</v>
      </c>
      <c r="E817" s="13">
        <v>-4354.25</v>
      </c>
    </row>
    <row r="818" spans="1:5">
      <c r="A818" s="14" t="s">
        <v>38</v>
      </c>
      <c r="B818" s="12">
        <v>2514</v>
      </c>
      <c r="C818" s="12" t="s">
        <v>20</v>
      </c>
      <c r="D818" s="12" t="s">
        <v>10</v>
      </c>
      <c r="E818" s="12">
        <v>-4271.25</v>
      </c>
    </row>
    <row r="819" spans="1:5">
      <c r="A819" s="15" t="s">
        <v>38</v>
      </c>
      <c r="B819" s="13">
        <v>2507</v>
      </c>
      <c r="C819" s="13" t="s">
        <v>11</v>
      </c>
      <c r="D819" s="13" t="s">
        <v>14</v>
      </c>
      <c r="E819" s="13">
        <v>-4083.5</v>
      </c>
    </row>
    <row r="820" spans="1:5">
      <c r="A820" s="14" t="s">
        <v>38</v>
      </c>
      <c r="B820" s="12">
        <v>2510</v>
      </c>
      <c r="C820" s="12" t="s">
        <v>24</v>
      </c>
      <c r="D820" s="12" t="s">
        <v>13</v>
      </c>
      <c r="E820" s="12">
        <v>-3941.75</v>
      </c>
    </row>
    <row r="821" spans="1:5">
      <c r="A821" s="15" t="s">
        <v>38</v>
      </c>
      <c r="B821" s="13">
        <v>2507</v>
      </c>
      <c r="C821" s="13" t="s">
        <v>11</v>
      </c>
      <c r="D821" s="13" t="s">
        <v>8</v>
      </c>
      <c r="E821" s="13">
        <v>-3828.75</v>
      </c>
    </row>
    <row r="822" spans="1:5">
      <c r="A822" s="14" t="s">
        <v>38</v>
      </c>
      <c r="B822" s="12">
        <v>2510</v>
      </c>
      <c r="C822" s="12" t="s">
        <v>24</v>
      </c>
      <c r="D822" s="12" t="s">
        <v>10</v>
      </c>
      <c r="E822" s="12">
        <v>-3564.75</v>
      </c>
    </row>
    <row r="823" spans="1:5">
      <c r="A823" s="15" t="s">
        <v>38</v>
      </c>
      <c r="B823" s="13">
        <v>2510</v>
      </c>
      <c r="C823" s="13" t="s">
        <v>24</v>
      </c>
      <c r="D823" s="13" t="s">
        <v>14</v>
      </c>
      <c r="E823" s="13">
        <v>-3496.25</v>
      </c>
    </row>
    <row r="824" spans="1:5">
      <c r="A824" s="14" t="s">
        <v>38</v>
      </c>
      <c r="B824" s="12">
        <v>2506</v>
      </c>
      <c r="C824" s="12" t="s">
        <v>27</v>
      </c>
      <c r="D824" s="12" t="s">
        <v>14</v>
      </c>
      <c r="E824" s="12">
        <v>-2932.5</v>
      </c>
    </row>
    <row r="825" spans="1:5">
      <c r="A825" s="15" t="s">
        <v>38</v>
      </c>
      <c r="B825" s="13">
        <v>2505</v>
      </c>
      <c r="C825" s="13" t="s">
        <v>9</v>
      </c>
      <c r="D825" s="13" t="s">
        <v>19</v>
      </c>
      <c r="E825" s="13">
        <v>-2922.75</v>
      </c>
    </row>
    <row r="826" spans="1:5">
      <c r="A826" s="14" t="s">
        <v>38</v>
      </c>
      <c r="B826" s="12">
        <v>2505</v>
      </c>
      <c r="C826" s="12" t="s">
        <v>9</v>
      </c>
      <c r="D826" s="12" t="s">
        <v>8</v>
      </c>
      <c r="E826" s="12">
        <v>-2834</v>
      </c>
    </row>
    <row r="827" spans="1:5">
      <c r="A827" s="15" t="s">
        <v>38</v>
      </c>
      <c r="B827" s="13">
        <v>2505</v>
      </c>
      <c r="C827" s="13" t="s">
        <v>9</v>
      </c>
      <c r="D827" s="13" t="s">
        <v>12</v>
      </c>
      <c r="E827" s="13">
        <v>-2534.25</v>
      </c>
    </row>
    <row r="828" spans="1:5">
      <c r="A828" s="14" t="s">
        <v>38</v>
      </c>
      <c r="B828" s="12">
        <v>2505</v>
      </c>
      <c r="C828" s="12" t="s">
        <v>9</v>
      </c>
      <c r="D828" s="12" t="s">
        <v>10</v>
      </c>
      <c r="E828" s="12">
        <v>-2515</v>
      </c>
    </row>
    <row r="829" spans="1:5">
      <c r="A829" s="15" t="s">
        <v>38</v>
      </c>
      <c r="B829" s="13">
        <v>2505</v>
      </c>
      <c r="C829" s="13" t="s">
        <v>9</v>
      </c>
      <c r="D829" s="13" t="s">
        <v>6</v>
      </c>
      <c r="E829" s="13">
        <v>-2179.25</v>
      </c>
    </row>
    <row r="830" spans="1:5">
      <c r="A830" s="14" t="s">
        <v>38</v>
      </c>
      <c r="B830" s="12">
        <v>2505</v>
      </c>
      <c r="C830" s="12" t="s">
        <v>9</v>
      </c>
      <c r="D830" s="12" t="s">
        <v>14</v>
      </c>
      <c r="E830" s="12">
        <v>-2096</v>
      </c>
    </row>
    <row r="831" spans="1:5">
      <c r="A831" s="15" t="s">
        <v>38</v>
      </c>
      <c r="B831" s="13">
        <v>2506</v>
      </c>
      <c r="C831" s="13" t="s">
        <v>27</v>
      </c>
      <c r="D831" s="13" t="s">
        <v>8</v>
      </c>
      <c r="E831" s="13">
        <v>-1961.25</v>
      </c>
    </row>
    <row r="832" spans="1:5">
      <c r="A832" s="14" t="s">
        <v>38</v>
      </c>
      <c r="B832" s="12">
        <v>2505</v>
      </c>
      <c r="C832" s="12" t="s">
        <v>9</v>
      </c>
      <c r="D832" s="12" t="s">
        <v>13</v>
      </c>
      <c r="E832" s="12">
        <v>-1842.25</v>
      </c>
    </row>
    <row r="833" spans="1:5">
      <c r="A833" s="15" t="s">
        <v>38</v>
      </c>
      <c r="B833" s="13">
        <v>2503</v>
      </c>
      <c r="C833" s="13" t="s">
        <v>22</v>
      </c>
      <c r="D833" s="13" t="s">
        <v>13</v>
      </c>
      <c r="E833" s="13">
        <v>-1362.5</v>
      </c>
    </row>
    <row r="834" spans="1:5">
      <c r="A834" s="14" t="s">
        <v>38</v>
      </c>
      <c r="B834" s="12">
        <v>2503</v>
      </c>
      <c r="C834" s="12" t="s">
        <v>22</v>
      </c>
      <c r="D834" s="12" t="s">
        <v>6</v>
      </c>
      <c r="E834" s="12">
        <v>-1216.75</v>
      </c>
    </row>
    <row r="835" spans="1:5">
      <c r="A835" s="15" t="s">
        <v>38</v>
      </c>
      <c r="B835" s="13">
        <v>2503</v>
      </c>
      <c r="C835" s="13" t="s">
        <v>22</v>
      </c>
      <c r="D835" s="13" t="s">
        <v>12</v>
      </c>
      <c r="E835" s="13">
        <v>-1206.25</v>
      </c>
    </row>
    <row r="836" spans="1:5">
      <c r="A836" s="14" t="s">
        <v>38</v>
      </c>
      <c r="B836" s="12">
        <v>2504</v>
      </c>
      <c r="C836" s="12" t="s">
        <v>21</v>
      </c>
      <c r="D836" s="12" t="s">
        <v>19</v>
      </c>
      <c r="E836" s="12">
        <v>-1184.5</v>
      </c>
    </row>
    <row r="837" spans="1:5">
      <c r="A837" s="15" t="s">
        <v>38</v>
      </c>
      <c r="B837" s="13">
        <v>2503</v>
      </c>
      <c r="C837" s="13" t="s">
        <v>22</v>
      </c>
      <c r="D837" s="13" t="s">
        <v>14</v>
      </c>
      <c r="E837" s="13">
        <v>-1134.25</v>
      </c>
    </row>
    <row r="838" spans="1:5">
      <c r="A838" s="14" t="s">
        <v>38</v>
      </c>
      <c r="B838" s="12">
        <v>2503</v>
      </c>
      <c r="C838" s="12" t="s">
        <v>22</v>
      </c>
      <c r="D838" s="12" t="s">
        <v>10</v>
      </c>
      <c r="E838" s="12">
        <v>-1082.25</v>
      </c>
    </row>
    <row r="839" spans="1:5">
      <c r="A839" s="15" t="s">
        <v>38</v>
      </c>
      <c r="B839" s="13">
        <v>2503</v>
      </c>
      <c r="C839" s="13" t="s">
        <v>22</v>
      </c>
      <c r="D839" s="13" t="s">
        <v>8</v>
      </c>
      <c r="E839" s="13">
        <v>-1048.5</v>
      </c>
    </row>
    <row r="840" spans="1:5">
      <c r="A840" s="14" t="s">
        <v>38</v>
      </c>
      <c r="B840" s="12">
        <v>2503</v>
      </c>
      <c r="C840" s="12" t="s">
        <v>22</v>
      </c>
      <c r="D840" s="12" t="s">
        <v>19</v>
      </c>
      <c r="E840" s="12">
        <v>-1034</v>
      </c>
    </row>
    <row r="841" spans="1:5">
      <c r="A841" s="15" t="s">
        <v>38</v>
      </c>
      <c r="B841" s="13">
        <v>2501</v>
      </c>
      <c r="C841" s="13" t="s">
        <v>5</v>
      </c>
      <c r="D841" s="13" t="s">
        <v>6</v>
      </c>
      <c r="E841" s="13">
        <v>-630</v>
      </c>
    </row>
    <row r="842" spans="1:5">
      <c r="A842" s="14" t="s">
        <v>38</v>
      </c>
      <c r="B842" s="12">
        <v>2501</v>
      </c>
      <c r="C842" s="12" t="s">
        <v>5</v>
      </c>
      <c r="D842" s="12" t="s">
        <v>10</v>
      </c>
      <c r="E842" s="12">
        <v>-575</v>
      </c>
    </row>
    <row r="843" spans="1:5">
      <c r="A843" s="15" t="s">
        <v>38</v>
      </c>
      <c r="B843" s="13">
        <v>2501</v>
      </c>
      <c r="C843" s="13" t="s">
        <v>5</v>
      </c>
      <c r="D843" s="13" t="s">
        <v>12</v>
      </c>
      <c r="E843" s="13">
        <v>-545.5</v>
      </c>
    </row>
    <row r="844" spans="1:5">
      <c r="A844" s="14" t="s">
        <v>38</v>
      </c>
      <c r="B844" s="12">
        <v>2501</v>
      </c>
      <c r="C844" s="12" t="s">
        <v>5</v>
      </c>
      <c r="D844" s="12" t="s">
        <v>8</v>
      </c>
      <c r="E844" s="12">
        <v>-504.5</v>
      </c>
    </row>
    <row r="845" spans="1:5">
      <c r="A845" s="15" t="s">
        <v>38</v>
      </c>
      <c r="B845" s="13">
        <v>2501</v>
      </c>
      <c r="C845" s="13" t="s">
        <v>5</v>
      </c>
      <c r="D845" s="13" t="s">
        <v>13</v>
      </c>
      <c r="E845" s="13">
        <v>-469.75</v>
      </c>
    </row>
    <row r="846" spans="1:5">
      <c r="A846" s="14" t="s">
        <v>38</v>
      </c>
      <c r="B846" s="12">
        <v>2501</v>
      </c>
      <c r="C846" s="12" t="s">
        <v>5</v>
      </c>
      <c r="D846" s="12" t="s">
        <v>14</v>
      </c>
      <c r="E846" s="12">
        <v>-460</v>
      </c>
    </row>
    <row r="847" spans="1:5">
      <c r="A847" s="15" t="s">
        <v>38</v>
      </c>
      <c r="B847" s="13">
        <v>2501</v>
      </c>
      <c r="C847" s="13" t="s">
        <v>5</v>
      </c>
      <c r="D847" s="13" t="s">
        <v>19</v>
      </c>
      <c r="E847" s="13">
        <v>-425.25</v>
      </c>
    </row>
    <row r="848" spans="1:5">
      <c r="A848" s="14" t="s">
        <v>38</v>
      </c>
      <c r="B848" s="12">
        <v>1000</v>
      </c>
      <c r="C848" s="12" t="s">
        <v>23</v>
      </c>
      <c r="D848" s="12" t="s">
        <v>19</v>
      </c>
      <c r="E848" s="12">
        <v>9836477</v>
      </c>
    </row>
    <row r="849" spans="1:5">
      <c r="A849" s="15" t="s">
        <v>39</v>
      </c>
      <c r="B849" s="13">
        <v>2508</v>
      </c>
      <c r="C849" s="13" t="s">
        <v>15</v>
      </c>
      <c r="D849" s="13" t="s">
        <v>6</v>
      </c>
      <c r="E849" s="13">
        <v>-292313</v>
      </c>
    </row>
    <row r="850" spans="1:5">
      <c r="A850" s="14" t="s">
        <v>39</v>
      </c>
      <c r="B850" s="12">
        <v>2508</v>
      </c>
      <c r="C850" s="12" t="s">
        <v>15</v>
      </c>
      <c r="D850" s="12" t="s">
        <v>14</v>
      </c>
      <c r="E850" s="12">
        <v>-278266.5</v>
      </c>
    </row>
    <row r="851" spans="1:5">
      <c r="A851" s="15" t="s">
        <v>39</v>
      </c>
      <c r="B851" s="13">
        <v>2508</v>
      </c>
      <c r="C851" s="13" t="s">
        <v>15</v>
      </c>
      <c r="D851" s="13" t="s">
        <v>19</v>
      </c>
      <c r="E851" s="13">
        <v>-247718.5</v>
      </c>
    </row>
    <row r="852" spans="1:5">
      <c r="A852" s="14" t="s">
        <v>39</v>
      </c>
      <c r="B852" s="12">
        <v>2508</v>
      </c>
      <c r="C852" s="12" t="s">
        <v>15</v>
      </c>
      <c r="D852" s="12" t="s">
        <v>13</v>
      </c>
      <c r="E852" s="12">
        <v>-246534.25</v>
      </c>
    </row>
    <row r="853" spans="1:5">
      <c r="A853" s="15" t="s">
        <v>39</v>
      </c>
      <c r="B853" s="13">
        <v>2508</v>
      </c>
      <c r="C853" s="13" t="s">
        <v>15</v>
      </c>
      <c r="D853" s="13" t="s">
        <v>12</v>
      </c>
      <c r="E853" s="13">
        <v>-224566</v>
      </c>
    </row>
    <row r="854" spans="1:5">
      <c r="A854" s="14" t="s">
        <v>39</v>
      </c>
      <c r="B854" s="12">
        <v>2508</v>
      </c>
      <c r="C854" s="12" t="s">
        <v>15</v>
      </c>
      <c r="D854" s="12" t="s">
        <v>10</v>
      </c>
      <c r="E854" s="12">
        <v>-211241.25</v>
      </c>
    </row>
    <row r="855" spans="1:5">
      <c r="A855" s="15" t="s">
        <v>39</v>
      </c>
      <c r="B855" s="13">
        <v>2508</v>
      </c>
      <c r="C855" s="13" t="s">
        <v>15</v>
      </c>
      <c r="D855" s="13" t="s">
        <v>8</v>
      </c>
      <c r="E855" s="13">
        <v>-195567.25</v>
      </c>
    </row>
    <row r="856" spans="1:5">
      <c r="A856" s="14" t="s">
        <v>39</v>
      </c>
      <c r="B856" s="12">
        <v>2000</v>
      </c>
      <c r="C856" s="12" t="s">
        <v>18</v>
      </c>
      <c r="D856" s="12" t="s">
        <v>19</v>
      </c>
      <c r="E856" s="12">
        <v>-88593.75</v>
      </c>
    </row>
    <row r="857" spans="1:5">
      <c r="A857" s="15" t="s">
        <v>39</v>
      </c>
      <c r="B857" s="13">
        <v>2500</v>
      </c>
      <c r="C857" s="13" t="s">
        <v>25</v>
      </c>
      <c r="D857" s="13" t="s">
        <v>19</v>
      </c>
      <c r="E857" s="13">
        <v>-34865.25</v>
      </c>
    </row>
    <row r="858" spans="1:5">
      <c r="A858" s="14" t="s">
        <v>39</v>
      </c>
      <c r="B858" s="12">
        <v>2502</v>
      </c>
      <c r="C858" s="12" t="s">
        <v>7</v>
      </c>
      <c r="D858" s="12" t="s">
        <v>6</v>
      </c>
      <c r="E858" s="12">
        <v>-22781</v>
      </c>
    </row>
    <row r="859" spans="1:5">
      <c r="A859" s="15" t="s">
        <v>39</v>
      </c>
      <c r="B859" s="13">
        <v>2502</v>
      </c>
      <c r="C859" s="13" t="s">
        <v>7</v>
      </c>
      <c r="D859" s="13" t="s">
        <v>10</v>
      </c>
      <c r="E859" s="13">
        <v>-19038</v>
      </c>
    </row>
    <row r="860" spans="1:5">
      <c r="A860" s="14" t="s">
        <v>39</v>
      </c>
      <c r="B860" s="12">
        <v>2502</v>
      </c>
      <c r="C860" s="12" t="s">
        <v>7</v>
      </c>
      <c r="D860" s="12" t="s">
        <v>19</v>
      </c>
      <c r="E860" s="12">
        <v>-17338</v>
      </c>
    </row>
    <row r="861" spans="1:5">
      <c r="A861" s="15" t="s">
        <v>39</v>
      </c>
      <c r="B861" s="13">
        <v>2512</v>
      </c>
      <c r="C861" s="13" t="s">
        <v>16</v>
      </c>
      <c r="D861" s="13" t="s">
        <v>14</v>
      </c>
      <c r="E861" s="13">
        <v>-17308</v>
      </c>
    </row>
    <row r="862" spans="1:5">
      <c r="A862" s="14" t="s">
        <v>39</v>
      </c>
      <c r="B862" s="12">
        <v>2502</v>
      </c>
      <c r="C862" s="12" t="s">
        <v>7</v>
      </c>
      <c r="D862" s="12" t="s">
        <v>13</v>
      </c>
      <c r="E862" s="12">
        <v>-16294</v>
      </c>
    </row>
    <row r="863" spans="1:5">
      <c r="A863" s="15" t="s">
        <v>39</v>
      </c>
      <c r="B863" s="13">
        <v>2502</v>
      </c>
      <c r="C863" s="13" t="s">
        <v>7</v>
      </c>
      <c r="D863" s="13" t="s">
        <v>8</v>
      </c>
      <c r="E863" s="13">
        <v>-15497</v>
      </c>
    </row>
    <row r="864" spans="1:5">
      <c r="A864" s="14" t="s">
        <v>39</v>
      </c>
      <c r="B864" s="12">
        <v>2502</v>
      </c>
      <c r="C864" s="12" t="s">
        <v>7</v>
      </c>
      <c r="D864" s="12" t="s">
        <v>12</v>
      </c>
      <c r="E864" s="12">
        <v>-15104.5</v>
      </c>
    </row>
    <row r="865" spans="1:5">
      <c r="A865" s="15" t="s">
        <v>39</v>
      </c>
      <c r="B865" s="13">
        <v>2502</v>
      </c>
      <c r="C865" s="13" t="s">
        <v>7</v>
      </c>
      <c r="D865" s="13" t="s">
        <v>14</v>
      </c>
      <c r="E865" s="13">
        <v>-13632</v>
      </c>
    </row>
    <row r="866" spans="1:5">
      <c r="A866" s="14" t="s">
        <v>39</v>
      </c>
      <c r="B866" s="12">
        <v>2512</v>
      </c>
      <c r="C866" s="12" t="s">
        <v>16</v>
      </c>
      <c r="D866" s="12" t="s">
        <v>10</v>
      </c>
      <c r="E866" s="12">
        <v>-13470.25</v>
      </c>
    </row>
    <row r="867" spans="1:5">
      <c r="A867" s="15" t="s">
        <v>39</v>
      </c>
      <c r="B867" s="13">
        <v>2512</v>
      </c>
      <c r="C867" s="13" t="s">
        <v>16</v>
      </c>
      <c r="D867" s="13" t="s">
        <v>8</v>
      </c>
      <c r="E867" s="13">
        <v>-13192.25</v>
      </c>
    </row>
    <row r="868" spans="1:5">
      <c r="A868" s="14" t="s">
        <v>39</v>
      </c>
      <c r="B868" s="12">
        <v>2512</v>
      </c>
      <c r="C868" s="12" t="s">
        <v>16</v>
      </c>
      <c r="D868" s="12" t="s">
        <v>13</v>
      </c>
      <c r="E868" s="12">
        <v>-10624</v>
      </c>
    </row>
    <row r="869" spans="1:5">
      <c r="A869" s="15" t="s">
        <v>39</v>
      </c>
      <c r="B869" s="13">
        <v>2512</v>
      </c>
      <c r="C869" s="13" t="s">
        <v>16</v>
      </c>
      <c r="D869" s="13" t="s">
        <v>12</v>
      </c>
      <c r="E869" s="13">
        <v>-9385.5</v>
      </c>
    </row>
    <row r="870" spans="1:5">
      <c r="A870" s="14" t="s">
        <v>39</v>
      </c>
      <c r="B870" s="12">
        <v>2512</v>
      </c>
      <c r="C870" s="12" t="s">
        <v>16</v>
      </c>
      <c r="D870" s="12" t="s">
        <v>6</v>
      </c>
      <c r="E870" s="12">
        <v>-8828</v>
      </c>
    </row>
    <row r="871" spans="1:5">
      <c r="A871" s="15" t="s">
        <v>39</v>
      </c>
      <c r="B871" s="13">
        <v>2512</v>
      </c>
      <c r="C871" s="13" t="s">
        <v>16</v>
      </c>
      <c r="D871" s="13" t="s">
        <v>19</v>
      </c>
      <c r="E871" s="13">
        <v>-7775.25</v>
      </c>
    </row>
    <row r="872" spans="1:5">
      <c r="A872" s="14" t="s">
        <v>39</v>
      </c>
      <c r="B872" s="12">
        <v>2513</v>
      </c>
      <c r="C872" s="12" t="s">
        <v>17</v>
      </c>
      <c r="D872" s="12" t="s">
        <v>13</v>
      </c>
      <c r="E872" s="12">
        <v>-6901.5</v>
      </c>
    </row>
    <row r="873" spans="1:5">
      <c r="A873" s="15" t="s">
        <v>39</v>
      </c>
      <c r="B873" s="13">
        <v>2513</v>
      </c>
      <c r="C873" s="13" t="s">
        <v>17</v>
      </c>
      <c r="D873" s="13" t="s">
        <v>14</v>
      </c>
      <c r="E873" s="13">
        <v>-6337</v>
      </c>
    </row>
    <row r="874" spans="1:5">
      <c r="A874" s="14" t="s">
        <v>39</v>
      </c>
      <c r="B874" s="12">
        <v>2507</v>
      </c>
      <c r="C874" s="12" t="s">
        <v>11</v>
      </c>
      <c r="D874" s="12" t="s">
        <v>12</v>
      </c>
      <c r="E874" s="12">
        <v>-6208.75</v>
      </c>
    </row>
    <row r="875" spans="1:5">
      <c r="A875" s="15" t="s">
        <v>39</v>
      </c>
      <c r="B875" s="13">
        <v>2513</v>
      </c>
      <c r="C875" s="13" t="s">
        <v>17</v>
      </c>
      <c r="D875" s="13" t="s">
        <v>6</v>
      </c>
      <c r="E875" s="13">
        <v>-5956.75</v>
      </c>
    </row>
    <row r="876" spans="1:5">
      <c r="A876" s="14" t="s">
        <v>39</v>
      </c>
      <c r="B876" s="12">
        <v>2510</v>
      </c>
      <c r="C876" s="12" t="s">
        <v>24</v>
      </c>
      <c r="D876" s="12" t="s">
        <v>13</v>
      </c>
      <c r="E876" s="12">
        <v>-5737.75</v>
      </c>
    </row>
    <row r="877" spans="1:5">
      <c r="A877" s="15" t="s">
        <v>39</v>
      </c>
      <c r="B877" s="13">
        <v>2513</v>
      </c>
      <c r="C877" s="13" t="s">
        <v>17</v>
      </c>
      <c r="D877" s="13" t="s">
        <v>12</v>
      </c>
      <c r="E877" s="13">
        <v>-5505.25</v>
      </c>
    </row>
    <row r="878" spans="1:5">
      <c r="A878" s="14" t="s">
        <v>39</v>
      </c>
      <c r="B878" s="12">
        <v>2513</v>
      </c>
      <c r="C878" s="12" t="s">
        <v>17</v>
      </c>
      <c r="D878" s="12" t="s">
        <v>10</v>
      </c>
      <c r="E878" s="12">
        <v>-5430.75</v>
      </c>
    </row>
    <row r="879" spans="1:5">
      <c r="A879" s="15" t="s">
        <v>39</v>
      </c>
      <c r="B879" s="13">
        <v>2507</v>
      </c>
      <c r="C879" s="13" t="s">
        <v>11</v>
      </c>
      <c r="D879" s="13" t="s">
        <v>8</v>
      </c>
      <c r="E879" s="13">
        <v>-5364.75</v>
      </c>
    </row>
    <row r="880" spans="1:5">
      <c r="A880" s="14" t="s">
        <v>39</v>
      </c>
      <c r="B880" s="12">
        <v>2514</v>
      </c>
      <c r="C880" s="12" t="s">
        <v>20</v>
      </c>
      <c r="D880" s="12" t="s">
        <v>19</v>
      </c>
      <c r="E880" s="12">
        <v>-5247.75</v>
      </c>
    </row>
    <row r="881" spans="1:5">
      <c r="A881" s="15" t="s">
        <v>39</v>
      </c>
      <c r="B881" s="13">
        <v>2514</v>
      </c>
      <c r="C881" s="13" t="s">
        <v>20</v>
      </c>
      <c r="D881" s="13" t="s">
        <v>8</v>
      </c>
      <c r="E881" s="13">
        <v>-5220</v>
      </c>
    </row>
    <row r="882" spans="1:5">
      <c r="A882" s="14" t="s">
        <v>39</v>
      </c>
      <c r="B882" s="12">
        <v>2510</v>
      </c>
      <c r="C882" s="12" t="s">
        <v>24</v>
      </c>
      <c r="D882" s="12" t="s">
        <v>12</v>
      </c>
      <c r="E882" s="12">
        <v>-5153.75</v>
      </c>
    </row>
    <row r="883" spans="1:5">
      <c r="A883" s="15" t="s">
        <v>39</v>
      </c>
      <c r="B883" s="13">
        <v>2513</v>
      </c>
      <c r="C883" s="13" t="s">
        <v>17</v>
      </c>
      <c r="D883" s="13" t="s">
        <v>19</v>
      </c>
      <c r="E883" s="13">
        <v>-5129</v>
      </c>
    </row>
    <row r="884" spans="1:5">
      <c r="A884" s="14" t="s">
        <v>39</v>
      </c>
      <c r="B884" s="12">
        <v>2514</v>
      </c>
      <c r="C884" s="12" t="s">
        <v>20</v>
      </c>
      <c r="D884" s="12" t="s">
        <v>6</v>
      </c>
      <c r="E884" s="12">
        <v>-4962.75</v>
      </c>
    </row>
    <row r="885" spans="1:5">
      <c r="A885" s="15" t="s">
        <v>39</v>
      </c>
      <c r="B885" s="13">
        <v>2507</v>
      </c>
      <c r="C885" s="13" t="s">
        <v>11</v>
      </c>
      <c r="D885" s="13" t="s">
        <v>19</v>
      </c>
      <c r="E885" s="13">
        <v>-4784.75</v>
      </c>
    </row>
    <row r="886" spans="1:5">
      <c r="A886" s="14" t="s">
        <v>39</v>
      </c>
      <c r="B886" s="12">
        <v>2510</v>
      </c>
      <c r="C886" s="12" t="s">
        <v>24</v>
      </c>
      <c r="D886" s="12" t="s">
        <v>6</v>
      </c>
      <c r="E886" s="12">
        <v>-4700</v>
      </c>
    </row>
    <row r="887" spans="1:5">
      <c r="A887" s="15" t="s">
        <v>39</v>
      </c>
      <c r="B887" s="13">
        <v>2507</v>
      </c>
      <c r="C887" s="13" t="s">
        <v>11</v>
      </c>
      <c r="D887" s="13" t="s">
        <v>13</v>
      </c>
      <c r="E887" s="13">
        <v>-4648</v>
      </c>
    </row>
    <row r="888" spans="1:5">
      <c r="A888" s="14" t="s">
        <v>39</v>
      </c>
      <c r="B888" s="12">
        <v>2514</v>
      </c>
      <c r="C888" s="12" t="s">
        <v>20</v>
      </c>
      <c r="D888" s="12" t="s">
        <v>10</v>
      </c>
      <c r="E888" s="12">
        <v>-4557.75</v>
      </c>
    </row>
    <row r="889" spans="1:5">
      <c r="A889" s="15" t="s">
        <v>39</v>
      </c>
      <c r="B889" s="13">
        <v>2513</v>
      </c>
      <c r="C889" s="13" t="s">
        <v>17</v>
      </c>
      <c r="D889" s="13" t="s">
        <v>8</v>
      </c>
      <c r="E889" s="13">
        <v>-4444.5</v>
      </c>
    </row>
    <row r="890" spans="1:5">
      <c r="A890" s="14" t="s">
        <v>39</v>
      </c>
      <c r="B890" s="12">
        <v>2507</v>
      </c>
      <c r="C890" s="12" t="s">
        <v>11</v>
      </c>
      <c r="D890" s="12" t="s">
        <v>6</v>
      </c>
      <c r="E890" s="12">
        <v>-4388.25</v>
      </c>
    </row>
    <row r="891" spans="1:5">
      <c r="A891" s="15" t="s">
        <v>39</v>
      </c>
      <c r="B891" s="13">
        <v>2514</v>
      </c>
      <c r="C891" s="13" t="s">
        <v>20</v>
      </c>
      <c r="D891" s="13" t="s">
        <v>13</v>
      </c>
      <c r="E891" s="13">
        <v>-4354.25</v>
      </c>
    </row>
    <row r="892" spans="1:5">
      <c r="A892" s="14" t="s">
        <v>39</v>
      </c>
      <c r="B892" s="12">
        <v>2514</v>
      </c>
      <c r="C892" s="12" t="s">
        <v>20</v>
      </c>
      <c r="D892" s="12" t="s">
        <v>12</v>
      </c>
      <c r="E892" s="12">
        <v>-4310.75</v>
      </c>
    </row>
    <row r="893" spans="1:5">
      <c r="A893" s="15" t="s">
        <v>39</v>
      </c>
      <c r="B893" s="13">
        <v>2514</v>
      </c>
      <c r="C893" s="13" t="s">
        <v>20</v>
      </c>
      <c r="D893" s="13" t="s">
        <v>14</v>
      </c>
      <c r="E893" s="13">
        <v>-4174.25</v>
      </c>
    </row>
    <row r="894" spans="1:5">
      <c r="A894" s="14" t="s">
        <v>39</v>
      </c>
      <c r="B894" s="12">
        <v>2510</v>
      </c>
      <c r="C894" s="12" t="s">
        <v>24</v>
      </c>
      <c r="D894" s="12" t="s">
        <v>10</v>
      </c>
      <c r="E894" s="12">
        <v>-3941.75</v>
      </c>
    </row>
    <row r="895" spans="1:5">
      <c r="A895" s="15" t="s">
        <v>39</v>
      </c>
      <c r="B895" s="13">
        <v>2507</v>
      </c>
      <c r="C895" s="13" t="s">
        <v>11</v>
      </c>
      <c r="D895" s="13" t="s">
        <v>14</v>
      </c>
      <c r="E895" s="13">
        <v>-3734.5</v>
      </c>
    </row>
    <row r="896" spans="1:5">
      <c r="A896" s="14" t="s">
        <v>39</v>
      </c>
      <c r="B896" s="12">
        <v>2510</v>
      </c>
      <c r="C896" s="12" t="s">
        <v>24</v>
      </c>
      <c r="D896" s="12" t="s">
        <v>14</v>
      </c>
      <c r="E896" s="12">
        <v>-3725.5</v>
      </c>
    </row>
    <row r="897" spans="1:5">
      <c r="A897" s="15" t="s">
        <v>39</v>
      </c>
      <c r="B897" s="13">
        <v>2507</v>
      </c>
      <c r="C897" s="13" t="s">
        <v>11</v>
      </c>
      <c r="D897" s="13" t="s">
        <v>10</v>
      </c>
      <c r="E897" s="13">
        <v>-3649.5</v>
      </c>
    </row>
    <row r="898" spans="1:5">
      <c r="A898" s="14" t="s">
        <v>39</v>
      </c>
      <c r="B898" s="12">
        <v>2510</v>
      </c>
      <c r="C898" s="12" t="s">
        <v>24</v>
      </c>
      <c r="D898" s="12" t="s">
        <v>19</v>
      </c>
      <c r="E898" s="12">
        <v>-3497.5</v>
      </c>
    </row>
    <row r="899" spans="1:5">
      <c r="A899" s="15" t="s">
        <v>39</v>
      </c>
      <c r="B899" s="13">
        <v>2510</v>
      </c>
      <c r="C899" s="13" t="s">
        <v>24</v>
      </c>
      <c r="D899" s="13" t="s">
        <v>8</v>
      </c>
      <c r="E899" s="13">
        <v>-3421.5</v>
      </c>
    </row>
    <row r="900" spans="1:5">
      <c r="A900" s="14" t="s">
        <v>39</v>
      </c>
      <c r="B900" s="12">
        <v>2506</v>
      </c>
      <c r="C900" s="12" t="s">
        <v>27</v>
      </c>
      <c r="D900" s="12" t="s">
        <v>14</v>
      </c>
      <c r="E900" s="12">
        <v>-2289.25</v>
      </c>
    </row>
    <row r="901" spans="1:5">
      <c r="A901" s="15" t="s">
        <v>39</v>
      </c>
      <c r="B901" s="13">
        <v>2506</v>
      </c>
      <c r="C901" s="13" t="s">
        <v>27</v>
      </c>
      <c r="D901" s="13" t="s">
        <v>8</v>
      </c>
      <c r="E901" s="13">
        <v>-2252</v>
      </c>
    </row>
    <row r="902" spans="1:5">
      <c r="A902" s="14" t="s">
        <v>39</v>
      </c>
      <c r="B902" s="12">
        <v>2505</v>
      </c>
      <c r="C902" s="12" t="s">
        <v>9</v>
      </c>
      <c r="D902" s="12" t="s">
        <v>13</v>
      </c>
      <c r="E902" s="12">
        <v>-2188</v>
      </c>
    </row>
    <row r="903" spans="1:5">
      <c r="A903" s="15" t="s">
        <v>39</v>
      </c>
      <c r="B903" s="13">
        <v>2505</v>
      </c>
      <c r="C903" s="13" t="s">
        <v>9</v>
      </c>
      <c r="D903" s="13" t="s">
        <v>6</v>
      </c>
      <c r="E903" s="13">
        <v>-2147.5</v>
      </c>
    </row>
    <row r="904" spans="1:5">
      <c r="A904" s="14" t="s">
        <v>39</v>
      </c>
      <c r="B904" s="12">
        <v>2505</v>
      </c>
      <c r="C904" s="12" t="s">
        <v>9</v>
      </c>
      <c r="D904" s="12" t="s">
        <v>12</v>
      </c>
      <c r="E904" s="12">
        <v>-2066.5</v>
      </c>
    </row>
    <row r="905" spans="1:5">
      <c r="A905" s="15" t="s">
        <v>39</v>
      </c>
      <c r="B905" s="13">
        <v>2505</v>
      </c>
      <c r="C905" s="13" t="s">
        <v>9</v>
      </c>
      <c r="D905" s="13" t="s">
        <v>14</v>
      </c>
      <c r="E905" s="13">
        <v>-2001.5</v>
      </c>
    </row>
    <row r="906" spans="1:5">
      <c r="A906" s="14" t="s">
        <v>39</v>
      </c>
      <c r="B906" s="12">
        <v>2505</v>
      </c>
      <c r="C906" s="12" t="s">
        <v>9</v>
      </c>
      <c r="D906" s="12" t="s">
        <v>19</v>
      </c>
      <c r="E906" s="12">
        <v>-1928</v>
      </c>
    </row>
    <row r="907" spans="1:5">
      <c r="A907" s="15" t="s">
        <v>39</v>
      </c>
      <c r="B907" s="13">
        <v>2505</v>
      </c>
      <c r="C907" s="13" t="s">
        <v>9</v>
      </c>
      <c r="D907" s="13" t="s">
        <v>8</v>
      </c>
      <c r="E907" s="13">
        <v>-1828.75</v>
      </c>
    </row>
    <row r="908" spans="1:5">
      <c r="A908" s="14" t="s">
        <v>39</v>
      </c>
      <c r="B908" s="12">
        <v>2505</v>
      </c>
      <c r="C908" s="12" t="s">
        <v>9</v>
      </c>
      <c r="D908" s="12" t="s">
        <v>10</v>
      </c>
      <c r="E908" s="12">
        <v>-1824.25</v>
      </c>
    </row>
    <row r="909" spans="1:5">
      <c r="A909" s="15" t="s">
        <v>39</v>
      </c>
      <c r="B909" s="13">
        <v>1500</v>
      </c>
      <c r="C909" s="13" t="s">
        <v>26</v>
      </c>
      <c r="D909" s="13" t="s">
        <v>19</v>
      </c>
      <c r="E909" s="13">
        <v>-1659.75</v>
      </c>
    </row>
    <row r="910" spans="1:5">
      <c r="A910" s="14" t="s">
        <v>39</v>
      </c>
      <c r="B910" s="12">
        <v>2503</v>
      </c>
      <c r="C910" s="12" t="s">
        <v>22</v>
      </c>
      <c r="D910" s="12" t="s">
        <v>19</v>
      </c>
      <c r="E910" s="12">
        <v>-1517</v>
      </c>
    </row>
    <row r="911" spans="1:5">
      <c r="A911" s="15" t="s">
        <v>39</v>
      </c>
      <c r="B911" s="13">
        <v>2503</v>
      </c>
      <c r="C911" s="13" t="s">
        <v>22</v>
      </c>
      <c r="D911" s="13" t="s">
        <v>12</v>
      </c>
      <c r="E911" s="13">
        <v>-1340.25</v>
      </c>
    </row>
    <row r="912" spans="1:5">
      <c r="A912" s="14" t="s">
        <v>39</v>
      </c>
      <c r="B912" s="12">
        <v>2504</v>
      </c>
      <c r="C912" s="12" t="s">
        <v>21</v>
      </c>
      <c r="D912" s="12" t="s">
        <v>19</v>
      </c>
      <c r="E912" s="12">
        <v>-1215</v>
      </c>
    </row>
    <row r="913" spans="1:5">
      <c r="A913" s="15" t="s">
        <v>39</v>
      </c>
      <c r="B913" s="13">
        <v>2503</v>
      </c>
      <c r="C913" s="13" t="s">
        <v>22</v>
      </c>
      <c r="D913" s="13" t="s">
        <v>14</v>
      </c>
      <c r="E913" s="13">
        <v>-1168</v>
      </c>
    </row>
    <row r="914" spans="1:5">
      <c r="A914" s="14" t="s">
        <v>39</v>
      </c>
      <c r="B914" s="12">
        <v>2503</v>
      </c>
      <c r="C914" s="12" t="s">
        <v>22</v>
      </c>
      <c r="D914" s="12" t="s">
        <v>6</v>
      </c>
      <c r="E914" s="12">
        <v>-1152.75</v>
      </c>
    </row>
    <row r="915" spans="1:5">
      <c r="A915" s="15" t="s">
        <v>39</v>
      </c>
      <c r="B915" s="13">
        <v>2503</v>
      </c>
      <c r="C915" s="13" t="s">
        <v>22</v>
      </c>
      <c r="D915" s="13" t="s">
        <v>13</v>
      </c>
      <c r="E915" s="13">
        <v>-1152</v>
      </c>
    </row>
    <row r="916" spans="1:5">
      <c r="A916" s="14" t="s">
        <v>39</v>
      </c>
      <c r="B916" s="12">
        <v>2503</v>
      </c>
      <c r="C916" s="12" t="s">
        <v>22</v>
      </c>
      <c r="D916" s="12" t="s">
        <v>10</v>
      </c>
      <c r="E916" s="12">
        <v>-1133.25</v>
      </c>
    </row>
    <row r="917" spans="1:5">
      <c r="A917" s="15" t="s">
        <v>39</v>
      </c>
      <c r="B917" s="13">
        <v>2503</v>
      </c>
      <c r="C917" s="13" t="s">
        <v>22</v>
      </c>
      <c r="D917" s="13" t="s">
        <v>8</v>
      </c>
      <c r="E917" s="13">
        <v>-1103.25</v>
      </c>
    </row>
    <row r="918" spans="1:5">
      <c r="A918" s="14" t="s">
        <v>39</v>
      </c>
      <c r="B918" s="12">
        <v>2501</v>
      </c>
      <c r="C918" s="12" t="s">
        <v>5</v>
      </c>
      <c r="D918" s="12" t="s">
        <v>6</v>
      </c>
      <c r="E918" s="12">
        <v>-725.5</v>
      </c>
    </row>
    <row r="919" spans="1:5">
      <c r="A919" s="15" t="s">
        <v>39</v>
      </c>
      <c r="B919" s="13">
        <v>2501</v>
      </c>
      <c r="C919" s="13" t="s">
        <v>5</v>
      </c>
      <c r="D919" s="13" t="s">
        <v>10</v>
      </c>
      <c r="E919" s="13">
        <v>-564.25</v>
      </c>
    </row>
    <row r="920" spans="1:5">
      <c r="A920" s="14" t="s">
        <v>39</v>
      </c>
      <c r="B920" s="12">
        <v>2501</v>
      </c>
      <c r="C920" s="12" t="s">
        <v>5</v>
      </c>
      <c r="D920" s="12" t="s">
        <v>12</v>
      </c>
      <c r="E920" s="12">
        <v>-554.25</v>
      </c>
    </row>
    <row r="921" spans="1:5">
      <c r="A921" s="15" t="s">
        <v>39</v>
      </c>
      <c r="B921" s="13">
        <v>2501</v>
      </c>
      <c r="C921" s="13" t="s">
        <v>5</v>
      </c>
      <c r="D921" s="13" t="s">
        <v>14</v>
      </c>
      <c r="E921" s="13">
        <v>-503</v>
      </c>
    </row>
    <row r="922" spans="1:5">
      <c r="A922" s="14" t="s">
        <v>39</v>
      </c>
      <c r="B922" s="12">
        <v>2501</v>
      </c>
      <c r="C922" s="12" t="s">
        <v>5</v>
      </c>
      <c r="D922" s="12" t="s">
        <v>19</v>
      </c>
      <c r="E922" s="12">
        <v>-488</v>
      </c>
    </row>
    <row r="923" spans="1:5">
      <c r="A923" s="15" t="s">
        <v>39</v>
      </c>
      <c r="B923" s="13">
        <v>2501</v>
      </c>
      <c r="C923" s="13" t="s">
        <v>5</v>
      </c>
      <c r="D923" s="13" t="s">
        <v>13</v>
      </c>
      <c r="E923" s="13">
        <v>-425.75</v>
      </c>
    </row>
    <row r="924" spans="1:5">
      <c r="A924" s="14" t="s">
        <v>39</v>
      </c>
      <c r="B924" s="12">
        <v>2501</v>
      </c>
      <c r="C924" s="12" t="s">
        <v>5</v>
      </c>
      <c r="D924" s="12" t="s">
        <v>8</v>
      </c>
      <c r="E924" s="12">
        <v>-420.5</v>
      </c>
    </row>
    <row r="925" spans="1:5">
      <c r="A925" s="15" t="s">
        <v>39</v>
      </c>
      <c r="B925" s="13">
        <v>1000</v>
      </c>
      <c r="C925" s="13" t="s">
        <v>23</v>
      </c>
      <c r="D925" s="13" t="s">
        <v>19</v>
      </c>
      <c r="E925" s="13">
        <v>9598172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1:AN66"/>
  <sheetViews>
    <sheetView topLeftCell="P4" workbookViewId="0">
      <selection activeCell="Y9" sqref="Y9"/>
    </sheetView>
  </sheetViews>
  <sheetFormatPr defaultRowHeight="13.8"/>
  <cols>
    <col min="1" max="1" width="9.8984375" bestFit="1" customWidth="1"/>
    <col min="2" max="2" width="23.09765625" bestFit="1" customWidth="1"/>
    <col min="3" max="3" width="9.8984375" bestFit="1" customWidth="1"/>
    <col min="4" max="4" width="10.8984375" bestFit="1" customWidth="1"/>
    <col min="5" max="13" width="16.09765625" bestFit="1" customWidth="1"/>
    <col min="14" max="14" width="29.5" customWidth="1"/>
    <col min="15" max="15" width="16.09765625" bestFit="1" customWidth="1"/>
    <col min="16" max="17" width="9.8984375" bestFit="1" customWidth="1"/>
    <col min="18" max="18" width="9.5" bestFit="1" customWidth="1"/>
    <col min="19" max="19" width="9.8984375" bestFit="1" customWidth="1"/>
    <col min="20" max="20" width="9.5" bestFit="1" customWidth="1"/>
    <col min="21" max="21" width="9.8984375" bestFit="1" customWidth="1"/>
    <col min="22" max="22" width="9.5" bestFit="1" customWidth="1"/>
    <col min="23" max="26" width="9.8984375" bestFit="1" customWidth="1"/>
    <col min="27" max="27" width="20.09765625" customWidth="1"/>
    <col min="28" max="38" width="9.5" bestFit="1" customWidth="1"/>
    <col min="39" max="39" width="11.19921875" bestFit="1" customWidth="1"/>
    <col min="40" max="40" width="12.3984375" bestFit="1" customWidth="1"/>
  </cols>
  <sheetData>
    <row r="11" spans="1:31" ht="55.2">
      <c r="B11" t="str" vm="53">
        <f>CUBEMEMBER("ThisWorkbookDataModel","[Measures].[Budget]","Total Budget")</f>
        <v>Total Budget</v>
      </c>
      <c r="C11" t="str" vm="51">
        <f>CUBEMEMBER("ThisWorkbookDataModel","[Measures].[Actual]","Total Actual")</f>
        <v>Total Actual</v>
      </c>
      <c r="D11" t="str" vm="36">
        <f>CUBEMEMBER("ThisWorkbookDataModel","[Calender].[Month Name].&amp;[Jan]")</f>
        <v>Jan</v>
      </c>
      <c r="E11" t="str" vm="36">
        <f>D11</f>
        <v>Jan</v>
      </c>
      <c r="F11" t="str" vm="29">
        <f>CUBEMEMBER("ThisWorkbookDataModel","[Calender].[Month Name].&amp;[Feb]")</f>
        <v>Feb</v>
      </c>
      <c r="G11" t="str" vm="29">
        <f>F11</f>
        <v>Feb</v>
      </c>
      <c r="H11" t="str" vm="28">
        <f>CUBEMEMBER("ThisWorkbookDataModel","[Calender].[Month Name].&amp;[Mar]")</f>
        <v>Mar</v>
      </c>
      <c r="I11" t="str" vm="28">
        <f>H11</f>
        <v>Mar</v>
      </c>
      <c r="J11" t="str" vm="20">
        <f>CUBEMEMBER("ThisWorkbookDataModel","[Calender].[Month Name].&amp;[Apr]")</f>
        <v>Apr</v>
      </c>
      <c r="K11" t="str" vm="20">
        <f>J11</f>
        <v>Apr</v>
      </c>
      <c r="L11" t="str" vm="18">
        <f>CUBEMEMBER("ThisWorkbookDataModel","[Calender].[Month Name].&amp;[May]")</f>
        <v>May</v>
      </c>
      <c r="M11" t="str" vm="18">
        <f>L11</f>
        <v>May</v>
      </c>
      <c r="N11" t="str" vm="16">
        <f>CUBEMEMBER("ThisWorkbookDataModel","[Calender].[Month Name].&amp;[Jun]")</f>
        <v>Jun</v>
      </c>
      <c r="O11" t="str" vm="16">
        <f>N11</f>
        <v>Jun</v>
      </c>
      <c r="P11" t="str" vm="41">
        <f>CUBEMEMBER("ThisWorkbookDataModel","[Calender].[Month Name].&amp;[Jul]")</f>
        <v>Jul</v>
      </c>
      <c r="Q11" t="str" vm="41">
        <f>P11</f>
        <v>Jul</v>
      </c>
      <c r="R11" t="str" vm="47">
        <f>CUBEMEMBER("ThisWorkbookDataModel","[Calender].[Month Name].&amp;[Aug]")</f>
        <v>Aug</v>
      </c>
      <c r="S11" t="str" vm="47">
        <f>R11</f>
        <v>Aug</v>
      </c>
      <c r="T11" t="str" vm="48">
        <f>CUBEMEMBER("ThisWorkbookDataModel","[Calender].[Month Name].&amp;[Sep]")</f>
        <v>Sep</v>
      </c>
      <c r="U11" t="str" vm="48">
        <f>T11</f>
        <v>Sep</v>
      </c>
      <c r="V11" t="str" vm="44">
        <f>CUBEMEMBER("ThisWorkbookDataModel","[Calender].[Month Name].&amp;[Oct]")</f>
        <v>Oct</v>
      </c>
      <c r="W11" t="str" vm="44">
        <f>V11</f>
        <v>Oct</v>
      </c>
      <c r="X11" t="str" vm="32">
        <f>CUBEMEMBER("ThisWorkbookDataModel","[Calender].[Month Name].&amp;[Nov]")</f>
        <v>Nov</v>
      </c>
      <c r="Y11" t="str" vm="32">
        <f>X11</f>
        <v>Nov</v>
      </c>
      <c r="Z11" t="str" vm="54">
        <f>CUBEMEMBER("ThisWorkbookDataModel","[Calender].[Month Name].&amp;[Dec]")</f>
        <v>Dec</v>
      </c>
      <c r="AA11" t="str" vm="54">
        <f>Z11</f>
        <v>Dec</v>
      </c>
      <c r="AB11" s="18" t="s">
        <v>63</v>
      </c>
      <c r="AC11" s="18" t="s">
        <v>62</v>
      </c>
      <c r="AD11" t="s">
        <v>65</v>
      </c>
      <c r="AE11" t="s">
        <v>64</v>
      </c>
    </row>
    <row r="12" spans="1:31">
      <c r="A12" t="s">
        <v>56</v>
      </c>
      <c r="D12" t="str" vm="50">
        <f>CUBEMEMBER("ThisWorkbookDataModel",{"[Calender].[Month Name].&amp;[Jan]","[Measures].[Budget]"})</f>
        <v>Budget</v>
      </c>
      <c r="E12" t="str" vm="14">
        <f>CUBEMEMBER("ThisWorkbookDataModel",{"[Calender].[Month Name].&amp;[Jan]","[Measures].[Actual]"})</f>
        <v>Actual</v>
      </c>
      <c r="F12" t="str" vm="12">
        <f>CUBEMEMBER("ThisWorkbookDataModel",{"[Calender].[Month Name].&amp;[Feb]","[Measures].[Budget]"})</f>
        <v>Budget</v>
      </c>
      <c r="G12" t="str" vm="10">
        <f>CUBEMEMBER("ThisWorkbookDataModel",{"[Calender].[Month Name].&amp;[Feb]","[Measures].[Actual]"})</f>
        <v>Actual</v>
      </c>
      <c r="H12" t="str" vm="8">
        <f>CUBEMEMBER("ThisWorkbookDataModel",{"[Calender].[Month Name].&amp;[Mar]","[Measures].[Budget]"})</f>
        <v>Budget</v>
      </c>
      <c r="I12" t="str" vm="6">
        <f>CUBEMEMBER("ThisWorkbookDataModel",{"[Calender].[Month Name].&amp;[Mar]","[Measures].[Actual]"})</f>
        <v>Actual</v>
      </c>
      <c r="J12" t="str" vm="4">
        <f>CUBEMEMBER("ThisWorkbookDataModel",{"[Calender].[Month Name].&amp;[Apr]","[Measures].[Budget]"})</f>
        <v>Budget</v>
      </c>
      <c r="K12" t="str" vm="2">
        <f>CUBEMEMBER("ThisWorkbookDataModel",{"[Calender].[Month Name].&amp;[Apr]","[Measures].[Actual]"})</f>
        <v>Actual</v>
      </c>
      <c r="L12" t="str" vm="49">
        <f>CUBEMEMBER("ThisWorkbookDataModel",{"[Calender].[Month Name].&amp;[May]","[Measures].[Budget]"})</f>
        <v>Budget</v>
      </c>
      <c r="M12" t="str" vm="31">
        <f>CUBEMEMBER("ThisWorkbookDataModel",{"[Calender].[Month Name].&amp;[May]","[Measures].[Actual]"})</f>
        <v>Actual</v>
      </c>
      <c r="N12" t="str" vm="40">
        <f>CUBEMEMBER("ThisWorkbookDataModel",{"[Calender].[Month Name].&amp;[Jun]","[Measures].[Budget]"})</f>
        <v>Budget</v>
      </c>
      <c r="O12" t="str" vm="26">
        <f>CUBEMEMBER("ThisWorkbookDataModel",{"[Calender].[Month Name].&amp;[Jun]","[Measures].[Actual]"})</f>
        <v>Actual</v>
      </c>
      <c r="P12" t="str" vm="25">
        <f>CUBEMEMBER("ThisWorkbookDataModel",{"[Calender].[Month Name].&amp;[Jul]","[Measures].[Budget]"})</f>
        <v>Budget</v>
      </c>
      <c r="Q12" t="str" vm="43">
        <f>CUBEMEMBER("ThisWorkbookDataModel",{"[Calender].[Month Name].&amp;[Jul]","[Measures].[Actual]"})</f>
        <v>Actual</v>
      </c>
      <c r="R12" t="str" vm="42">
        <f>CUBEMEMBER("ThisWorkbookDataModel",{"[Calender].[Month Name].&amp;[Aug]","[Measures].[Budget]"})</f>
        <v>Budget</v>
      </c>
      <c r="S12" t="str" vm="39">
        <f>CUBEMEMBER("ThisWorkbookDataModel",{"[Calender].[Month Name].&amp;[Aug]","[Measures].[Actual]"})</f>
        <v>Actual</v>
      </c>
      <c r="T12" t="str" vm="38">
        <f>CUBEMEMBER("ThisWorkbookDataModel",{"[Calender].[Month Name].&amp;[Sep]","[Measures].[Budget]"})</f>
        <v>Budget</v>
      </c>
      <c r="U12" t="str" vm="46">
        <f>CUBEMEMBER("ThisWorkbookDataModel",{"[Calender].[Month Name].&amp;[Sep]","[Measures].[Actual]"})</f>
        <v>Actual</v>
      </c>
      <c r="V12" t="str" vm="37">
        <f>CUBEMEMBER("ThisWorkbookDataModel",{"[Calender].[Month Name].&amp;[Oct]","[Measures].[Budget]"})</f>
        <v>Budget</v>
      </c>
      <c r="W12" t="str" vm="24">
        <f>CUBEMEMBER("ThisWorkbookDataModel",{"[Calender].[Month Name].&amp;[Oct]","[Measures].[Actual]"})</f>
        <v>Actual</v>
      </c>
      <c r="X12" t="str" vm="23">
        <f>CUBEMEMBER("ThisWorkbookDataModel",{"[Calender].[Month Name].&amp;[Nov]","[Measures].[Budget]"})</f>
        <v>Budget</v>
      </c>
      <c r="Y12" t="str" vm="30">
        <f>CUBEMEMBER("ThisWorkbookDataModel",{"[Calender].[Month Name].&amp;[Nov]","[Measures].[Actual]"})</f>
        <v>Actual</v>
      </c>
      <c r="Z12" t="str" vm="22">
        <f>CUBEMEMBER("ThisWorkbookDataModel",{"[Calender].[Month Name].&amp;[Dec]","[Measures].[Budget]"})</f>
        <v>Budget</v>
      </c>
      <c r="AA12" t="str" vm="21">
        <f>CUBEMEMBER("ThisWorkbookDataModel",{"[Calender].[Month Name].&amp;[Dec]","[Measures].[Actual]"})</f>
        <v>Actual</v>
      </c>
    </row>
    <row r="13" spans="1:31">
      <c r="A13" s="2" t="str" vm="19">
        <f>CUBEMEMBER("ThisWorkbookDataModel","[D_Account].[AccountName].&amp;[Sales]")</f>
        <v>Sales</v>
      </c>
      <c r="B13" vm="469">
        <f>CUBEVALUE("ThisWorkbookDataModel",$A13,B$11,Slicer_Type,Slicer_Department)</f>
        <v>105300402</v>
      </c>
      <c r="C13" vm="263">
        <f>CUBEVALUE("ThisWorkbookDataModel",$A13,C$11,Slicer_Type,Slicer_Department)</f>
        <v>159872424</v>
      </c>
      <c r="D13" vm="194">
        <f>CUBEVALUE("ThisWorkbookDataModel",$A13,D$12,Slicer_Type,Slicer_Department)</f>
        <v>7995921</v>
      </c>
      <c r="E13" vm="185">
        <f>CUBEVALUE("ThisWorkbookDataModel",$A13,E$12,Slicer_Type,Slicer_Department)</f>
        <v>16447053</v>
      </c>
      <c r="F13" vm="177">
        <f>CUBEVALUE("ThisWorkbookDataModel",$A13,F$12,Slicer_Type,Slicer_Department)</f>
        <v>7155365</v>
      </c>
      <c r="G13" vm="161">
        <f>CUBEVALUE("ThisWorkbookDataModel",$A13,G$12,Slicer_Type,Slicer_Department)</f>
        <v>11215260</v>
      </c>
      <c r="H13" vm="105">
        <f>CUBEVALUE("ThisWorkbookDataModel",$A13,H$12,Slicer_Type,Slicer_Department)</f>
        <v>7913565</v>
      </c>
      <c r="I13" vm="104">
        <f>CUBEVALUE("ThisWorkbookDataModel",$A13,I$12,Slicer_Type,Slicer_Department)</f>
        <v>13708858</v>
      </c>
      <c r="J13" vm="91">
        <f>CUBEVALUE("ThisWorkbookDataModel",$A13,J$12,Slicer_Type,Slicer_Department)</f>
        <v>8716551</v>
      </c>
      <c r="K13" vm="155">
        <f>CUBEVALUE("ThisWorkbookDataModel",$A13,K$12,Slicer_Type,Slicer_Department)</f>
        <v>9846021</v>
      </c>
      <c r="L13" vm="414">
        <f>CUBEVALUE("ThisWorkbookDataModel",$A13,L$12,Slicer_Type,Slicer_Department)</f>
        <v>8127229</v>
      </c>
      <c r="M13" vm="293">
        <f>CUBEVALUE("ThisWorkbookDataModel",$A13,M$12,Slicer_Type,Slicer_Department)</f>
        <v>14418702</v>
      </c>
      <c r="N13" vm="368">
        <f>CUBEVALUE("ThisWorkbookDataModel",$A13,N$12,Slicer_Type,Slicer_Department)</f>
        <v>8889625</v>
      </c>
      <c r="O13" vm="275">
        <f>CUBEVALUE("ThisWorkbookDataModel",$A13,O$12,Slicer_Type,Slicer_Department)</f>
        <v>5842719</v>
      </c>
      <c r="P13" vm="271">
        <f>CUBEVALUE("ThisWorkbookDataModel",$A13,P$12,Slicer_Type,Slicer_Department)</f>
        <v>9730180</v>
      </c>
      <c r="Q13" vm="380">
        <f>CUBEVALUE("ThisWorkbookDataModel",$A13,Q$12,Slicer_Type,Slicer_Department)</f>
        <v>16729633</v>
      </c>
      <c r="R13" vm="372">
        <f>CUBEVALUE("ThisWorkbookDataModel",$A13,R$12,Slicer_Type,Slicer_Department)</f>
        <v>9208197</v>
      </c>
      <c r="S13" vm="362">
        <f>CUBEVALUE("ThisWorkbookDataModel",$A13,S$12,Slicer_Type,Slicer_Department)</f>
        <v>8040079</v>
      </c>
      <c r="T13" vm="264">
        <f>CUBEVALUE("ThisWorkbookDataModel",$A13,T$12,Slicer_Type,Slicer_Department)</f>
        <v>9118441</v>
      </c>
      <c r="U13" vm="265">
        <f>CUBEVALUE("ThisWorkbookDataModel",$A13,U$12,Slicer_Type,Slicer_Department)</f>
        <v>11598976</v>
      </c>
      <c r="V13" vm="266">
        <f>CUBEVALUE("ThisWorkbookDataModel",$A13,V$12,Slicer_Type,Slicer_Department)</f>
        <v>9010679</v>
      </c>
      <c r="W13" vm="267">
        <f>CUBEVALUE("ThisWorkbookDataModel",$A13,W$12,Slicer_Type,Slicer_Department)</f>
        <v>20402679</v>
      </c>
      <c r="X13" vm="268">
        <f>CUBEVALUE("ThisWorkbookDataModel",$A13,X$12,Slicer_Type,Slicer_Department)</f>
        <v>9836477</v>
      </c>
      <c r="Y13" vm="269">
        <f>CUBEVALUE("ThisWorkbookDataModel",$A13,Y$12,Slicer_Type,Slicer_Department)</f>
        <v>14264165</v>
      </c>
      <c r="Z13" vm="270">
        <f>CUBEVALUE("ThisWorkbookDataModel",$A13,Z$12,Slicer_Type,Slicer_Department)</f>
        <v>9598172</v>
      </c>
      <c r="AA13" vm="113">
        <f>CUBEVALUE("ThisWorkbookDataModel",$A13,AA$12,Slicer_Type,Slicer_Department)</f>
        <v>17358279</v>
      </c>
      <c r="AB13">
        <f>IFERROR(C13-B13,"")</f>
        <v>54572022</v>
      </c>
      <c r="AC13" s="19">
        <f>IFERROR(AB13/ABS(B13),"")</f>
        <v>0.51825084200533256</v>
      </c>
      <c r="AE13" s="20" t="str">
        <f t="shared" ref="AE13:AE29" si="0">IF(AC13&gt;0,"🔼","🔽")</f>
        <v>🔼</v>
      </c>
    </row>
    <row r="14" spans="1:31">
      <c r="A14" s="2" t="str" vm="17">
        <f>CUBEMEMBER("ThisWorkbookDataModel","[D_Account].[AccountName].&amp;[Discounts]")</f>
        <v>Discounts</v>
      </c>
      <c r="B14" vm="262">
        <f>CUBEVALUE("ThisWorkbookDataModel",$A14,B$11,Slicer_Type,Slicer_Department)</f>
        <v>-89075.5</v>
      </c>
      <c r="C14" vm="433">
        <f>CUBEVALUE("ThisWorkbookDataModel",$A14,C$11,Slicer_Type,Slicer_Department)</f>
        <v>-5345940</v>
      </c>
      <c r="D14" vm="254">
        <f>CUBEVALUE("ThisWorkbookDataModel",$A14,D$12,Slicer_Type,Slicer_Department)</f>
        <v>-996.5</v>
      </c>
      <c r="E14" vm="255">
        <f>CUBEVALUE("ThisWorkbookDataModel",$A14,E$12,Slicer_Type,Slicer_Department)</f>
        <v>-437091</v>
      </c>
      <c r="F14" vm="221">
        <f>CUBEVALUE("ThisWorkbookDataModel",$A14,F$12,Slicer_Type,Slicer_Department)</f>
        <v>-3523.75</v>
      </c>
      <c r="G14" vm="138">
        <f>CUBEVALUE("ThisWorkbookDataModel",$A14,G$12,Slicer_Type,Slicer_Department)</f>
        <v>-457968</v>
      </c>
      <c r="H14" vm="97">
        <f>CUBEVALUE("ThisWorkbookDataModel",$A14,H$12,Slicer_Type,Slicer_Department)</f>
        <v>-751.75</v>
      </c>
      <c r="I14" vm="95">
        <f>CUBEVALUE("ThisWorkbookDataModel",$A14,I$12,Slicer_Type,Slicer_Department)</f>
        <v>-309493</v>
      </c>
      <c r="J14" vm="79">
        <f>CUBEVALUE("ThisWorkbookDataModel",$A14,J$12,Slicer_Type,Slicer_Department)</f>
        <v>-43</v>
      </c>
      <c r="K14" vm="94">
        <f>CUBEVALUE("ThisWorkbookDataModel",$A14,K$12,Slicer_Type,Slicer_Department)</f>
        <v>-528042</v>
      </c>
      <c r="L14" vm="203">
        <f>CUBEVALUE("ThisWorkbookDataModel",$A14,L$12,Slicer_Type,Slicer_Department)</f>
        <v>-27275.5</v>
      </c>
      <c r="M14" vm="193">
        <f>CUBEVALUE("ThisWorkbookDataModel",$A14,M$12,Slicer_Type,Slicer_Department)</f>
        <v>-353412</v>
      </c>
      <c r="N14" vm="184">
        <f>CUBEVALUE("ThisWorkbookDataModel",$A14,N$12,Slicer_Type,Slicer_Department)</f>
        <v>-41</v>
      </c>
      <c r="O14" vm="176">
        <f>CUBEVALUE("ThisWorkbookDataModel",$A14,O$12,Slicer_Type,Slicer_Department)</f>
        <v>-367663</v>
      </c>
      <c r="P14" vm="107">
        <f>CUBEVALUE("ThisWorkbookDataModel",$A14,P$12,Slicer_Type,Slicer_Department)</f>
        <v>-5165.25</v>
      </c>
      <c r="Q14" vm="378">
        <f>CUBEVALUE("ThisWorkbookDataModel",$A14,Q$12,Slicer_Type,Slicer_Department)</f>
        <v>-616504</v>
      </c>
      <c r="R14" vm="158">
        <f>CUBEVALUE("ThisWorkbookDataModel",$A14,R$12,Slicer_Type,Slicer_Department)</f>
        <v>-1831.5</v>
      </c>
      <c r="S14" vm="359">
        <f>CUBEVALUE("ThisWorkbookDataModel",$A14,S$12,Slicer_Type,Slicer_Department)</f>
        <v>-539515</v>
      </c>
      <c r="T14" vm="124">
        <f>CUBEVALUE("ThisWorkbookDataModel",$A14,T$12,Slicer_Type,Slicer_Department)</f>
        <v>-16026</v>
      </c>
      <c r="U14" vm="407">
        <f>CUBEVALUE("ThisWorkbookDataModel",$A14,U$12,Slicer_Type,Slicer_Department)</f>
        <v>-422305</v>
      </c>
      <c r="V14" vm="256">
        <f>CUBEVALUE("ThisWorkbookDataModel",$A14,V$12,Slicer_Type,Slicer_Department)</f>
        <v>-32.75</v>
      </c>
      <c r="W14" vm="257">
        <f>CUBEVALUE("ThisWorkbookDataModel",$A14,W$12,Slicer_Type,Slicer_Department)</f>
        <v>-498296</v>
      </c>
      <c r="X14" vm="258">
        <f>CUBEVALUE("ThisWorkbookDataModel",$A14,X$12,Slicer_Type,Slicer_Department)</f>
        <v>-31728.75</v>
      </c>
      <c r="Y14" vm="259">
        <f>CUBEVALUE("ThisWorkbookDataModel",$A14,Y$12,Slicer_Type,Slicer_Department)</f>
        <v>-354202</v>
      </c>
      <c r="Z14" vm="260">
        <f>CUBEVALUE("ThisWorkbookDataModel",$A14,Z$12,Slicer_Type,Slicer_Department)</f>
        <v>-1659.75</v>
      </c>
      <c r="AA14" vm="261">
        <f>CUBEVALUE("ThisWorkbookDataModel",$A14,AA$12,Slicer_Type,Slicer_Department)</f>
        <v>-461449</v>
      </c>
      <c r="AB14">
        <f t="shared" ref="AB14:AB29" si="1">IFERROR(C14-B14,"")</f>
        <v>-5256864.5</v>
      </c>
      <c r="AC14" s="19">
        <f t="shared" ref="AC14:AC29" si="2">IFERROR(AB14/ABS(B14),"")</f>
        <v>-59.015829268429592</v>
      </c>
      <c r="AE14" s="20" t="str">
        <f t="shared" si="0"/>
        <v>🔽</v>
      </c>
    </row>
    <row r="15" spans="1:31">
      <c r="A15" s="2" t="str" vm="15">
        <f>CUBEMEMBER("ThisWorkbookDataModel","[D_Account].[AccountName].&amp;[Cost of Sales]")</f>
        <v>Cost of Sales</v>
      </c>
      <c r="B15" vm="252">
        <f>CUBEVALUE("ThisWorkbookDataModel",$A15,B$11,Slicer_Type,Slicer_Department)</f>
        <v>-1554236</v>
      </c>
      <c r="C15" vm="253">
        <f>CUBEVALUE("ThisWorkbookDataModel",$A15,C$11,Slicer_Type,Slicer_Department)</f>
        <v>-33461754</v>
      </c>
      <c r="D15" vm="421">
        <f>CUBEVALUE("ThisWorkbookDataModel",$A15,D$12,Slicer_Type,Slicer_Department)</f>
        <v>-97133.833333333328</v>
      </c>
      <c r="E15" vm="89">
        <f>CUBEVALUE("ThisWorkbookDataModel",$A15,E$12,Slicer_Type,Slicer_Department)</f>
        <v>-2775891</v>
      </c>
      <c r="F15" vm="88">
        <f>CUBEVALUE("ThisWorkbookDataModel",$A15,F$12,Slicer_Type,Slicer_Department)</f>
        <v>-125065.08333333333</v>
      </c>
      <c r="G15" vm="72">
        <f>CUBEVALUE("ThisWorkbookDataModel",$A15,G$12,Slicer_Type,Slicer_Department)</f>
        <v>-2138939</v>
      </c>
      <c r="H15" vm="70">
        <f>CUBEVALUE("ThisWorkbookDataModel",$A15,H$12,Slicer_Type,Slicer_Department)</f>
        <v>-101243.16666666667</v>
      </c>
      <c r="I15" vm="115">
        <f>CUBEVALUE("ThisWorkbookDataModel",$A15,I$12,Slicer_Type,Slicer_Department)</f>
        <v>-3023690</v>
      </c>
      <c r="J15" vm="82">
        <f>CUBEVALUE("ThisWorkbookDataModel",$A15,J$12,Slicer_Type,Slicer_Department)</f>
        <v>-93656.25</v>
      </c>
      <c r="K15" vm="65">
        <f>CUBEVALUE("ThisWorkbookDataModel",$A15,K$12,Slicer_Type,Slicer_Department)</f>
        <v>-2710779</v>
      </c>
      <c r="L15" vm="415">
        <f>CUBEVALUE("ThisWorkbookDataModel",$A15,L$12,Slicer_Type,Slicer_Department)</f>
        <v>-132237.16666666666</v>
      </c>
      <c r="M15" vm="295">
        <f>CUBEVALUE("ThisWorkbookDataModel",$A15,M$12,Slicer_Type,Slicer_Department)</f>
        <v>-4010312</v>
      </c>
      <c r="N15" vm="247">
        <f>CUBEVALUE("ThisWorkbookDataModel",$A15,N$12,Slicer_Type,Slicer_Department)</f>
        <v>-141101.58333333334</v>
      </c>
      <c r="O15" vm="99">
        <f>CUBEVALUE("ThisWorkbookDataModel",$A15,O$12,Slicer_Type,Slicer_Department)</f>
        <v>-2118947</v>
      </c>
      <c r="P15" vm="150">
        <f>CUBEVALUE("ThisWorkbookDataModel",$A15,P$12,Slicer_Type,Slicer_Department)</f>
        <v>-220996.5</v>
      </c>
      <c r="Q15" vm="148">
        <f>CUBEVALUE("ThisWorkbookDataModel",$A15,Q$12,Slicer_Type,Slicer_Department)</f>
        <v>-1999968</v>
      </c>
      <c r="R15" vm="214">
        <f>CUBEVALUE("ThisWorkbookDataModel",$A15,R$12,Slicer_Type,Slicer_Department)</f>
        <v>-84058.083333333328</v>
      </c>
      <c r="S15" vm="146">
        <f>CUBEVALUE("ThisWorkbookDataModel",$A15,S$12,Slicer_Type,Slicer_Department)</f>
        <v>-3702594</v>
      </c>
      <c r="T15" vm="210">
        <f>CUBEVALUE("ThisWorkbookDataModel",$A15,T$12,Slicer_Type,Slicer_Department)</f>
        <v>-167466.75</v>
      </c>
      <c r="U15" vm="202">
        <f>CUBEVALUE("ThisWorkbookDataModel",$A15,U$12,Slicer_Type,Slicer_Department)</f>
        <v>-1910083</v>
      </c>
      <c r="V15" vm="192">
        <f>CUBEVALUE("ThisWorkbookDataModel",$A15,V$12,Slicer_Type,Slicer_Department)</f>
        <v>-196676.25</v>
      </c>
      <c r="W15" vm="183">
        <f>CUBEVALUE("ThisWorkbookDataModel",$A15,W$12,Slicer_Type,Slicer_Department)</f>
        <v>-1953148</v>
      </c>
      <c r="X15" vm="248">
        <f>CUBEVALUE("ThisWorkbookDataModel",$A15,X$12,Slicer_Type,Slicer_Department)</f>
        <v>-106007.58333333333</v>
      </c>
      <c r="Y15" vm="249">
        <f>CUBEVALUE("ThisWorkbookDataModel",$A15,Y$12,Slicer_Type,Slicer_Department)</f>
        <v>-2815990</v>
      </c>
      <c r="Z15" vm="250">
        <f>CUBEVALUE("ThisWorkbookDataModel",$A15,Z$12,Slicer_Type,Slicer_Department)</f>
        <v>-88593.75</v>
      </c>
      <c r="AA15" vm="251">
        <f>CUBEVALUE("ThisWorkbookDataModel",$A15,AA$12,Slicer_Type,Slicer_Department)</f>
        <v>-4301413</v>
      </c>
      <c r="AB15">
        <f t="shared" si="1"/>
        <v>-31907518</v>
      </c>
      <c r="AC15" s="19">
        <f t="shared" si="2"/>
        <v>-20.529390645950809</v>
      </c>
      <c r="AE15" s="20" t="str">
        <f t="shared" si="0"/>
        <v>🔽</v>
      </c>
    </row>
    <row r="16" spans="1:31">
      <c r="A16" s="2" t="str" vm="45">
        <f>CUBEMEMBER("ThisWorkbookDataModel","[D_Account].[AccountName].&amp;[Commissions]")</f>
        <v>Commissions</v>
      </c>
      <c r="B16" vm="404">
        <f>CUBEVALUE("ThisWorkbookDataModel",$A16,B$11,Slicer_Type,Slicer_Department)</f>
        <v>-471142</v>
      </c>
      <c r="C16" vm="405">
        <f>CUBEVALUE("ThisWorkbookDataModel",$A16,C$11,Slicer_Type,Slicer_Department)</f>
        <v>-6129087</v>
      </c>
      <c r="D16" vm="406">
        <f>CUBEVALUE("ThisWorkbookDataModel",$A16,D$12,Slicer_Type,Slicer_Department)</f>
        <v>-37210.5</v>
      </c>
      <c r="E16" vm="175">
        <f>CUBEVALUE("ThisWorkbookDataModel",$A16,E$12,Slicer_Type,Slicer_Department)</f>
        <v>-509171</v>
      </c>
      <c r="F16" vm="384">
        <f>CUBEVALUE("ThisWorkbookDataModel",$A16,F$12,Slicer_Type,Slicer_Department)</f>
        <v>-28829.75</v>
      </c>
      <c r="G16" vm="385">
        <f>CUBEVALUE("ThisWorkbookDataModel",$A16,G$12,Slicer_Type,Slicer_Department)</f>
        <v>-460141</v>
      </c>
      <c r="H16" vm="386">
        <f>CUBEVALUE("ThisWorkbookDataModel",$A16,H$12,Slicer_Type,Slicer_Department)</f>
        <v>-23071.25</v>
      </c>
      <c r="I16" vm="387">
        <f>CUBEVALUE("ThisWorkbookDataModel",$A16,I$12,Slicer_Type,Slicer_Department)</f>
        <v>-209945</v>
      </c>
      <c r="J16" vm="390">
        <f>CUBEVALUE("ThisWorkbookDataModel",$A16,J$12,Slicer_Type,Slicer_Department)</f>
        <v>-80743.25</v>
      </c>
      <c r="K16" vm="153">
        <f>CUBEVALUE("ThisWorkbookDataModel",$A16,K$12,Slicer_Type,Slicer_Department)</f>
        <v>-562912</v>
      </c>
      <c r="L16" vm="391">
        <f>CUBEVALUE("ThisWorkbookDataModel",$A16,L$12,Slicer_Type,Slicer_Department)</f>
        <v>-22100</v>
      </c>
      <c r="M16" vm="392">
        <f>CUBEVALUE("ThisWorkbookDataModel",$A16,M$12,Slicer_Type,Slicer_Department)</f>
        <v>-435411</v>
      </c>
      <c r="N16" vm="388">
        <f>CUBEVALUE("ThisWorkbookDataModel",$A16,N$12,Slicer_Type,Slicer_Department)</f>
        <v>-50691.25</v>
      </c>
      <c r="O16" vm="396">
        <f>CUBEVALUE("ThisWorkbookDataModel",$A16,O$12,Slicer_Type,Slicer_Department)</f>
        <v>-485667</v>
      </c>
      <c r="P16" vm="397">
        <f>CUBEVALUE("ThisWorkbookDataModel",$A16,P$12,Slicer_Type,Slicer_Department)</f>
        <v>-30042</v>
      </c>
      <c r="Q16" vm="389">
        <f>CUBEVALUE("ThisWorkbookDataModel",$A16,Q$12,Slicer_Type,Slicer_Department)</f>
        <v>-408704</v>
      </c>
      <c r="R16" vm="393">
        <f>CUBEVALUE("ThisWorkbookDataModel",$A16,R$12,Slicer_Type,Slicer_Department)</f>
        <v>-31272.5</v>
      </c>
      <c r="S16" vm="398">
        <f>CUBEVALUE("ThisWorkbookDataModel",$A16,S$12,Slicer_Type,Slicer_Department)</f>
        <v>-561851</v>
      </c>
      <c r="T16" vm="399">
        <f>CUBEVALUE("ThisWorkbookDataModel",$A16,T$12,Slicer_Type,Slicer_Department)</f>
        <v>-36502.5</v>
      </c>
      <c r="U16" vm="394">
        <f>CUBEVALUE("ThisWorkbookDataModel",$A16,U$12,Slicer_Type,Slicer_Department)</f>
        <v>-843341</v>
      </c>
      <c r="V16" vm="400">
        <f>CUBEVALUE("ThisWorkbookDataModel",$A16,V$12,Slicer_Type,Slicer_Department)</f>
        <v>-35856.5</v>
      </c>
      <c r="W16" vm="401">
        <f>CUBEVALUE("ThisWorkbookDataModel",$A16,W$12,Slicer_Type,Slicer_Department)</f>
        <v>-705345</v>
      </c>
      <c r="X16" vm="165">
        <f>CUBEVALUE("ThisWorkbookDataModel",$A16,X$12,Slicer_Type,Slicer_Department)</f>
        <v>-59957.25</v>
      </c>
      <c r="Y16" vm="395">
        <f>CUBEVALUE("ThisWorkbookDataModel",$A16,Y$12,Slicer_Type,Slicer_Department)</f>
        <v>-647881</v>
      </c>
      <c r="Z16" vm="402">
        <f>CUBEVALUE("ThisWorkbookDataModel",$A16,Z$12,Slicer_Type,Slicer_Department)</f>
        <v>-34865.25</v>
      </c>
      <c r="AA16" vm="403">
        <f>CUBEVALUE("ThisWorkbookDataModel",$A16,AA$12,Slicer_Type,Slicer_Department)</f>
        <v>-298718</v>
      </c>
      <c r="AB16">
        <f t="shared" si="1"/>
        <v>-5657945</v>
      </c>
      <c r="AC16" s="19">
        <f t="shared" si="2"/>
        <v>-12.009001532446693</v>
      </c>
      <c r="AE16" s="20" t="str">
        <f t="shared" si="0"/>
        <v>🔽</v>
      </c>
    </row>
    <row r="17" spans="1:31">
      <c r="A17" s="2" t="str" vm="33">
        <f>CUBEMEMBER("ThisWorkbookDataModel","[D_Account].[AccountName].&amp;[Conferences]")</f>
        <v>Conferences</v>
      </c>
      <c r="B17" vm="308">
        <f>CUBEVALUE("ThisWorkbookDataModel",$A17,B$11,Slicer_Type,Slicer_Department)</f>
        <v>-44537</v>
      </c>
      <c r="C17" vm="309">
        <f>CUBEVALUE("ThisWorkbookDataModel",$A17,C$11,Slicer_Type,Slicer_Department)</f>
        <v>-58022</v>
      </c>
      <c r="D17" vm="310">
        <f>CUBEVALUE("ThisWorkbookDataModel",$A17,D$12,Slicer_Type,Slicer_Department)</f>
        <v>-3773</v>
      </c>
      <c r="E17" vm="311">
        <f>CUBEVALUE("ThisWorkbookDataModel",$A17,E$12,Slicer_Type,Slicer_Department)</f>
        <v>-4537</v>
      </c>
      <c r="F17" vm="312">
        <f>CUBEVALUE("ThisWorkbookDataModel",$A17,F$12,Slicer_Type,Slicer_Department)</f>
        <v>-3598.5</v>
      </c>
      <c r="G17" vm="136">
        <f>CUBEVALUE("ThisWorkbookDataModel",$A17,G$12,Slicer_Type,Slicer_Department)</f>
        <v>-5157</v>
      </c>
      <c r="H17" vm="163">
        <f>CUBEVALUE("ThisWorkbookDataModel",$A17,H$12,Slicer_Type,Slicer_Department)</f>
        <v>-3642.25</v>
      </c>
      <c r="I17" vm="133">
        <f>CUBEVALUE("ThisWorkbookDataModel",$A17,I$12,Slicer_Type,Slicer_Department)</f>
        <v>-5097</v>
      </c>
      <c r="J17" vm="131">
        <f>CUBEVALUE("ThisWorkbookDataModel",$A17,J$12,Slicer_Type,Slicer_Department)</f>
        <v>-3807</v>
      </c>
      <c r="K17" vm="201">
        <f>CUBEVALUE("ThisWorkbookDataModel",$A17,K$12,Slicer_Type,Slicer_Department)</f>
        <v>-3701</v>
      </c>
      <c r="L17" vm="191">
        <f>CUBEVALUE("ThisWorkbookDataModel",$A17,L$12,Slicer_Type,Slicer_Department)</f>
        <v>-3434.5</v>
      </c>
      <c r="M17" vm="182">
        <f>CUBEVALUE("ThisWorkbookDataModel",$A17,M$12,Slicer_Type,Slicer_Department)</f>
        <v>-5753</v>
      </c>
      <c r="N17" vm="174">
        <f>CUBEVALUE("ThisWorkbookDataModel",$A17,N$12,Slicer_Type,Slicer_Department)</f>
        <v>-3747.25</v>
      </c>
      <c r="O17" vm="301">
        <f>CUBEVALUE("ThisWorkbookDataModel",$A17,O$12,Slicer_Type,Slicer_Department)</f>
        <v>-4227</v>
      </c>
      <c r="P17" vm="160">
        <f>CUBEVALUE("ThisWorkbookDataModel",$A17,P$12,Slicer_Type,Slicer_Department)</f>
        <v>-3682.25</v>
      </c>
      <c r="Q17" vm="302">
        <f>CUBEVALUE("ThisWorkbookDataModel",$A17,Q$12,Slicer_Type,Slicer_Department)</f>
        <v>-4644</v>
      </c>
      <c r="R17" vm="142">
        <f>CUBEVALUE("ThisWorkbookDataModel",$A17,R$12,Slicer_Type,Slicer_Department)</f>
        <v>-3846.25</v>
      </c>
      <c r="S17" vm="299">
        <f>CUBEVALUE("ThisWorkbookDataModel",$A17,S$12,Slicer_Type,Slicer_Department)</f>
        <v>-5157</v>
      </c>
      <c r="T17" vm="122">
        <f>CUBEVALUE("ThisWorkbookDataModel",$A17,T$12,Slicer_Type,Slicer_Department)</f>
        <v>-3830.5</v>
      </c>
      <c r="U17" vm="303">
        <f>CUBEVALUE("ThisWorkbookDataModel",$A17,U$12,Slicer_Type,Slicer_Department)</f>
        <v>-4864</v>
      </c>
      <c r="V17" vm="304">
        <f>CUBEVALUE("ThisWorkbookDataModel",$A17,V$12,Slicer_Type,Slicer_Department)</f>
        <v>-3884.25</v>
      </c>
      <c r="W17" vm="300">
        <f>CUBEVALUE("ThisWorkbookDataModel",$A17,W$12,Slicer_Type,Slicer_Department)</f>
        <v>-6372</v>
      </c>
      <c r="X17" vm="305">
        <f>CUBEVALUE("ThisWorkbookDataModel",$A17,X$12,Slicer_Type,Slicer_Department)</f>
        <v>-3610</v>
      </c>
      <c r="Y17" vm="119">
        <f>CUBEVALUE("ThisWorkbookDataModel",$A17,Y$12,Slicer_Type,Slicer_Department)</f>
        <v>-4301</v>
      </c>
      <c r="Z17" vm="306">
        <f>CUBEVALUE("ThisWorkbookDataModel",$A17,Z$12,Slicer_Type,Slicer_Department)</f>
        <v>-3681.25</v>
      </c>
      <c r="AA17" vm="307">
        <f>CUBEVALUE("ThisWorkbookDataModel",$A17,AA$12,Slicer_Type,Slicer_Department)</f>
        <v>-4212</v>
      </c>
      <c r="AB17">
        <f t="shared" si="1"/>
        <v>-13485</v>
      </c>
      <c r="AC17" s="19">
        <f t="shared" si="2"/>
        <v>-0.30278195657543167</v>
      </c>
      <c r="AE17" s="20" t="str">
        <f t="shared" si="0"/>
        <v>🔽</v>
      </c>
    </row>
    <row r="18" spans="1:31">
      <c r="A18" s="2" t="str" vm="13">
        <f>CUBEMEMBER("ThisWorkbookDataModel","[D_Account].[AccountName].&amp;[Employee Benefits]")</f>
        <v>Employee Benefits</v>
      </c>
      <c r="B18" vm="465">
        <f>CUBEVALUE("ThisWorkbookDataModel",$A18,B$11,Slicer_Type,Slicer_Department)</f>
        <v>-1493626.25</v>
      </c>
      <c r="C18" vm="432">
        <f>CUBEVALUE("ThisWorkbookDataModel",$A18,C$11,Slicer_Type,Slicer_Department)</f>
        <v>-1966364</v>
      </c>
      <c r="D18" vm="242">
        <f>CUBEVALUE("ThisWorkbookDataModel",$A18,D$12,Slicer_Type,Slicer_Department)</f>
        <v>-125313.25</v>
      </c>
      <c r="E18" vm="243">
        <f>CUBEVALUE("ThisWorkbookDataModel",$A18,E$12,Slicer_Type,Slicer_Department)</f>
        <v>-163023</v>
      </c>
      <c r="F18" vm="244">
        <f>CUBEVALUE("ThisWorkbookDataModel",$A18,F$12,Slicer_Type,Slicer_Department)</f>
        <v>-121546.25</v>
      </c>
      <c r="G18" vm="245">
        <f>CUBEVALUE("ThisWorkbookDataModel",$A18,G$12,Slicer_Type,Slicer_Department)</f>
        <v>-117076</v>
      </c>
      <c r="H18" vm="246">
        <f>CUBEVALUE("ThisWorkbookDataModel",$A18,H$12,Slicer_Type,Slicer_Department)</f>
        <v>-111730</v>
      </c>
      <c r="I18" vm="112">
        <f>CUBEVALUE("ThisWorkbookDataModel",$A18,I$12,Slicer_Type,Slicer_Department)</f>
        <v>-180364</v>
      </c>
      <c r="J18" vm="110">
        <f>CUBEVALUE("ThisWorkbookDataModel",$A18,J$12,Slicer_Type,Slicer_Department)</f>
        <v>-123156.5</v>
      </c>
      <c r="K18" vm="64">
        <f>CUBEVALUE("ThisWorkbookDataModel",$A18,K$12,Slicer_Type,Slicer_Department)</f>
        <v>-196141</v>
      </c>
      <c r="L18" vm="416">
        <f>CUBEVALUE("ThisWorkbookDataModel",$A18,L$12,Slicer_Type,Slicer_Department)</f>
        <v>-127198</v>
      </c>
      <c r="M18" vm="296">
        <f>CUBEVALUE("ThisWorkbookDataModel",$A18,M$12,Slicer_Type,Slicer_Department)</f>
        <v>-226371</v>
      </c>
      <c r="N18" vm="168">
        <f>CUBEVALUE("ThisWorkbookDataModel",$A18,N$12,Slicer_Type,Slicer_Department)</f>
        <v>-127429</v>
      </c>
      <c r="O18" vm="109">
        <f>CUBEVALUE("ThisWorkbookDataModel",$A18,O$12,Slicer_Type,Slicer_Department)</f>
        <v>-200602</v>
      </c>
      <c r="P18" vm="216">
        <f>CUBEVALUE("ThisWorkbookDataModel",$A18,P$12,Slicer_Type,Slicer_Department)</f>
        <v>-133025.5</v>
      </c>
      <c r="Q18" vm="147">
        <f>CUBEVALUE("ThisWorkbookDataModel",$A18,Q$12,Slicer_Type,Slicer_Department)</f>
        <v>-155488</v>
      </c>
      <c r="R18" vm="211">
        <f>CUBEVALUE("ThisWorkbookDataModel",$A18,R$12,Slicer_Type,Slicer_Department)</f>
        <v>-135761.75</v>
      </c>
      <c r="S18" vm="209">
        <f>CUBEVALUE("ThisWorkbookDataModel",$A18,S$12,Slicer_Type,Slicer_Department)</f>
        <v>-156712</v>
      </c>
      <c r="T18" vm="200">
        <f>CUBEVALUE("ThisWorkbookDataModel",$A18,T$12,Slicer_Type,Slicer_Department)</f>
        <v>-126051.75</v>
      </c>
      <c r="U18" vm="190">
        <f>CUBEVALUE("ThisWorkbookDataModel",$A18,U$12,Slicer_Type,Slicer_Department)</f>
        <v>-136791</v>
      </c>
      <c r="V18" vm="181">
        <f>CUBEVALUE("ThisWorkbookDataModel",$A18,V$12,Slicer_Type,Slicer_Department)</f>
        <v>-123673.75</v>
      </c>
      <c r="W18" vm="173">
        <f>CUBEVALUE("ThisWorkbookDataModel",$A18,W$12,Slicer_Type,Slicer_Department)</f>
        <v>-163033</v>
      </c>
      <c r="X18" vm="130">
        <f>CUBEVALUE("ThisWorkbookDataModel",$A18,X$12,Slicer_Type,Slicer_Department)</f>
        <v>-119056</v>
      </c>
      <c r="Y18" vm="128">
        <f>CUBEVALUE("ThisWorkbookDataModel",$A18,Y$12,Slicer_Type,Slicer_Department)</f>
        <v>-148970</v>
      </c>
      <c r="Z18" vm="103">
        <f>CUBEVALUE("ThisWorkbookDataModel",$A18,Z$12,Slicer_Type,Slicer_Department)</f>
        <v>-119684.5</v>
      </c>
      <c r="AA18" vm="156">
        <f>CUBEVALUE("ThisWorkbookDataModel",$A18,AA$12,Slicer_Type,Slicer_Department)</f>
        <v>-121793</v>
      </c>
      <c r="AB18">
        <f t="shared" si="1"/>
        <v>-472737.75</v>
      </c>
      <c r="AC18" s="19">
        <f t="shared" si="2"/>
        <v>-0.3165033755934592</v>
      </c>
      <c r="AE18" s="20" t="str">
        <f t="shared" si="0"/>
        <v>🔽</v>
      </c>
    </row>
    <row r="19" spans="1:31">
      <c r="A19" s="2" t="str" vm="11">
        <f>CUBEMEMBER("ThisWorkbookDataModel","[D_Account].[AccountName].&amp;[Furniture, Fixtures, and Equipment]")</f>
        <v>Furniture, Fixtures, and Equipment</v>
      </c>
      <c r="B19" vm="468">
        <f>CUBEVALUE("ThisWorkbookDataModel",$A19,B$11,Slicer_Type,Slicer_Department)</f>
        <v>-102029.75</v>
      </c>
      <c r="C19" vm="199">
        <f>CUBEVALUE("ThisWorkbookDataModel",$A19,C$11,Slicer_Type,Slicer_Department)</f>
        <v>-130343</v>
      </c>
      <c r="D19" vm="427">
        <f>CUBEVALUE("ThisWorkbookDataModel",$A19,D$12,Slicer_Type,Slicer_Department)</f>
        <v>-8653.5</v>
      </c>
      <c r="E19" vm="236">
        <f>CUBEVALUE("ThisWorkbookDataModel",$A19,E$12,Slicer_Type,Slicer_Department)</f>
        <v>-14535</v>
      </c>
      <c r="F19" vm="237">
        <f>CUBEVALUE("ThisWorkbookDataModel",$A19,F$12,Slicer_Type,Slicer_Department)</f>
        <v>-8600.25</v>
      </c>
      <c r="G19" vm="238">
        <f>CUBEVALUE("ThisWorkbookDataModel",$A19,G$12,Slicer_Type,Slicer_Department)</f>
        <v>-6501</v>
      </c>
      <c r="H19" vm="239">
        <f>CUBEVALUE("ThisWorkbookDataModel",$A19,H$12,Slicer_Type,Slicer_Department)</f>
        <v>-8598.5</v>
      </c>
      <c r="I19" vm="240">
        <f>CUBEVALUE("ThisWorkbookDataModel",$A19,I$12,Slicer_Type,Slicer_Department)</f>
        <v>-6287</v>
      </c>
      <c r="J19" vm="241">
        <f>CUBEVALUE("ThisWorkbookDataModel",$A19,J$12,Slicer_Type,Slicer_Department)</f>
        <v>-8752</v>
      </c>
      <c r="K19" vm="120">
        <f>CUBEVALUE("ThisWorkbookDataModel",$A19,K$12,Slicer_Type,Slicer_Department)</f>
        <v>-12404</v>
      </c>
      <c r="L19" vm="412">
        <f>CUBEVALUE("ThisWorkbookDataModel",$A19,L$12,Slicer_Type,Slicer_Department)</f>
        <v>-7951.5</v>
      </c>
      <c r="M19" vm="294">
        <f>CUBEVALUE("ThisWorkbookDataModel",$A19,M$12,Slicer_Type,Slicer_Department)</f>
        <v>-10832</v>
      </c>
      <c r="N19" vm="366">
        <f>CUBEVALUE("ThisWorkbookDataModel",$A19,N$12,Slicer_Type,Slicer_Department)</f>
        <v>-8597.75</v>
      </c>
      <c r="O19" vm="276">
        <f>CUBEVALUE("ThisWorkbookDataModel",$A19,O$12,Slicer_Type,Slicer_Department)</f>
        <v>-12837</v>
      </c>
      <c r="P19" vm="272">
        <f>CUBEVALUE("ThisWorkbookDataModel",$A19,P$12,Slicer_Type,Slicer_Department)</f>
        <v>-8885.75</v>
      </c>
      <c r="Q19" vm="381">
        <f>CUBEVALUE("ThisWorkbookDataModel",$A19,Q$12,Slicer_Type,Slicer_Department)</f>
        <v>-8730</v>
      </c>
      <c r="R19" vm="373">
        <f>CUBEVALUE("ThisWorkbookDataModel",$A19,R$12,Slicer_Type,Slicer_Department)</f>
        <v>-8321</v>
      </c>
      <c r="S19" vm="363">
        <f>CUBEVALUE("ThisWorkbookDataModel",$A19,S$12,Slicer_Type,Slicer_Department)</f>
        <v>-13486</v>
      </c>
      <c r="T19" vm="356">
        <f>CUBEVALUE("ThisWorkbookDataModel",$A19,T$12,Slicer_Type,Slicer_Department)</f>
        <v>-8720.25</v>
      </c>
      <c r="U19" vm="410">
        <f>CUBEVALUE("ThisWorkbookDataModel",$A19,U$12,Slicer_Type,Slicer_Department)</f>
        <v>-11096</v>
      </c>
      <c r="V19" vm="353">
        <f>CUBEVALUE("ThisWorkbookDataModel",$A19,V$12,Slicer_Type,Slicer_Department)</f>
        <v>-8298.25</v>
      </c>
      <c r="W19" vm="220">
        <f>CUBEVALUE("ThisWorkbookDataModel",$A19,W$12,Slicer_Type,Slicer_Department)</f>
        <v>-13069</v>
      </c>
      <c r="X19" vm="218">
        <f>CUBEVALUE("ThisWorkbookDataModel",$A19,X$12,Slicer_Type,Slicer_Department)</f>
        <v>-8084.5</v>
      </c>
      <c r="Y19" vm="96">
        <f>CUBEVALUE("ThisWorkbookDataModel",$A19,Y$12,Slicer_Type,Slicer_Department)</f>
        <v>-8811</v>
      </c>
      <c r="Z19" vm="80">
        <f>CUBEVALUE("ThisWorkbookDataModel",$A19,Z$12,Slicer_Type,Slicer_Department)</f>
        <v>-8566.5</v>
      </c>
      <c r="AA19" vm="162">
        <f>CUBEVALUE("ThisWorkbookDataModel",$A19,AA$12,Slicer_Type,Slicer_Department)</f>
        <v>-11755</v>
      </c>
      <c r="AB19">
        <f t="shared" si="1"/>
        <v>-28313.25</v>
      </c>
      <c r="AC19" s="19">
        <f t="shared" si="2"/>
        <v>-0.27749994486902102</v>
      </c>
      <c r="AE19" s="20" t="str">
        <f t="shared" si="0"/>
        <v>🔽</v>
      </c>
    </row>
    <row r="20" spans="1:31">
      <c r="A20" s="2" t="str" vm="9">
        <f>CUBEMEMBER("ThisWorkbookDataModel","[D_Account].[AccountName].&amp;[Marketing Materials]")</f>
        <v>Marketing Materials</v>
      </c>
      <c r="B20" vm="470">
        <f>CUBEVALUE("ThisWorkbookDataModel",$A20,B$11,Slicer_Type,Slicer_Department)</f>
        <v>-24385.75</v>
      </c>
      <c r="C20" vm="435">
        <f>CUBEVALUE("ThisWorkbookDataModel",$A20,C$11,Slicer_Type,Slicer_Department)</f>
        <v>-285944</v>
      </c>
      <c r="D20" vm="189">
        <f>CUBEVALUE("ThisWorkbookDataModel",$A20,D$12,Slicer_Type,Slicer_Department)</f>
        <v>-2772</v>
      </c>
      <c r="E20" vm="180">
        <f>CUBEVALUE("ThisWorkbookDataModel",$A20,E$12,Slicer_Type,Slicer_Department)</f>
        <v>-31821</v>
      </c>
      <c r="F20" vm="62">
        <f>CUBEVALUE("ThisWorkbookDataModel",$A20,F$12,Slicer_Type,Slicer_Department)</f>
        <v>-3177.25</v>
      </c>
      <c r="G20" vm="59">
        <f>CUBEVALUE("ThisWorkbookDataModel",$A20,G$12,Slicer_Type,Slicer_Department)</f>
        <v>-21642</v>
      </c>
      <c r="H20" vm="231">
        <f>CUBEVALUE("ThisWorkbookDataModel",$A20,H$12,Slicer_Type,Slicer_Department)</f>
        <v>-2581.75</v>
      </c>
      <c r="I20" vm="232">
        <f>CUBEVALUE("ThisWorkbookDataModel",$A20,I$12,Slicer_Type,Slicer_Department)</f>
        <v>-16709</v>
      </c>
      <c r="J20" vm="233">
        <f>CUBEVALUE("ThisWorkbookDataModel",$A20,J$12,Slicer_Type,Slicer_Department)</f>
        <v>-1227</v>
      </c>
      <c r="K20" vm="234">
        <f>CUBEVALUE("ThisWorkbookDataModel",$A20,K$12,Slicer_Type,Slicer_Department)</f>
        <v>-21789</v>
      </c>
      <c r="L20" vm="235">
        <f>CUBEVALUE("ThisWorkbookDataModel",$A20,L$12,Slicer_Type,Slicer_Department)</f>
        <v>-4248.75</v>
      </c>
      <c r="M20" vm="172">
        <f>CUBEVALUE("ThisWorkbookDataModel",$A20,M$12,Slicer_Type,Slicer_Department)</f>
        <v>-28532</v>
      </c>
      <c r="N20" vm="367">
        <f>CUBEVALUE("ThisWorkbookDataModel",$A20,N$12,Slicer_Type,Slicer_Department)</f>
        <v>-1215</v>
      </c>
      <c r="O20" vm="92">
        <f>CUBEVALUE("ThisWorkbookDataModel",$A20,O$12,Slicer_Type,Slicer_Department)</f>
        <v>-27118</v>
      </c>
      <c r="P20" vm="143">
        <f>CUBEVALUE("ThisWorkbookDataModel",$A20,P$12,Slicer_Type,Slicer_Department)</f>
        <v>-1442</v>
      </c>
      <c r="Q20" vm="379">
        <f>CUBEVALUE("ThisWorkbookDataModel",$A20,Q$12,Slicer_Type,Slicer_Department)</f>
        <v>-21527</v>
      </c>
      <c r="R20" vm="374">
        <f>CUBEVALUE("ThisWorkbookDataModel",$A20,R$12,Slicer_Type,Slicer_Department)</f>
        <v>-1933</v>
      </c>
      <c r="S20" vm="360">
        <f>CUBEVALUE("ThisWorkbookDataModel",$A20,S$12,Slicer_Type,Slicer_Department)</f>
        <v>-22750</v>
      </c>
      <c r="T20" vm="355">
        <f>CUBEVALUE("ThisWorkbookDataModel",$A20,T$12,Slicer_Type,Slicer_Department)</f>
        <v>-1920.75</v>
      </c>
      <c r="U20" vm="408">
        <f>CUBEVALUE("ThisWorkbookDataModel",$A20,U$12,Slicer_Type,Slicer_Department)</f>
        <v>-26385</v>
      </c>
      <c r="V20" vm="351">
        <f>CUBEVALUE("ThisWorkbookDataModel",$A20,V$12,Slicer_Type,Slicer_Department)</f>
        <v>-1468.75</v>
      </c>
      <c r="W20" vm="74">
        <f>CUBEVALUE("ThisWorkbookDataModel",$A20,W$12,Slicer_Type,Slicer_Department)</f>
        <v>-19823</v>
      </c>
      <c r="X20" vm="86">
        <f>CUBEVALUE("ThisWorkbookDataModel",$A20,X$12,Slicer_Type,Slicer_Department)</f>
        <v>-1184.5</v>
      </c>
      <c r="Y20" vm="85">
        <f>CUBEVALUE("ThisWorkbookDataModel",$A20,Y$12,Slicer_Type,Slicer_Department)</f>
        <v>-22566</v>
      </c>
      <c r="Z20" vm="68">
        <f>CUBEVALUE("ThisWorkbookDataModel",$A20,Z$12,Slicer_Type,Slicer_Department)</f>
        <v>-1215</v>
      </c>
      <c r="AA20" vm="67">
        <f>CUBEVALUE("ThisWorkbookDataModel",$A20,AA$12,Slicer_Type,Slicer_Department)</f>
        <v>-25282</v>
      </c>
      <c r="AB20">
        <f t="shared" si="1"/>
        <v>-261558.25</v>
      </c>
      <c r="AC20" s="19">
        <f t="shared" si="2"/>
        <v>-10.725864490532381</v>
      </c>
      <c r="AE20" s="20" t="str">
        <f t="shared" si="0"/>
        <v>🔽</v>
      </c>
    </row>
    <row r="21" spans="1:31">
      <c r="A21" s="2" t="str" vm="7">
        <f>CUBEMEMBER("ThisWorkbookDataModel","[D_Account].[AccountName].&amp;[Office Supplies]")</f>
        <v>Office Supplies</v>
      </c>
      <c r="B21" vm="467">
        <f>CUBEVALUE("ThisWorkbookDataModel",$A21,B$11,Slicer_Type,Slicer_Department)</f>
        <v>-192502.5</v>
      </c>
      <c r="C21" vm="434">
        <f>CUBEVALUE("ThisWorkbookDataModel",$A21,C$11,Slicer_Type,Slicer_Department)</f>
        <v>-236514</v>
      </c>
      <c r="D21" vm="425">
        <f>CUBEVALUE("ThisWorkbookDataModel",$A21,D$12,Slicer_Type,Slicer_Department)</f>
        <v>-16596.75</v>
      </c>
      <c r="E21" vm="63">
        <f>CUBEVALUE("ThisWorkbookDataModel",$A21,E$12,Slicer_Type,Slicer_Department)</f>
        <v>-27134</v>
      </c>
      <c r="F21" vm="98">
        <f>CUBEVALUE("ThisWorkbookDataModel",$A21,F$12,Slicer_Type,Slicer_Department)</f>
        <v>-15409.75</v>
      </c>
      <c r="G21" vm="137">
        <f>CUBEVALUE("ThisWorkbookDataModel",$A21,G$12,Slicer_Type,Slicer_Department)</f>
        <v>-23047</v>
      </c>
      <c r="H21" vm="61">
        <f>CUBEVALUE("ThisWorkbookDataModel",$A21,H$12,Slicer_Type,Slicer_Department)</f>
        <v>-16291.75</v>
      </c>
      <c r="I21" vm="58">
        <f>CUBEVALUE("ThisWorkbookDataModel",$A21,I$12,Slicer_Type,Slicer_Department)</f>
        <v>-14892</v>
      </c>
      <c r="J21" vm="56">
        <f>CUBEVALUE("ThisWorkbookDataModel",$A21,J$12,Slicer_Type,Slicer_Department)</f>
        <v>-15456.75</v>
      </c>
      <c r="K21" vm="227">
        <f>CUBEVALUE("ThisWorkbookDataModel",$A21,K$12,Slicer_Type,Slicer_Department)</f>
        <v>-13716</v>
      </c>
      <c r="L21" vm="228">
        <f>CUBEVALUE("ThisWorkbookDataModel",$A21,L$12,Slicer_Type,Slicer_Department)</f>
        <v>-14877.5</v>
      </c>
      <c r="M21" vm="229">
        <f>CUBEVALUE("ThisWorkbookDataModel",$A21,M$12,Slicer_Type,Slicer_Department)</f>
        <v>-19336</v>
      </c>
      <c r="N21" vm="230">
        <f>CUBEVALUE("ThisWorkbookDataModel",$A21,N$12,Slicer_Type,Slicer_Department)</f>
        <v>-15536.5</v>
      </c>
      <c r="O21" vm="164">
        <f>CUBEVALUE("ThisWorkbookDataModel",$A21,O$12,Slicer_Type,Slicer_Department)</f>
        <v>-22697</v>
      </c>
      <c r="P21" vm="108">
        <f>CUBEVALUE("ThisWorkbookDataModel",$A21,P$12,Slicer_Type,Slicer_Department)</f>
        <v>-16021.25</v>
      </c>
      <c r="Q21" vm="145">
        <f>CUBEVALUE("ThisWorkbookDataModel",$A21,Q$12,Slicer_Type,Slicer_Department)</f>
        <v>-22150</v>
      </c>
      <c r="R21" vm="208">
        <f>CUBEVALUE("ThisWorkbookDataModel",$A21,R$12,Slicer_Type,Slicer_Department)</f>
        <v>-15614</v>
      </c>
      <c r="S21" vm="198">
        <f>CUBEVALUE("ThisWorkbookDataModel",$A21,S$12,Slicer_Type,Slicer_Department)</f>
        <v>-22085</v>
      </c>
      <c r="T21" vm="188">
        <f>CUBEVALUE("ThisWorkbookDataModel",$A21,T$12,Slicer_Type,Slicer_Department)</f>
        <v>-19049.75</v>
      </c>
      <c r="U21" vm="179">
        <f>CUBEVALUE("ThisWorkbookDataModel",$A21,U$12,Slicer_Type,Slicer_Department)</f>
        <v>-15115</v>
      </c>
      <c r="V21" vm="171">
        <f>CUBEVALUE("ThisWorkbookDataModel",$A21,V$12,Slicer_Type,Slicer_Department)</f>
        <v>-16740.5</v>
      </c>
      <c r="W21" vm="77">
        <f>CUBEVALUE("ThisWorkbookDataModel",$A21,W$12,Slicer_Type,Slicer_Department)</f>
        <v>-21579</v>
      </c>
      <c r="X21" vm="144">
        <f>CUBEVALUE("ThisWorkbookDataModel",$A21,X$12,Slicer_Type,Slicer_Department)</f>
        <v>-16923.5</v>
      </c>
      <c r="Y21" vm="157">
        <f>CUBEVALUE("ThisWorkbookDataModel",$A21,Y$12,Slicer_Type,Slicer_Department)</f>
        <v>-16456</v>
      </c>
      <c r="Z21" vm="125">
        <f>CUBEVALUE("ThisWorkbookDataModel",$A21,Z$12,Slicer_Type,Slicer_Department)</f>
        <v>-13984.5</v>
      </c>
      <c r="AA21" vm="140">
        <f>CUBEVALUE("ThisWorkbookDataModel",$A21,AA$12,Slicer_Type,Slicer_Department)</f>
        <v>-18307</v>
      </c>
      <c r="AB21">
        <f t="shared" si="1"/>
        <v>-44011.5</v>
      </c>
      <c r="AC21" s="19">
        <f t="shared" si="2"/>
        <v>-0.22862819963377098</v>
      </c>
      <c r="AE21" s="20" t="str">
        <f t="shared" si="0"/>
        <v>🔽</v>
      </c>
    </row>
    <row r="22" spans="1:31">
      <c r="A22" s="2" t="str" vm="5">
        <f>CUBEMEMBER("ThisWorkbookDataModel","[D_Account].[AccountName].&amp;[Professional Services]")</f>
        <v>Professional Services</v>
      </c>
      <c r="B22" vm="463">
        <f>CUBEVALUE("ThisWorkbookDataModel",$A22,B$11,Slicer_Type,Slicer_Department)</f>
        <v>-52731.5</v>
      </c>
      <c r="C22" vm="428">
        <f>CUBEVALUE("ThisWorkbookDataModel",$A22,C$11,Slicer_Type,Slicer_Department)</f>
        <v>-49586</v>
      </c>
      <c r="D22" vm="422">
        <f>CUBEVALUE("ThisWorkbookDataModel",$A22,D$12,Slicer_Type,Slicer_Department)</f>
        <v>-4335</v>
      </c>
      <c r="E22" vm="75">
        <f>CUBEVALUE("ThisWorkbookDataModel",$A22,E$12,Slicer_Type,Slicer_Department)</f>
        <v>-4773</v>
      </c>
      <c r="F22" vm="87">
        <f>CUBEVALUE("ThisWorkbookDataModel",$A22,F$12,Slicer_Type,Slicer_Department)</f>
        <v>-3931.75</v>
      </c>
      <c r="G22" vm="71">
        <f>CUBEVALUE("ThisWorkbookDataModel",$A22,G$12,Slicer_Type,Slicer_Department)</f>
        <v>-4150</v>
      </c>
      <c r="H22" vm="69">
        <f>CUBEVALUE("ThisWorkbookDataModel",$A22,H$12,Slicer_Type,Slicer_Department)</f>
        <v>-4838</v>
      </c>
      <c r="I22" vm="114">
        <f>CUBEVALUE("ThisWorkbookDataModel",$A22,I$12,Slicer_Type,Slicer_Department)</f>
        <v>-5020</v>
      </c>
      <c r="J22" vm="60">
        <f>CUBEVALUE("ThisWorkbookDataModel",$A22,J$12,Slicer_Type,Slicer_Department)</f>
        <v>-4201</v>
      </c>
      <c r="K22" vm="57">
        <f>CUBEVALUE("ThisWorkbookDataModel",$A22,K$12,Slicer_Type,Slicer_Department)</f>
        <v>-2567</v>
      </c>
      <c r="L22" vm="418">
        <f>CUBEVALUE("ThisWorkbookDataModel",$A22,L$12,Slicer_Type,Slicer_Department)</f>
        <v>-4402.25</v>
      </c>
      <c r="M22" vm="298">
        <f>CUBEVALUE("ThisWorkbookDataModel",$A22,M$12,Slicer_Type,Slicer_Department)</f>
        <v>-4513</v>
      </c>
      <c r="N22" vm="224">
        <f>CUBEVALUE("ThisWorkbookDataModel",$A22,N$12,Slicer_Type,Slicer_Department)</f>
        <v>-4441.5</v>
      </c>
      <c r="O22" vm="225">
        <f>CUBEVALUE("ThisWorkbookDataModel",$A22,O$12,Slicer_Type,Slicer_Department)</f>
        <v>-5751</v>
      </c>
      <c r="P22" vm="226">
        <f>CUBEVALUE("ThisWorkbookDataModel",$A22,P$12,Slicer_Type,Slicer_Department)</f>
        <v>-4325</v>
      </c>
      <c r="Q22" vm="377">
        <f>CUBEVALUE("ThisWorkbookDataModel",$A22,Q$12,Slicer_Type,Slicer_Department)</f>
        <v>-3716</v>
      </c>
      <c r="R22" vm="375">
        <f>CUBEVALUE("ThisWorkbookDataModel",$A22,R$12,Slicer_Type,Slicer_Department)</f>
        <v>-4085</v>
      </c>
      <c r="S22" vm="364">
        <f>CUBEVALUE("ThisWorkbookDataModel",$A22,S$12,Slicer_Type,Slicer_Department)</f>
        <v>-4024</v>
      </c>
      <c r="T22" vm="357">
        <f>CUBEVALUE("ThisWorkbookDataModel",$A22,T$12,Slicer_Type,Slicer_Department)</f>
        <v>-3959.5</v>
      </c>
      <c r="U22" vm="411">
        <f>CUBEVALUE("ThisWorkbookDataModel",$A22,U$12,Slicer_Type,Slicer_Department)</f>
        <v>-6496</v>
      </c>
      <c r="V22" vm="139">
        <f>CUBEVALUE("ThisWorkbookDataModel",$A22,V$12,Slicer_Type,Slicer_Department)</f>
        <v>-4777.5</v>
      </c>
      <c r="W22" vm="149">
        <f>CUBEVALUE("ThisWorkbookDataModel",$A22,W$12,Slicer_Type,Slicer_Department)</f>
        <v>-2246</v>
      </c>
      <c r="X22" vm="135">
        <f>CUBEVALUE("ThisWorkbookDataModel",$A22,X$12,Slicer_Type,Slicer_Department)</f>
        <v>-4893.75</v>
      </c>
      <c r="Y22" vm="213">
        <f>CUBEVALUE("ThisWorkbookDataModel",$A22,Y$12,Slicer_Type,Slicer_Department)</f>
        <v>-2912</v>
      </c>
      <c r="Z22" vm="78">
        <f>CUBEVALUE("ThisWorkbookDataModel",$A22,Z$12,Slicer_Type,Slicer_Department)</f>
        <v>-4541.25</v>
      </c>
      <c r="AA22" vm="207">
        <f>CUBEVALUE("ThisWorkbookDataModel",$A22,AA$12,Slicer_Type,Slicer_Department)</f>
        <v>-3418</v>
      </c>
      <c r="AB22">
        <f t="shared" si="1"/>
        <v>3145.5</v>
      </c>
      <c r="AC22" s="19">
        <f t="shared" si="2"/>
        <v>5.9651252097892155E-2</v>
      </c>
      <c r="AE22" s="20" t="str">
        <f t="shared" si="0"/>
        <v>🔼</v>
      </c>
    </row>
    <row r="23" spans="1:31">
      <c r="A23" s="2" t="str" vm="3">
        <f>CUBEMEMBER("ThisWorkbookDataModel","[D_Account].[AccountName].&amp;[Rent]")</f>
        <v>Rent</v>
      </c>
      <c r="B23" vm="471">
        <f>CUBEVALUE("ThisWorkbookDataModel",$A23,B$11,Slicer_Type,Slicer_Department)</f>
        <v>-381818.75</v>
      </c>
      <c r="C23" vm="436">
        <f>CUBEVALUE("ThisWorkbookDataModel",$A23,C$11,Slicer_Type,Slicer_Department)</f>
        <v>-154750</v>
      </c>
      <c r="D23" vm="419">
        <f>CUBEVALUE("ThisWorkbookDataModel",$A23,D$12,Slicer_Type,Slicer_Department)</f>
        <v>-31894.5</v>
      </c>
      <c r="E23" vm="170">
        <f>CUBEVALUE("ThisWorkbookDataModel",$A23,E$12,Slicer_Type,Slicer_Department)</f>
        <v>-12860</v>
      </c>
      <c r="F23" vm="106">
        <f>CUBEVALUE("ThisWorkbookDataModel",$A23,F$12,Slicer_Type,Slicer_Department)</f>
        <v>-29679</v>
      </c>
      <c r="G23" vm="166">
        <f>CUBEVALUE("ThisWorkbookDataModel",$A23,G$12,Slicer_Type,Slicer_Department)</f>
        <v>-12890</v>
      </c>
      <c r="H23" vm="76">
        <f>CUBEVALUE("ThisWorkbookDataModel",$A23,H$12,Slicer_Type,Slicer_Department)</f>
        <v>-32427.75</v>
      </c>
      <c r="I23" vm="90">
        <f>CUBEVALUE("ThisWorkbookDataModel",$A23,I$12,Slicer_Type,Slicer_Department)</f>
        <v>-12860</v>
      </c>
      <c r="J23" vm="101">
        <f>CUBEVALUE("ThisWorkbookDataModel",$A23,J$12,Slicer_Type,Slicer_Department)</f>
        <v>-30237.75</v>
      </c>
      <c r="K23" vm="152">
        <f>CUBEVALUE("ThisWorkbookDataModel",$A23,K$12,Slicer_Type,Slicer_Department)</f>
        <v>-12810</v>
      </c>
      <c r="L23" vm="417">
        <f>CUBEVALUE("ThisWorkbookDataModel",$A23,L$12,Slicer_Type,Slicer_Department)</f>
        <v>-31860.25</v>
      </c>
      <c r="M23" vm="297">
        <f>CUBEVALUE("ThisWorkbookDataModel",$A23,M$12,Slicer_Type,Slicer_Department)</f>
        <v>-12910</v>
      </c>
      <c r="N23" vm="371">
        <f>CUBEVALUE("ThisWorkbookDataModel",$A23,N$12,Slicer_Type,Slicer_Department)</f>
        <v>-32503.5</v>
      </c>
      <c r="O23" vm="278">
        <f>CUBEVALUE("ThisWorkbookDataModel",$A23,O$12,Slicer_Type,Slicer_Department)</f>
        <v>-12880</v>
      </c>
      <c r="P23" vm="274">
        <f>CUBEVALUE("ThisWorkbookDataModel",$A23,P$12,Slicer_Type,Slicer_Department)</f>
        <v>-32319.75</v>
      </c>
      <c r="Q23" vm="222">
        <f>CUBEVALUE("ThisWorkbookDataModel",$A23,Q$12,Slicer_Type,Slicer_Department)</f>
        <v>-12960</v>
      </c>
      <c r="R23" vm="223">
        <f>CUBEVALUE("ThisWorkbookDataModel",$A23,R$12,Slicer_Type,Slicer_Department)</f>
        <v>-31113</v>
      </c>
      <c r="S23" vm="361">
        <f>CUBEVALUE("ThisWorkbookDataModel",$A23,S$12,Slicer_Type,Slicer_Department)</f>
        <v>-12790</v>
      </c>
      <c r="T23" vm="354">
        <f>CUBEVALUE("ThisWorkbookDataModel",$A23,T$12,Slicer_Type,Slicer_Department)</f>
        <v>-32034.25</v>
      </c>
      <c r="U23" vm="409">
        <f>CUBEVALUE("ThisWorkbookDataModel",$A23,U$12,Slicer_Type,Slicer_Department)</f>
        <v>-12960</v>
      </c>
      <c r="V23" vm="352">
        <f>CUBEVALUE("ThisWorkbookDataModel",$A23,V$12,Slicer_Type,Slicer_Department)</f>
        <v>-32668.75</v>
      </c>
      <c r="W23" vm="73">
        <f>CUBEVALUE("ThisWorkbookDataModel",$A23,W$12,Slicer_Type,Slicer_Department)</f>
        <v>-12890</v>
      </c>
      <c r="X23" vm="117">
        <f>CUBEVALUE("ThisWorkbookDataModel",$A23,X$12,Slicer_Type,Slicer_Department)</f>
        <v>-32301.75</v>
      </c>
      <c r="Y23" vm="83">
        <f>CUBEVALUE("ThisWorkbookDataModel",$A23,Y$12,Slicer_Type,Slicer_Department)</f>
        <v>-12950</v>
      </c>
      <c r="Z23" vm="81">
        <f>CUBEVALUE("ThisWorkbookDataModel",$A23,Z$12,Slicer_Type,Slicer_Department)</f>
        <v>-32778.5</v>
      </c>
      <c r="AA23" vm="66">
        <f>CUBEVALUE("ThisWorkbookDataModel",$A23,AA$12,Slicer_Type,Slicer_Department)</f>
        <v>-12990</v>
      </c>
      <c r="AB23">
        <f t="shared" si="1"/>
        <v>227068.75</v>
      </c>
      <c r="AC23" s="19">
        <f t="shared" si="2"/>
        <v>0.59470298407294042</v>
      </c>
      <c r="AE23" s="20" t="str">
        <f t="shared" si="0"/>
        <v>🔼</v>
      </c>
    </row>
    <row r="24" spans="1:31">
      <c r="A24" s="2" t="str" vm="1">
        <f>CUBEMEMBER("ThisWorkbookDataModel","[D_Account].[AccountName].&amp;[Salaries]")</f>
        <v>Salaries</v>
      </c>
      <c r="B24" vm="466">
        <f>CUBEVALUE("ThisWorkbookDataModel",$A24,B$11,Slicer_Type,Slicer_Department)</f>
        <v>-19507681</v>
      </c>
      <c r="C24" vm="431">
        <f>CUBEVALUE("ThisWorkbookDataModel",$A24,C$11,Slicer_Type,Slicer_Department)</f>
        <v>-25754842</v>
      </c>
      <c r="D24" vm="426">
        <f>CUBEVALUE("ThisWorkbookDataModel",$A24,D$12,Slicer_Type,Slicer_Department)</f>
        <v>-1582966.5</v>
      </c>
      <c r="E24" vm="151">
        <f>CUBEVALUE("ThisWorkbookDataModel",$A24,E$12,Slicer_Type,Slicer_Department)</f>
        <v>-2239516</v>
      </c>
      <c r="F24" vm="167">
        <f>CUBEVALUE("ThisWorkbookDataModel",$A24,F$12,Slicer_Type,Slicer_Department)</f>
        <v>-1590168.75</v>
      </c>
      <c r="G24" vm="215">
        <f>CUBEVALUE("ThisWorkbookDataModel",$A24,G$12,Slicer_Type,Slicer_Department)</f>
        <v>-1620019</v>
      </c>
      <c r="H24" vm="134">
        <f>CUBEVALUE("ThisWorkbookDataModel",$A24,H$12,Slicer_Type,Slicer_Department)</f>
        <v>-1779741.5</v>
      </c>
      <c r="I24" vm="132">
        <f>CUBEVALUE("ThisWorkbookDataModel",$A24,I$12,Slicer_Type,Slicer_Department)</f>
        <v>-2174419</v>
      </c>
      <c r="J24" vm="206">
        <f>CUBEVALUE("ThisWorkbookDataModel",$A24,J$12,Slicer_Type,Slicer_Department)</f>
        <v>-1536196.25</v>
      </c>
      <c r="K24" vm="197">
        <f>CUBEVALUE("ThisWorkbookDataModel",$A24,K$12,Slicer_Type,Slicer_Department)</f>
        <v>-2765256</v>
      </c>
      <c r="L24" vm="187">
        <f>CUBEVALUE("ThisWorkbookDataModel",$A24,L$12,Slicer_Type,Slicer_Department)</f>
        <v>-1629129.25</v>
      </c>
      <c r="M24" vm="178">
        <f>CUBEVALUE("ThisWorkbookDataModel",$A24,M$12,Slicer_Type,Slicer_Department)</f>
        <v>-2210098</v>
      </c>
      <c r="N24" vm="370">
        <f>CUBEVALUE("ThisWorkbookDataModel",$A24,N$12,Slicer_Type,Slicer_Department)</f>
        <v>-1577063.5</v>
      </c>
      <c r="O24" vm="277">
        <f>CUBEVALUE("ThisWorkbookDataModel",$A24,O$12,Slicer_Type,Slicer_Department)</f>
        <v>-1530196</v>
      </c>
      <c r="P24" vm="273">
        <f>CUBEVALUE("ThisWorkbookDataModel",$A24,P$12,Slicer_Type,Slicer_Department)</f>
        <v>-1448524</v>
      </c>
      <c r="Q24" vm="383">
        <f>CUBEVALUE("ThisWorkbookDataModel",$A24,Q$12,Slicer_Type,Slicer_Department)</f>
        <v>-2509717</v>
      </c>
      <c r="R24" vm="376">
        <f>CUBEVALUE("ThisWorkbookDataModel",$A24,R$12,Slicer_Type,Slicer_Department)</f>
        <v>-1692188.75</v>
      </c>
      <c r="S24" vm="365">
        <f>CUBEVALUE("ThisWorkbookDataModel",$A24,S$12,Slicer_Type,Slicer_Department)</f>
        <v>-1910781</v>
      </c>
      <c r="T24" vm="358">
        <f>CUBEVALUE("ThisWorkbookDataModel",$A24,T$12,Slicer_Type,Slicer_Department)</f>
        <v>-1602973</v>
      </c>
      <c r="U24" vm="169">
        <f>CUBEVALUE("ThisWorkbookDataModel",$A24,U$12,Slicer_Type,Slicer_Department)</f>
        <v>-2193273</v>
      </c>
      <c r="V24" vm="129">
        <f>CUBEVALUE("ThisWorkbookDataModel",$A24,V$12,Slicer_Type,Slicer_Department)</f>
        <v>-1676236</v>
      </c>
      <c r="W24" vm="127">
        <f>CUBEVALUE("ThisWorkbookDataModel",$A24,W$12,Slicer_Type,Slicer_Department)</f>
        <v>-1929621</v>
      </c>
      <c r="X24" vm="102">
        <f>CUBEVALUE("ThisWorkbookDataModel",$A24,X$12,Slicer_Type,Slicer_Department)</f>
        <v>-1696286.75</v>
      </c>
      <c r="Y24" vm="141">
        <f>CUBEVALUE("ThisWorkbookDataModel",$A24,Y$12,Slicer_Type,Slicer_Department)</f>
        <v>-2013815</v>
      </c>
      <c r="Z24" vm="154">
        <f>CUBEVALUE("ThisWorkbookDataModel",$A24,Z$12,Slicer_Type,Slicer_Department)</f>
        <v>-1696206.75</v>
      </c>
      <c r="AA24" vm="100">
        <f>CUBEVALUE("ThisWorkbookDataModel",$A24,AA$12,Slicer_Type,Slicer_Department)</f>
        <v>-2658131</v>
      </c>
      <c r="AB24">
        <f t="shared" si="1"/>
        <v>-6247161</v>
      </c>
      <c r="AC24" s="19">
        <f t="shared" si="2"/>
        <v>-0.32024108862555217</v>
      </c>
      <c r="AE24" s="20" t="str">
        <f t="shared" si="0"/>
        <v>🔽</v>
      </c>
    </row>
    <row r="25" spans="1:31">
      <c r="A25" s="2" t="str" vm="35">
        <f>CUBEMEMBER("ThisWorkbookDataModel","[D_Account].[AccountName].&amp;[Vehicles]")</f>
        <v>Vehicles</v>
      </c>
      <c r="B25" vm="464">
        <f>CUBEVALUE("ThisWorkbookDataModel",$A25,B$11,Slicer_Type,Slicer_Department)</f>
        <v>-435654.25</v>
      </c>
      <c r="C25" vm="429">
        <f>CUBEVALUE("ThisWorkbookDataModel",$A25,C$11,Slicer_Type,Slicer_Department)</f>
        <v>-501273</v>
      </c>
      <c r="D25" vm="423">
        <f>CUBEVALUE("ThisWorkbookDataModel",$A25,D$12,Slicer_Type,Slicer_Department)</f>
        <v>-40498.75</v>
      </c>
      <c r="E25" vm="335">
        <f>CUBEVALUE("ThisWorkbookDataModel",$A25,E$12,Slicer_Type,Slicer_Department)</f>
        <v>-38533</v>
      </c>
      <c r="F25" vm="336">
        <f>CUBEVALUE("ThisWorkbookDataModel",$A25,F$12,Slicer_Type,Slicer_Department)</f>
        <v>-36051.5</v>
      </c>
      <c r="G25" vm="337">
        <f>CUBEVALUE("ThisWorkbookDataModel",$A25,G$12,Slicer_Type,Slicer_Department)</f>
        <v>-50132</v>
      </c>
      <c r="H25" vm="338">
        <f>CUBEVALUE("ThisWorkbookDataModel",$A25,H$12,Slicer_Type,Slicer_Department)</f>
        <v>-32980</v>
      </c>
      <c r="I25" vm="339">
        <f>CUBEVALUE("ThisWorkbookDataModel",$A25,I$12,Slicer_Type,Slicer_Department)</f>
        <v>-49616</v>
      </c>
      <c r="J25" vm="340">
        <f>CUBEVALUE("ThisWorkbookDataModel",$A25,J$12,Slicer_Type,Slicer_Department)</f>
        <v>-36928.75</v>
      </c>
      <c r="K25" vm="341">
        <f>CUBEVALUE("ThisWorkbookDataModel",$A25,K$12,Slicer_Type,Slicer_Department)</f>
        <v>-37692</v>
      </c>
      <c r="L25" vm="342">
        <f>CUBEVALUE("ThisWorkbookDataModel",$A25,L$12,Slicer_Type,Slicer_Department)</f>
        <v>-39260.75</v>
      </c>
      <c r="M25" vm="343">
        <f>CUBEVALUE("ThisWorkbookDataModel",$A25,M$12,Slicer_Type,Slicer_Department)</f>
        <v>-47888</v>
      </c>
      <c r="N25" vm="219">
        <f>CUBEVALUE("ThisWorkbookDataModel",$A25,N$12,Slicer_Type,Slicer_Department)</f>
        <v>-38072.5</v>
      </c>
      <c r="O25" vm="333">
        <f>CUBEVALUE("ThisWorkbookDataModel",$A25,O$12,Slicer_Type,Slicer_Department)</f>
        <v>-46823</v>
      </c>
      <c r="P25" vm="344">
        <f>CUBEVALUE("ThisWorkbookDataModel",$A25,P$12,Slicer_Type,Slicer_Department)</f>
        <v>-34064.25</v>
      </c>
      <c r="Q25" vm="345">
        <f>CUBEVALUE("ThisWorkbookDataModel",$A25,Q$12,Slicer_Type,Slicer_Department)</f>
        <v>-52902</v>
      </c>
      <c r="R25" vm="346">
        <f>CUBEVALUE("ThisWorkbookDataModel",$A25,R$12,Slicer_Type,Slicer_Department)</f>
        <v>-38236.75</v>
      </c>
      <c r="S25" vm="347">
        <f>CUBEVALUE("ThisWorkbookDataModel",$A25,S$12,Slicer_Type,Slicer_Department)</f>
        <v>-38445</v>
      </c>
      <c r="T25" vm="348">
        <f>CUBEVALUE("ThisWorkbookDataModel",$A25,T$12,Slicer_Type,Slicer_Department)</f>
        <v>-34526.5</v>
      </c>
      <c r="U25" vm="349">
        <f>CUBEVALUE("ThisWorkbookDataModel",$A25,U$12,Slicer_Type,Slicer_Department)</f>
        <v>-31984</v>
      </c>
      <c r="V25" vm="350">
        <f>CUBEVALUE("ThisWorkbookDataModel",$A25,V$12,Slicer_Type,Slicer_Department)</f>
        <v>-42463.75</v>
      </c>
      <c r="W25" vm="331">
        <f>CUBEVALUE("ThisWorkbookDataModel",$A25,W$12,Slicer_Type,Slicer_Department)</f>
        <v>-34793</v>
      </c>
      <c r="X25" vm="334">
        <f>CUBEVALUE("ThisWorkbookDataModel",$A25,X$12,Slicer_Type,Slicer_Department)</f>
        <v>-32393</v>
      </c>
      <c r="Y25" vm="332">
        <f>CUBEVALUE("ThisWorkbookDataModel",$A25,Y$12,Slicer_Type,Slicer_Department)</f>
        <v>-45518</v>
      </c>
      <c r="Z25" vm="205">
        <f>CUBEVALUE("ThisWorkbookDataModel",$A25,Z$12,Slicer_Type,Slicer_Department)</f>
        <v>-30177.75</v>
      </c>
      <c r="AA25" vm="196">
        <f>CUBEVALUE("ThisWorkbookDataModel",$A25,AA$12,Slicer_Type,Slicer_Department)</f>
        <v>-26947</v>
      </c>
      <c r="AB25">
        <f t="shared" si="1"/>
        <v>-65618.75</v>
      </c>
      <c r="AC25" s="19">
        <f t="shared" si="2"/>
        <v>-0.15062116345703044</v>
      </c>
      <c r="AE25" s="20" t="str">
        <f t="shared" si="0"/>
        <v>🔽</v>
      </c>
    </row>
    <row r="26" spans="1:31">
      <c r="A26" s="2" t="str" vm="27">
        <f>CUBEMEMBER("ThisWorkbookDataModel","[D_Account].[AccountName].&amp;[Telephone]")</f>
        <v>Telephone</v>
      </c>
      <c r="B26" vm="284">
        <f>CUBEVALUE("ThisWorkbookDataModel",$A26,B$11,Slicer_Type,Slicer_Department)</f>
        <v>-1029449</v>
      </c>
      <c r="C26" vm="285">
        <f>CUBEVALUE("ThisWorkbookDataModel",$A26,C$11,Slicer_Type,Slicer_Department)</f>
        <v>-2208714</v>
      </c>
      <c r="D26" vm="420">
        <f>CUBEVALUE("ThisWorkbookDataModel",$A26,D$12,Slicer_Type,Slicer_Department)</f>
        <v>-98296</v>
      </c>
      <c r="E26" vm="93">
        <f>CUBEVALUE("ThisWorkbookDataModel",$A26,E$12,Slicer_Type,Slicer_Department)</f>
        <v>-199915</v>
      </c>
      <c r="F26" vm="159">
        <f>CUBEVALUE("ThisWorkbookDataModel",$A26,F$12,Slicer_Type,Slicer_Department)</f>
        <v>-95693</v>
      </c>
      <c r="G26" vm="126">
        <f>CUBEVALUE("ThisWorkbookDataModel",$A26,G$12,Slicer_Type,Slicer_Department)</f>
        <v>-151785</v>
      </c>
      <c r="H26" vm="279">
        <f>CUBEVALUE("ThisWorkbookDataModel",$A26,H$12,Slicer_Type,Slicer_Department)</f>
        <v>-77301.5</v>
      </c>
      <c r="I26" vm="123">
        <f>CUBEVALUE("ThisWorkbookDataModel",$A26,I$12,Slicer_Type,Slicer_Department)</f>
        <v>-224963</v>
      </c>
      <c r="J26" vm="121">
        <f>CUBEVALUE("ThisWorkbookDataModel",$A26,J$12,Slicer_Type,Slicer_Department)</f>
        <v>-80918</v>
      </c>
      <c r="K26" vm="280">
        <f>CUBEVALUE("ThisWorkbookDataModel",$A26,K$12,Slicer_Type,Slicer_Department)</f>
        <v>-196595</v>
      </c>
      <c r="L26" vm="413">
        <f>CUBEVALUE("ThisWorkbookDataModel",$A26,L$12,Slicer_Type,Slicer_Department)</f>
        <v>-74115.75</v>
      </c>
      <c r="M26" vm="281">
        <f>CUBEVALUE("ThisWorkbookDataModel",$A26,M$12,Slicer_Type,Slicer_Department)</f>
        <v>-239831</v>
      </c>
      <c r="N26" vm="369">
        <f>CUBEVALUE("ThisWorkbookDataModel",$A26,N$12,Slicer_Type,Slicer_Department)</f>
        <v>-88235.5</v>
      </c>
      <c r="O26" vm="118">
        <f>CUBEVALUE("ThisWorkbookDataModel",$A26,O$12,Slicer_Type,Slicer_Department)</f>
        <v>-231516</v>
      </c>
      <c r="P26" vm="84">
        <f>CUBEVALUE("ThisWorkbookDataModel",$A26,P$12,Slicer_Type,Slicer_Department)</f>
        <v>-89150</v>
      </c>
      <c r="Q26" vm="382">
        <f>CUBEVALUE("ThisWorkbookDataModel",$A26,Q$12,Slicer_Type,Slicer_Department)</f>
        <v>-122687</v>
      </c>
      <c r="R26" vm="286">
        <f>CUBEVALUE("ThisWorkbookDataModel",$A26,R$12,Slicer_Type,Slicer_Department)</f>
        <v>-78093.25</v>
      </c>
      <c r="S26" vm="287">
        <f>CUBEVALUE("ThisWorkbookDataModel",$A26,S$12,Slicer_Type,Slicer_Department)</f>
        <v>-204433</v>
      </c>
      <c r="T26" vm="288">
        <f>CUBEVALUE("ThisWorkbookDataModel",$A26,T$12,Slicer_Type,Slicer_Department)</f>
        <v>-85072.75</v>
      </c>
      <c r="U26" vm="289">
        <f>CUBEVALUE("ThisWorkbookDataModel",$A26,U$12,Slicer_Type,Slicer_Department)</f>
        <v>-186499</v>
      </c>
      <c r="V26" vm="290">
        <f>CUBEVALUE("ThisWorkbookDataModel",$A26,V$12,Slicer_Type,Slicer_Department)</f>
        <v>-99867</v>
      </c>
      <c r="W26" vm="291">
        <f>CUBEVALUE("ThisWorkbookDataModel",$A26,W$12,Slicer_Type,Slicer_Department)</f>
        <v>-140645</v>
      </c>
      <c r="X26" vm="292">
        <f>CUBEVALUE("ThisWorkbookDataModel",$A26,X$12,Slicer_Type,Slicer_Department)</f>
        <v>-82123</v>
      </c>
      <c r="Y26" vm="111">
        <f>CUBEVALUE("ThisWorkbookDataModel",$A26,Y$12,Slicer_Type,Slicer_Department)</f>
        <v>-156649</v>
      </c>
      <c r="Z26" vm="282">
        <f>CUBEVALUE("ThisWorkbookDataModel",$A26,Z$12,Slicer_Type,Slicer_Department)</f>
        <v>-80583.25</v>
      </c>
      <c r="AA26" vm="283">
        <f>CUBEVALUE("ThisWorkbookDataModel",$A26,AA$12,Slicer_Type,Slicer_Department)</f>
        <v>-153196</v>
      </c>
      <c r="AB26">
        <f t="shared" si="1"/>
        <v>-1179265</v>
      </c>
      <c r="AC26" s="19">
        <f t="shared" si="2"/>
        <v>-1.1455302788190576</v>
      </c>
      <c r="AE26" s="20" t="str">
        <f t="shared" si="0"/>
        <v>🔽</v>
      </c>
    </row>
    <row r="27" spans="1:31">
      <c r="A27" s="2" t="str" vm="55">
        <f>CUBEMEMBER("ThisWorkbookDataModel","[D_Account].[AccountName].&amp;[Travel]")</f>
        <v>Travel</v>
      </c>
      <c r="B27" vm="488">
        <f>CUBEVALUE("ThisWorkbookDataModel",$A27,B$11,Slicer_Type,Slicer_Department)</f>
        <v>-520583</v>
      </c>
      <c r="C27" vm="489">
        <f>CUBEVALUE("ThisWorkbookDataModel",$A27,C$11,Slicer_Type,Slicer_Department)</f>
        <v>-368939</v>
      </c>
      <c r="D27" vm="484">
        <f>CUBEVALUE("ThisWorkbookDataModel",$A27,D$12,Slicer_Type,Slicer_Department)</f>
        <v>-44425.75</v>
      </c>
      <c r="E27" vm="478">
        <f>CUBEVALUE("ThisWorkbookDataModel",$A27,E$12,Slicer_Type,Slicer_Department)</f>
        <v>-20222</v>
      </c>
      <c r="F27" vm="481">
        <f>CUBEVALUE("ThisWorkbookDataModel",$A27,F$12,Slicer_Type,Slicer_Department)</f>
        <v>-43221.75</v>
      </c>
      <c r="G27" vm="479">
        <f>CUBEVALUE("ThisWorkbookDataModel",$A27,G$12,Slicer_Type,Slicer_Department)</f>
        <v>-29964</v>
      </c>
      <c r="H27" vm="472">
        <f>CUBEVALUE("ThisWorkbookDataModel",$A27,H$12,Slicer_Type,Slicer_Department)</f>
        <v>-42866</v>
      </c>
      <c r="I27" vm="473">
        <f>CUBEVALUE("ThisWorkbookDataModel",$A27,I$12,Slicer_Type,Slicer_Department)</f>
        <v>-38903</v>
      </c>
      <c r="J27" vm="474">
        <f>CUBEVALUE("ThisWorkbookDataModel",$A27,J$12,Slicer_Type,Slicer_Department)</f>
        <v>-46119</v>
      </c>
      <c r="K27" vm="475">
        <f>CUBEVALUE("ThisWorkbookDataModel",$A27,K$12,Slicer_Type,Slicer_Department)</f>
        <v>-29129</v>
      </c>
      <c r="L27" vm="476">
        <f>CUBEVALUE("ThisWorkbookDataModel",$A27,L$12,Slicer_Type,Slicer_Department)</f>
        <v>-42872</v>
      </c>
      <c r="M27" vm="477">
        <f>CUBEVALUE("ThisWorkbookDataModel",$A27,M$12,Slicer_Type,Slicer_Department)</f>
        <v>-38416</v>
      </c>
      <c r="N27" vm="480">
        <f>CUBEVALUE("ThisWorkbookDataModel",$A27,N$12,Slicer_Type,Slicer_Department)</f>
        <v>-43853.25</v>
      </c>
      <c r="O27" vm="485">
        <f>CUBEVALUE("ThisWorkbookDataModel",$A27,O$12,Slicer_Type,Slicer_Department)</f>
        <v>-22263</v>
      </c>
      <c r="P27" vm="482">
        <f>CUBEVALUE("ThisWorkbookDataModel",$A27,P$12,Slicer_Type,Slicer_Department)</f>
        <v>-45505</v>
      </c>
      <c r="Q27" vm="486">
        <f>CUBEVALUE("ThisWorkbookDataModel",$A27,Q$12,Slicer_Type,Slicer_Department)</f>
        <v>-27148</v>
      </c>
      <c r="R27" vm="490">
        <f>CUBEVALUE("ThisWorkbookDataModel",$A27,R$12,Slicer_Type,Slicer_Department)</f>
        <v>-42296</v>
      </c>
      <c r="S27" vm="487">
        <f>CUBEVALUE("ThisWorkbookDataModel",$A27,S$12,Slicer_Type,Slicer_Department)</f>
        <v>-29897</v>
      </c>
      <c r="T27" vm="491">
        <f>CUBEVALUE("ThisWorkbookDataModel",$A27,T$12,Slicer_Type,Slicer_Department)</f>
        <v>-40742.25</v>
      </c>
      <c r="U27" vm="492">
        <f>CUBEVALUE("ThisWorkbookDataModel",$A27,U$12,Slicer_Type,Slicer_Department)</f>
        <v>-32225</v>
      </c>
      <c r="V27" vm="493">
        <f>CUBEVALUE("ThisWorkbookDataModel",$A27,V$12,Slicer_Type,Slicer_Department)</f>
        <v>-46782.75</v>
      </c>
      <c r="W27" vm="494">
        <f>CUBEVALUE("ThisWorkbookDataModel",$A27,W$12,Slicer_Type,Slicer_Department)</f>
        <v>-31146</v>
      </c>
      <c r="X27" vm="495">
        <f>CUBEVALUE("ThisWorkbookDataModel",$A27,X$12,Slicer_Type,Slicer_Department)</f>
        <v>-42194.5</v>
      </c>
      <c r="Y27" vm="496">
        <f>CUBEVALUE("ThisWorkbookDataModel",$A27,Y$12,Slicer_Type,Slicer_Department)</f>
        <v>-37072</v>
      </c>
      <c r="Z27" vm="497">
        <f>CUBEVALUE("ThisWorkbookDataModel",$A27,Z$12,Slicer_Type,Slicer_Department)</f>
        <v>-39704.75</v>
      </c>
      <c r="AA27" vm="483">
        <f>CUBEVALUE("ThisWorkbookDataModel",$A27,AA$12,Slicer_Type,Slicer_Department)</f>
        <v>-32554</v>
      </c>
      <c r="AB27">
        <f t="shared" si="1"/>
        <v>151644</v>
      </c>
      <c r="AC27" s="19">
        <f t="shared" si="2"/>
        <v>0.2912964887443501</v>
      </c>
      <c r="AE27" s="20" t="str">
        <f t="shared" si="0"/>
        <v>🔼</v>
      </c>
    </row>
    <row r="28" spans="1:31">
      <c r="A28" s="2" t="str" vm="34">
        <f>CUBEMEMBER("ThisWorkbookDataModel","[D_Account].[AccountName].&amp;[Utilities]")</f>
        <v>Utilities</v>
      </c>
      <c r="B28" vm="330">
        <f>CUBEVALUE("ThisWorkbookDataModel",$A28,B$11,Slicer_Type,Slicer_Department)</f>
        <v>-400170.5</v>
      </c>
      <c r="C28" vm="430">
        <f>CUBEVALUE("ThisWorkbookDataModel",$A28,C$11,Slicer_Type,Slicer_Department)</f>
        <v>-502297</v>
      </c>
      <c r="D28" vm="424">
        <f>CUBEVALUE("ThisWorkbookDataModel",$A28,D$12,Slicer_Type,Slicer_Department)</f>
        <v>-31952.5</v>
      </c>
      <c r="E28" vm="314">
        <f>CUBEVALUE("ThisWorkbookDataModel",$A28,E$12,Slicer_Type,Slicer_Department)</f>
        <v>-44119</v>
      </c>
      <c r="F28" vm="116">
        <f>CUBEVALUE("ThisWorkbookDataModel",$A28,F$12,Slicer_Type,Slicer_Department)</f>
        <v>-34868.5</v>
      </c>
      <c r="G28" vm="318">
        <f>CUBEVALUE("ThisWorkbookDataModel",$A28,G$12,Slicer_Type,Slicer_Department)</f>
        <v>-43434</v>
      </c>
      <c r="H28" vm="315">
        <f>CUBEVALUE("ThisWorkbookDataModel",$A28,H$12,Slicer_Type,Slicer_Department)</f>
        <v>-33356.25</v>
      </c>
      <c r="I28" vm="319">
        <f>CUBEVALUE("ThisWorkbookDataModel",$A28,I$12,Slicer_Type,Slicer_Department)</f>
        <v>-39793</v>
      </c>
      <c r="J28" vm="320">
        <f>CUBEVALUE("ThisWorkbookDataModel",$A28,J$12,Slicer_Type,Slicer_Department)</f>
        <v>-31607.25</v>
      </c>
      <c r="K28" vm="321">
        <f>CUBEVALUE("ThisWorkbookDataModel",$A28,K$12,Slicer_Type,Slicer_Department)</f>
        <v>-40794</v>
      </c>
      <c r="L28" vm="322">
        <f>CUBEVALUE("ThisWorkbookDataModel",$A28,L$12,Slicer_Type,Slicer_Department)</f>
        <v>-35981.75</v>
      </c>
      <c r="M28" vm="316">
        <f>CUBEVALUE("ThisWorkbookDataModel",$A28,M$12,Slicer_Type,Slicer_Department)</f>
        <v>-52471</v>
      </c>
      <c r="N28" vm="217">
        <f>CUBEVALUE("ThisWorkbookDataModel",$A28,N$12,Slicer_Type,Slicer_Department)</f>
        <v>-30539</v>
      </c>
      <c r="O28" vm="317">
        <f>CUBEVALUE("ThisWorkbookDataModel",$A28,O$12,Slicer_Type,Slicer_Department)</f>
        <v>-38067</v>
      </c>
      <c r="P28" vm="212">
        <f>CUBEVALUE("ThisWorkbookDataModel",$A28,P$12,Slicer_Type,Slicer_Department)</f>
        <v>-32348.25</v>
      </c>
      <c r="Q28" vm="313">
        <f>CUBEVALUE("ThisWorkbookDataModel",$A28,Q$12,Slicer_Type,Slicer_Department)</f>
        <v>-41215</v>
      </c>
      <c r="R28" vm="204">
        <f>CUBEVALUE("ThisWorkbookDataModel",$A28,R$12,Slicer_Type,Slicer_Department)</f>
        <v>-36703.75</v>
      </c>
      <c r="S28" vm="195">
        <f>CUBEVALUE("ThisWorkbookDataModel",$A28,S$12,Slicer_Type,Slicer_Department)</f>
        <v>-52548</v>
      </c>
      <c r="T28" vm="186">
        <f>CUBEVALUE("ThisWorkbookDataModel",$A28,T$12,Slicer_Type,Slicer_Department)</f>
        <v>-31584.75</v>
      </c>
      <c r="U28" vm="323">
        <f>CUBEVALUE("ThisWorkbookDataModel",$A28,U$12,Slicer_Type,Slicer_Department)</f>
        <v>-39228</v>
      </c>
      <c r="V28" vm="324">
        <f>CUBEVALUE("ThisWorkbookDataModel",$A28,V$12,Slicer_Type,Slicer_Department)</f>
        <v>-35001</v>
      </c>
      <c r="W28" vm="325">
        <f>CUBEVALUE("ThisWorkbookDataModel",$A28,W$12,Slicer_Type,Slicer_Department)</f>
        <v>-40017</v>
      </c>
      <c r="X28" vm="326">
        <f>CUBEVALUE("ThisWorkbookDataModel",$A28,X$12,Slicer_Type,Slicer_Department)</f>
        <v>-33400</v>
      </c>
      <c r="Y28" vm="327">
        <f>CUBEVALUE("ThisWorkbookDataModel",$A28,Y$12,Slicer_Type,Slicer_Department)</f>
        <v>-32472</v>
      </c>
      <c r="Z28" vm="328">
        <f>CUBEVALUE("ThisWorkbookDataModel",$A28,Z$12,Slicer_Type,Slicer_Department)</f>
        <v>-32827.5</v>
      </c>
      <c r="AA28" vm="329">
        <f>CUBEVALUE("ThisWorkbookDataModel",$A28,AA$12,Slicer_Type,Slicer_Department)</f>
        <v>-38139</v>
      </c>
      <c r="AB28">
        <f t="shared" si="1"/>
        <v>-102126.5</v>
      </c>
      <c r="AC28" s="19">
        <f t="shared" si="2"/>
        <v>-0.25520746781684306</v>
      </c>
      <c r="AE28" s="20" t="str">
        <f t="shared" si="0"/>
        <v>🔽</v>
      </c>
    </row>
    <row r="29" spans="1:31">
      <c r="A29" s="2" t="str" vm="52">
        <f>CUBEMEMBER("ThisWorkbookDataModel","[D_Account].[AccountName].[All]","Grand Total")</f>
        <v>Grand Total</v>
      </c>
      <c r="B29" vm="461">
        <f>CUBEVALUE("ThisWorkbookDataModel",$A29,B$11,Slicer_Type,Slicer_Department)</f>
        <v>79000779.25</v>
      </c>
      <c r="C29" vm="462">
        <f>CUBEVALUE("ThisWorkbookDataModel",$A29,C$11,Slicer_Type,Slicer_Department)</f>
        <v>82718055</v>
      </c>
      <c r="D29" vm="437">
        <f>CUBEVALUE("ThisWorkbookDataModel",$A29,D$12,Slicer_Type,Slicer_Department)</f>
        <v>5869102.666666667</v>
      </c>
      <c r="E29" vm="439">
        <f>CUBEVALUE("ThisWorkbookDataModel",$A29,E$12,Slicer_Type,Slicer_Department)</f>
        <v>9923912</v>
      </c>
      <c r="F29" vm="445">
        <f>CUBEVALUE("ThisWorkbookDataModel",$A29,F$12,Slicer_Type,Slicer_Department)</f>
        <v>5012000.166666667</v>
      </c>
      <c r="G29" vm="442">
        <f>CUBEVALUE("ThisWorkbookDataModel",$A29,G$12,Slicer_Type,Slicer_Department)</f>
        <v>6072415</v>
      </c>
      <c r="H29" vm="438">
        <f>CUBEVALUE("ThisWorkbookDataModel",$A29,H$12,Slicer_Type,Slicer_Department)</f>
        <v>5642143.583333333</v>
      </c>
      <c r="I29" vm="443">
        <f>CUBEVALUE("ThisWorkbookDataModel",$A29,I$12,Slicer_Type,Slicer_Department)</f>
        <v>7396807</v>
      </c>
      <c r="J29" vm="446">
        <f>CUBEVALUE("ThisWorkbookDataModel",$A29,J$12,Slicer_Type,Slicer_Department)</f>
        <v>6623501.25</v>
      </c>
      <c r="K29" vm="444">
        <f>CUBEVALUE("ThisWorkbookDataModel",$A29,K$12,Slicer_Type,Slicer_Department)</f>
        <v>2711694</v>
      </c>
      <c r="L29" vm="447">
        <f>CUBEVALUE("ThisWorkbookDataModel",$A29,L$12,Slicer_Type,Slicer_Department)</f>
        <v>5930284.083333333</v>
      </c>
      <c r="M29" vm="448">
        <f>CUBEVALUE("ThisWorkbookDataModel",$A29,M$12,Slicer_Type,Slicer_Department)</f>
        <v>6722616</v>
      </c>
      <c r="N29" vm="449">
        <f>CUBEVALUE("ThisWorkbookDataModel",$A29,N$12,Slicer_Type,Slicer_Department)</f>
        <v>6726556.916666666</v>
      </c>
      <c r="O29" vm="450">
        <f>CUBEVALUE("ThisWorkbookDataModel",$A29,O$12,Slicer_Type,Slicer_Department)</f>
        <v>715465</v>
      </c>
      <c r="P29" vm="451">
        <f>CUBEVALUE("ThisWorkbookDataModel",$A29,P$12,Slicer_Type,Slicer_Department)</f>
        <v>7624683.25</v>
      </c>
      <c r="Q29" vm="440">
        <f>CUBEVALUE("ThisWorkbookDataModel",$A29,Q$12,Slicer_Type,Slicer_Department)</f>
        <v>10721573</v>
      </c>
      <c r="R29" vm="452">
        <f>CUBEVALUE("ThisWorkbookDataModel",$A29,R$12,Slicer_Type,Slicer_Department)</f>
        <v>7002842.416666666</v>
      </c>
      <c r="S29" vm="441">
        <f>CUBEVALUE("ThisWorkbookDataModel",$A29,S$12,Slicer_Type,Slicer_Department)</f>
        <v>763011</v>
      </c>
      <c r="T29" vm="453">
        <f>CUBEVALUE("ThisWorkbookDataModel",$A29,T$12,Slicer_Type,Slicer_Department)</f>
        <v>6907979.75</v>
      </c>
      <c r="U29" vm="454">
        <f>CUBEVALUE("ThisWorkbookDataModel",$A29,U$12,Slicer_Type,Slicer_Department)</f>
        <v>5726331</v>
      </c>
      <c r="V29" vm="455">
        <f>CUBEVALUE("ThisWorkbookDataModel",$A29,V$12,Slicer_Type,Slicer_Department)</f>
        <v>6686251.25</v>
      </c>
      <c r="W29" vm="456">
        <f>CUBEVALUE("ThisWorkbookDataModel",$A29,W$12,Slicer_Type,Slicer_Department)</f>
        <v>14830656</v>
      </c>
      <c r="X29" vm="457">
        <f>CUBEVALUE("ThisWorkbookDataModel",$A29,X$12,Slicer_Type,Slicer_Department)</f>
        <v>7566332.166666666</v>
      </c>
      <c r="Y29" vm="458">
        <f>CUBEVALUE("ThisWorkbookDataModel",$A29,Y$12,Slicer_Type,Slicer_Department)</f>
        <v>7943600</v>
      </c>
      <c r="Z29" vm="459">
        <f>CUBEVALUE("ThisWorkbookDataModel",$A29,Z$12,Slicer_Type,Slicer_Department)</f>
        <v>7409101.75</v>
      </c>
      <c r="AA29" vm="460">
        <f>CUBEVALUE("ThisWorkbookDataModel",$A29,AA$12,Slicer_Type,Slicer_Department)</f>
        <v>9189975</v>
      </c>
      <c r="AB29">
        <f t="shared" si="1"/>
        <v>3717275.75</v>
      </c>
      <c r="AC29" s="19">
        <f t="shared" si="2"/>
        <v>4.7053659284000036E-2</v>
      </c>
      <c r="AE29" s="20" t="str">
        <f t="shared" si="0"/>
        <v>🔼</v>
      </c>
    </row>
    <row r="35" spans="14:40">
      <c r="O35" s="1" t="s">
        <v>70</v>
      </c>
    </row>
    <row r="36" spans="14:40">
      <c r="O36" t="s">
        <v>42</v>
      </c>
      <c r="AA36" t="s">
        <v>43</v>
      </c>
      <c r="AM36" t="s">
        <v>71</v>
      </c>
      <c r="AN36" t="s">
        <v>72</v>
      </c>
    </row>
    <row r="37" spans="14:40">
      <c r="N37" s="1" t="s">
        <v>40</v>
      </c>
      <c r="O37" t="s">
        <v>48</v>
      </c>
      <c r="P37" t="s">
        <v>47</v>
      </c>
      <c r="Q37" t="s">
        <v>51</v>
      </c>
      <c r="R37" t="s">
        <v>44</v>
      </c>
      <c r="S37" t="s">
        <v>52</v>
      </c>
      <c r="T37" t="s">
        <v>50</v>
      </c>
      <c r="U37" t="s">
        <v>49</v>
      </c>
      <c r="V37" t="s">
        <v>45</v>
      </c>
      <c r="W37" t="s">
        <v>55</v>
      </c>
      <c r="X37" t="s">
        <v>54</v>
      </c>
      <c r="Y37" t="s">
        <v>53</v>
      </c>
      <c r="Z37" t="s">
        <v>46</v>
      </c>
      <c r="AA37" t="s">
        <v>48</v>
      </c>
      <c r="AB37" t="s">
        <v>47</v>
      </c>
      <c r="AC37" t="s">
        <v>51</v>
      </c>
      <c r="AD37" t="s">
        <v>44</v>
      </c>
      <c r="AE37" t="s">
        <v>52</v>
      </c>
      <c r="AF37" t="s">
        <v>50</v>
      </c>
      <c r="AG37" t="s">
        <v>49</v>
      </c>
      <c r="AH37" t="s">
        <v>45</v>
      </c>
      <c r="AI37" t="s">
        <v>55</v>
      </c>
      <c r="AJ37" t="s">
        <v>54</v>
      </c>
      <c r="AK37" t="s">
        <v>53</v>
      </c>
      <c r="AL37" t="s">
        <v>46</v>
      </c>
    </row>
    <row r="38" spans="14:40">
      <c r="N38" s="2" t="s">
        <v>23</v>
      </c>
      <c r="O38" s="4">
        <v>16447053</v>
      </c>
      <c r="P38" s="4">
        <v>11215260</v>
      </c>
      <c r="Q38" s="4">
        <v>13708858</v>
      </c>
      <c r="R38" s="4">
        <v>9846021</v>
      </c>
      <c r="S38" s="4">
        <v>14418702</v>
      </c>
      <c r="T38" s="4">
        <v>5842719</v>
      </c>
      <c r="U38" s="4">
        <v>16729633</v>
      </c>
      <c r="V38" s="4">
        <v>8040079</v>
      </c>
      <c r="W38" s="4">
        <v>11598976</v>
      </c>
      <c r="X38" s="4">
        <v>20402679</v>
      </c>
      <c r="Y38" s="4">
        <v>14264165</v>
      </c>
      <c r="Z38" s="4">
        <v>17358279</v>
      </c>
      <c r="AA38" s="4">
        <v>7995921</v>
      </c>
      <c r="AB38" s="4">
        <v>7155365</v>
      </c>
      <c r="AC38" s="4">
        <v>7913565</v>
      </c>
      <c r="AD38" s="4">
        <v>8716551</v>
      </c>
      <c r="AE38" s="4">
        <v>8127229</v>
      </c>
      <c r="AF38" s="4">
        <v>8889625</v>
      </c>
      <c r="AG38" s="4">
        <v>9730180</v>
      </c>
      <c r="AH38" s="4">
        <v>9208197</v>
      </c>
      <c r="AI38" s="4">
        <v>9118441</v>
      </c>
      <c r="AJ38" s="4">
        <v>9010679</v>
      </c>
      <c r="AK38" s="4">
        <v>9836477</v>
      </c>
      <c r="AL38" s="4">
        <v>9598172</v>
      </c>
      <c r="AM38" s="4">
        <v>159872424</v>
      </c>
      <c r="AN38" s="4">
        <v>105300402</v>
      </c>
    </row>
    <row r="39" spans="14:40">
      <c r="N39" s="2" t="s">
        <v>26</v>
      </c>
      <c r="O39" s="4">
        <v>-437091</v>
      </c>
      <c r="P39" s="4">
        <v>-457968</v>
      </c>
      <c r="Q39" s="4">
        <v>-309493</v>
      </c>
      <c r="R39" s="4">
        <v>-528042</v>
      </c>
      <c r="S39" s="4">
        <v>-353412</v>
      </c>
      <c r="T39" s="4">
        <v>-367663</v>
      </c>
      <c r="U39" s="4">
        <v>-616504</v>
      </c>
      <c r="V39" s="4">
        <v>-539515</v>
      </c>
      <c r="W39" s="4">
        <v>-422305</v>
      </c>
      <c r="X39" s="4">
        <v>-498296</v>
      </c>
      <c r="Y39" s="4">
        <v>-354202</v>
      </c>
      <c r="Z39" s="4">
        <v>-461449</v>
      </c>
      <c r="AA39" s="4">
        <v>-996.5</v>
      </c>
      <c r="AB39" s="4">
        <v>-3523.75</v>
      </c>
      <c r="AC39" s="4">
        <v>-751.75</v>
      </c>
      <c r="AD39" s="4">
        <v>-43</v>
      </c>
      <c r="AE39" s="4">
        <v>-27275.5</v>
      </c>
      <c r="AF39" s="4">
        <v>-41</v>
      </c>
      <c r="AG39" s="4">
        <v>-5165.25</v>
      </c>
      <c r="AH39" s="4">
        <v>-1831.5</v>
      </c>
      <c r="AI39" s="4">
        <v>-16026</v>
      </c>
      <c r="AJ39" s="4">
        <v>-32.75</v>
      </c>
      <c r="AK39" s="4">
        <v>-31728.75</v>
      </c>
      <c r="AL39" s="4">
        <v>-1659.75</v>
      </c>
      <c r="AM39" s="4">
        <v>-5345940</v>
      </c>
      <c r="AN39" s="4">
        <v>-89075.5</v>
      </c>
    </row>
    <row r="40" spans="14:40">
      <c r="N40" s="2" t="s">
        <v>18</v>
      </c>
      <c r="O40" s="4">
        <v>-2775891</v>
      </c>
      <c r="P40" s="4">
        <v>-2138939</v>
      </c>
      <c r="Q40" s="4">
        <v>-3023690</v>
      </c>
      <c r="R40" s="4">
        <v>-2710779</v>
      </c>
      <c r="S40" s="4">
        <v>-4010312</v>
      </c>
      <c r="T40" s="4">
        <v>-2118947</v>
      </c>
      <c r="U40" s="4">
        <v>-1999968</v>
      </c>
      <c r="V40" s="4">
        <v>-3702594</v>
      </c>
      <c r="W40" s="4">
        <v>-1910083</v>
      </c>
      <c r="X40" s="4">
        <v>-1953148</v>
      </c>
      <c r="Y40" s="4">
        <v>-2815990</v>
      </c>
      <c r="Z40" s="4">
        <v>-4301413</v>
      </c>
      <c r="AA40" s="4">
        <v>-97133.833333333328</v>
      </c>
      <c r="AB40" s="4">
        <v>-125065.08333333333</v>
      </c>
      <c r="AC40" s="4">
        <v>-101243.16666666667</v>
      </c>
      <c r="AD40" s="4">
        <v>-93656.25</v>
      </c>
      <c r="AE40" s="4">
        <v>-132237.16666666666</v>
      </c>
      <c r="AF40" s="4">
        <v>-141101.58333333334</v>
      </c>
      <c r="AG40" s="4">
        <v>-220996.5</v>
      </c>
      <c r="AH40" s="4">
        <v>-84058.083333333328</v>
      </c>
      <c r="AI40" s="4">
        <v>-167466.75</v>
      </c>
      <c r="AJ40" s="4">
        <v>-196676.25</v>
      </c>
      <c r="AK40" s="4">
        <v>-106007.58333333333</v>
      </c>
      <c r="AL40" s="4">
        <v>-88593.75</v>
      </c>
      <c r="AM40" s="4">
        <v>-33461754</v>
      </c>
      <c r="AN40" s="4">
        <v>-1554236</v>
      </c>
    </row>
    <row r="41" spans="14:40">
      <c r="N41" s="2" t="s">
        <v>25</v>
      </c>
      <c r="O41" s="4">
        <v>-509171</v>
      </c>
      <c r="P41" s="4">
        <v>-460141</v>
      </c>
      <c r="Q41" s="4">
        <v>-209945</v>
      </c>
      <c r="R41" s="4">
        <v>-562912</v>
      </c>
      <c r="S41" s="4">
        <v>-435411</v>
      </c>
      <c r="T41" s="4">
        <v>-485667</v>
      </c>
      <c r="U41" s="4">
        <v>-408704</v>
      </c>
      <c r="V41" s="4">
        <v>-561851</v>
      </c>
      <c r="W41" s="4">
        <v>-843341</v>
      </c>
      <c r="X41" s="4">
        <v>-705345</v>
      </c>
      <c r="Y41" s="4">
        <v>-647881</v>
      </c>
      <c r="Z41" s="4">
        <v>-298718</v>
      </c>
      <c r="AA41" s="4">
        <v>-37210.5</v>
      </c>
      <c r="AB41" s="4">
        <v>-28829.75</v>
      </c>
      <c r="AC41" s="4">
        <v>-23071.25</v>
      </c>
      <c r="AD41" s="4">
        <v>-80743.25</v>
      </c>
      <c r="AE41" s="4">
        <v>-22100</v>
      </c>
      <c r="AF41" s="4">
        <v>-50691.25</v>
      </c>
      <c r="AG41" s="4">
        <v>-30042</v>
      </c>
      <c r="AH41" s="4">
        <v>-31272.5</v>
      </c>
      <c r="AI41" s="4">
        <v>-36502.5</v>
      </c>
      <c r="AJ41" s="4">
        <v>-35856.5</v>
      </c>
      <c r="AK41" s="4">
        <v>-59957.25</v>
      </c>
      <c r="AL41" s="4">
        <v>-34865.25</v>
      </c>
      <c r="AM41" s="4">
        <v>-6129087</v>
      </c>
      <c r="AN41" s="4">
        <v>-471142</v>
      </c>
    </row>
    <row r="42" spans="14:40">
      <c r="N42" s="2" t="s">
        <v>5</v>
      </c>
      <c r="O42" s="4">
        <v>-4537</v>
      </c>
      <c r="P42" s="4">
        <v>-5157</v>
      </c>
      <c r="Q42" s="4">
        <v>-5097</v>
      </c>
      <c r="R42" s="4">
        <v>-3701</v>
      </c>
      <c r="S42" s="4">
        <v>-5753</v>
      </c>
      <c r="T42" s="4">
        <v>-4227</v>
      </c>
      <c r="U42" s="4">
        <v>-4644</v>
      </c>
      <c r="V42" s="4">
        <v>-5157</v>
      </c>
      <c r="W42" s="4">
        <v>-4864</v>
      </c>
      <c r="X42" s="4">
        <v>-6372</v>
      </c>
      <c r="Y42" s="4">
        <v>-4301</v>
      </c>
      <c r="Z42" s="4">
        <v>-4212</v>
      </c>
      <c r="AA42" s="4">
        <v>-3773</v>
      </c>
      <c r="AB42" s="4">
        <v>-3598.5</v>
      </c>
      <c r="AC42" s="4">
        <v>-3642.25</v>
      </c>
      <c r="AD42" s="4">
        <v>-3807</v>
      </c>
      <c r="AE42" s="4">
        <v>-3434.5</v>
      </c>
      <c r="AF42" s="4">
        <v>-3747.25</v>
      </c>
      <c r="AG42" s="4">
        <v>-3682.25</v>
      </c>
      <c r="AH42" s="4">
        <v>-3846.25</v>
      </c>
      <c r="AI42" s="4">
        <v>-3830.5</v>
      </c>
      <c r="AJ42" s="4">
        <v>-3884.25</v>
      </c>
      <c r="AK42" s="4">
        <v>-3610</v>
      </c>
      <c r="AL42" s="4">
        <v>-3681.25</v>
      </c>
      <c r="AM42" s="4">
        <v>-58022</v>
      </c>
      <c r="AN42" s="4">
        <v>-44537</v>
      </c>
    </row>
    <row r="43" spans="14:40">
      <c r="N43" s="2" t="s">
        <v>7</v>
      </c>
      <c r="O43" s="4">
        <v>-163023</v>
      </c>
      <c r="P43" s="4">
        <v>-117076</v>
      </c>
      <c r="Q43" s="4">
        <v>-180364</v>
      </c>
      <c r="R43" s="4">
        <v>-196141</v>
      </c>
      <c r="S43" s="4">
        <v>-226371</v>
      </c>
      <c r="T43" s="4">
        <v>-200602</v>
      </c>
      <c r="U43" s="4">
        <v>-155488</v>
      </c>
      <c r="V43" s="4">
        <v>-156712</v>
      </c>
      <c r="W43" s="4">
        <v>-136791</v>
      </c>
      <c r="X43" s="4">
        <v>-163033</v>
      </c>
      <c r="Y43" s="4">
        <v>-148970</v>
      </c>
      <c r="Z43" s="4">
        <v>-121793</v>
      </c>
      <c r="AA43" s="4">
        <v>-125313.25</v>
      </c>
      <c r="AB43" s="4">
        <v>-121546.25</v>
      </c>
      <c r="AC43" s="4">
        <v>-111730</v>
      </c>
      <c r="AD43" s="4">
        <v>-123156.5</v>
      </c>
      <c r="AE43" s="4">
        <v>-127198</v>
      </c>
      <c r="AF43" s="4">
        <v>-127429</v>
      </c>
      <c r="AG43" s="4">
        <v>-133025.5</v>
      </c>
      <c r="AH43" s="4">
        <v>-135761.75</v>
      </c>
      <c r="AI43" s="4">
        <v>-126051.75</v>
      </c>
      <c r="AJ43" s="4">
        <v>-123673.75</v>
      </c>
      <c r="AK43" s="4">
        <v>-119056</v>
      </c>
      <c r="AL43" s="4">
        <v>-119684.5</v>
      </c>
      <c r="AM43" s="4">
        <v>-1966364</v>
      </c>
      <c r="AN43" s="4">
        <v>-1493626.25</v>
      </c>
    </row>
    <row r="44" spans="14:40">
      <c r="N44" s="2" t="s">
        <v>22</v>
      </c>
      <c r="O44" s="4">
        <v>-14535</v>
      </c>
      <c r="P44" s="4">
        <v>-6501</v>
      </c>
      <c r="Q44" s="4">
        <v>-6287</v>
      </c>
      <c r="R44" s="4">
        <v>-12404</v>
      </c>
      <c r="S44" s="4">
        <v>-10832</v>
      </c>
      <c r="T44" s="4">
        <v>-12837</v>
      </c>
      <c r="U44" s="4">
        <v>-8730</v>
      </c>
      <c r="V44" s="4">
        <v>-13486</v>
      </c>
      <c r="W44" s="4">
        <v>-11096</v>
      </c>
      <c r="X44" s="4">
        <v>-13069</v>
      </c>
      <c r="Y44" s="4">
        <v>-8811</v>
      </c>
      <c r="Z44" s="4">
        <v>-11755</v>
      </c>
      <c r="AA44" s="4">
        <v>-8653.5</v>
      </c>
      <c r="AB44" s="4">
        <v>-8600.25</v>
      </c>
      <c r="AC44" s="4">
        <v>-8598.5</v>
      </c>
      <c r="AD44" s="4">
        <v>-8752</v>
      </c>
      <c r="AE44" s="4">
        <v>-7951.5</v>
      </c>
      <c r="AF44" s="4">
        <v>-8597.75</v>
      </c>
      <c r="AG44" s="4">
        <v>-8885.75</v>
      </c>
      <c r="AH44" s="4">
        <v>-8321</v>
      </c>
      <c r="AI44" s="4">
        <v>-8720.25</v>
      </c>
      <c r="AJ44" s="4">
        <v>-8298.25</v>
      </c>
      <c r="AK44" s="4">
        <v>-8084.5</v>
      </c>
      <c r="AL44" s="4">
        <v>-8566.5</v>
      </c>
      <c r="AM44" s="4">
        <v>-130343</v>
      </c>
      <c r="AN44" s="4">
        <v>-102029.75</v>
      </c>
    </row>
    <row r="45" spans="14:40">
      <c r="N45" s="2" t="s">
        <v>21</v>
      </c>
      <c r="O45" s="4">
        <v>-31821</v>
      </c>
      <c r="P45" s="4">
        <v>-21642</v>
      </c>
      <c r="Q45" s="4">
        <v>-16709</v>
      </c>
      <c r="R45" s="4">
        <v>-21789</v>
      </c>
      <c r="S45" s="4">
        <v>-28532</v>
      </c>
      <c r="T45" s="4">
        <v>-27118</v>
      </c>
      <c r="U45" s="4">
        <v>-21527</v>
      </c>
      <c r="V45" s="4">
        <v>-22750</v>
      </c>
      <c r="W45" s="4">
        <v>-26385</v>
      </c>
      <c r="X45" s="4">
        <v>-19823</v>
      </c>
      <c r="Y45" s="4">
        <v>-22566</v>
      </c>
      <c r="Z45" s="4">
        <v>-25282</v>
      </c>
      <c r="AA45" s="4">
        <v>-2772</v>
      </c>
      <c r="AB45" s="4">
        <v>-3177.25</v>
      </c>
      <c r="AC45" s="4">
        <v>-2581.75</v>
      </c>
      <c r="AD45" s="4">
        <v>-1227</v>
      </c>
      <c r="AE45" s="4">
        <v>-4248.75</v>
      </c>
      <c r="AF45" s="4">
        <v>-1215</v>
      </c>
      <c r="AG45" s="4">
        <v>-1442</v>
      </c>
      <c r="AH45" s="4">
        <v>-1933</v>
      </c>
      <c r="AI45" s="4">
        <v>-1920.75</v>
      </c>
      <c r="AJ45" s="4">
        <v>-1468.75</v>
      </c>
      <c r="AK45" s="4">
        <v>-1184.5</v>
      </c>
      <c r="AL45" s="4">
        <v>-1215</v>
      </c>
      <c r="AM45" s="4">
        <v>-285944</v>
      </c>
      <c r="AN45" s="4">
        <v>-24385.75</v>
      </c>
    </row>
    <row r="46" spans="14:40">
      <c r="N46" s="2" t="s">
        <v>9</v>
      </c>
      <c r="O46" s="4">
        <v>-27134</v>
      </c>
      <c r="P46" s="4">
        <v>-23047</v>
      </c>
      <c r="Q46" s="4">
        <v>-14892</v>
      </c>
      <c r="R46" s="4">
        <v>-13716</v>
      </c>
      <c r="S46" s="4">
        <v>-19336</v>
      </c>
      <c r="T46" s="4">
        <v>-22697</v>
      </c>
      <c r="U46" s="4">
        <v>-22150</v>
      </c>
      <c r="V46" s="4">
        <v>-22085</v>
      </c>
      <c r="W46" s="4">
        <v>-15115</v>
      </c>
      <c r="X46" s="4">
        <v>-21579</v>
      </c>
      <c r="Y46" s="4">
        <v>-16456</v>
      </c>
      <c r="Z46" s="4">
        <v>-18307</v>
      </c>
      <c r="AA46" s="4">
        <v>-16596.75</v>
      </c>
      <c r="AB46" s="4">
        <v>-15409.75</v>
      </c>
      <c r="AC46" s="4">
        <v>-16291.75</v>
      </c>
      <c r="AD46" s="4">
        <v>-15456.75</v>
      </c>
      <c r="AE46" s="4">
        <v>-14877.5</v>
      </c>
      <c r="AF46" s="4">
        <v>-15536.5</v>
      </c>
      <c r="AG46" s="4">
        <v>-16021.25</v>
      </c>
      <c r="AH46" s="4">
        <v>-15614</v>
      </c>
      <c r="AI46" s="4">
        <v>-19049.75</v>
      </c>
      <c r="AJ46" s="4">
        <v>-16740.5</v>
      </c>
      <c r="AK46" s="4">
        <v>-16923.5</v>
      </c>
      <c r="AL46" s="4">
        <v>-13984.5</v>
      </c>
      <c r="AM46" s="4">
        <v>-236514</v>
      </c>
      <c r="AN46" s="4">
        <v>-192502.5</v>
      </c>
    </row>
    <row r="47" spans="14:40">
      <c r="N47" s="2" t="s">
        <v>27</v>
      </c>
      <c r="O47" s="4">
        <v>-4773</v>
      </c>
      <c r="P47" s="4">
        <v>-4150</v>
      </c>
      <c r="Q47" s="4">
        <v>-5020</v>
      </c>
      <c r="R47" s="4">
        <v>-2567</v>
      </c>
      <c r="S47" s="4">
        <v>-4513</v>
      </c>
      <c r="T47" s="4">
        <v>-5751</v>
      </c>
      <c r="U47" s="4">
        <v>-3716</v>
      </c>
      <c r="V47" s="4">
        <v>-4024</v>
      </c>
      <c r="W47" s="4">
        <v>-6496</v>
      </c>
      <c r="X47" s="4">
        <v>-2246</v>
      </c>
      <c r="Y47" s="4">
        <v>-2912</v>
      </c>
      <c r="Z47" s="4">
        <v>-3418</v>
      </c>
      <c r="AA47" s="4">
        <v>-4335</v>
      </c>
      <c r="AB47" s="4">
        <v>-3931.75</v>
      </c>
      <c r="AC47" s="4">
        <v>-4838</v>
      </c>
      <c r="AD47" s="4">
        <v>-4201</v>
      </c>
      <c r="AE47" s="4">
        <v>-4402.25</v>
      </c>
      <c r="AF47" s="4">
        <v>-4441.5</v>
      </c>
      <c r="AG47" s="4">
        <v>-4325</v>
      </c>
      <c r="AH47" s="4">
        <v>-4085</v>
      </c>
      <c r="AI47" s="4">
        <v>-3959.5</v>
      </c>
      <c r="AJ47" s="4">
        <v>-4777.5</v>
      </c>
      <c r="AK47" s="4">
        <v>-4893.75</v>
      </c>
      <c r="AL47" s="4">
        <v>-4541.25</v>
      </c>
      <c r="AM47" s="4">
        <v>-49586</v>
      </c>
      <c r="AN47" s="4">
        <v>-52731.5</v>
      </c>
    </row>
    <row r="48" spans="14:40">
      <c r="N48" s="2" t="s">
        <v>11</v>
      </c>
      <c r="O48" s="4">
        <v>-12860</v>
      </c>
      <c r="P48" s="4">
        <v>-12890</v>
      </c>
      <c r="Q48" s="4">
        <v>-12860</v>
      </c>
      <c r="R48" s="4">
        <v>-12810</v>
      </c>
      <c r="S48" s="4">
        <v>-12910</v>
      </c>
      <c r="T48" s="4">
        <v>-12880</v>
      </c>
      <c r="U48" s="4">
        <v>-12960</v>
      </c>
      <c r="V48" s="4">
        <v>-12790</v>
      </c>
      <c r="W48" s="4">
        <v>-12960</v>
      </c>
      <c r="X48" s="4">
        <v>-12890</v>
      </c>
      <c r="Y48" s="4">
        <v>-12950</v>
      </c>
      <c r="Z48" s="4">
        <v>-12990</v>
      </c>
      <c r="AA48" s="4">
        <v>-31894.5</v>
      </c>
      <c r="AB48" s="4">
        <v>-29679</v>
      </c>
      <c r="AC48" s="4">
        <v>-32427.75</v>
      </c>
      <c r="AD48" s="4">
        <v>-30237.75</v>
      </c>
      <c r="AE48" s="4">
        <v>-31860.25</v>
      </c>
      <c r="AF48" s="4">
        <v>-32503.5</v>
      </c>
      <c r="AG48" s="4">
        <v>-32319.75</v>
      </c>
      <c r="AH48" s="4">
        <v>-31113</v>
      </c>
      <c r="AI48" s="4">
        <v>-32034.25</v>
      </c>
      <c r="AJ48" s="4">
        <v>-32668.75</v>
      </c>
      <c r="AK48" s="4">
        <v>-32301.75</v>
      </c>
      <c r="AL48" s="4">
        <v>-32778.5</v>
      </c>
      <c r="AM48" s="4">
        <v>-154750</v>
      </c>
      <c r="AN48" s="4">
        <v>-381818.75</v>
      </c>
    </row>
    <row r="49" spans="14:40">
      <c r="N49" s="2" t="s">
        <v>15</v>
      </c>
      <c r="O49" s="4">
        <v>-2239516</v>
      </c>
      <c r="P49" s="4">
        <v>-1620019</v>
      </c>
      <c r="Q49" s="4">
        <v>-2174419</v>
      </c>
      <c r="R49" s="4">
        <v>-2765256</v>
      </c>
      <c r="S49" s="4">
        <v>-2210098</v>
      </c>
      <c r="T49" s="4">
        <v>-1530196</v>
      </c>
      <c r="U49" s="4">
        <v>-2509717</v>
      </c>
      <c r="V49" s="4">
        <v>-1910781</v>
      </c>
      <c r="W49" s="4">
        <v>-2193273</v>
      </c>
      <c r="X49" s="4">
        <v>-1929621</v>
      </c>
      <c r="Y49" s="4">
        <v>-2013815</v>
      </c>
      <c r="Z49" s="4">
        <v>-2658131</v>
      </c>
      <c r="AA49" s="4">
        <v>-1582966.5</v>
      </c>
      <c r="AB49" s="4">
        <v>-1590168.75</v>
      </c>
      <c r="AC49" s="4">
        <v>-1779741.5</v>
      </c>
      <c r="AD49" s="4">
        <v>-1536196.25</v>
      </c>
      <c r="AE49" s="4">
        <v>-1629129.25</v>
      </c>
      <c r="AF49" s="4">
        <v>-1577063.5</v>
      </c>
      <c r="AG49" s="4">
        <v>-1448524</v>
      </c>
      <c r="AH49" s="4">
        <v>-1692188.75</v>
      </c>
      <c r="AI49" s="4">
        <v>-1602973</v>
      </c>
      <c r="AJ49" s="4">
        <v>-1676236</v>
      </c>
      <c r="AK49" s="4">
        <v>-1696286.75</v>
      </c>
      <c r="AL49" s="4">
        <v>-1696206.75</v>
      </c>
      <c r="AM49" s="4">
        <v>-25754842</v>
      </c>
      <c r="AN49" s="4">
        <v>-19507681</v>
      </c>
    </row>
    <row r="50" spans="14:40">
      <c r="N50" s="2" t="s">
        <v>24</v>
      </c>
      <c r="O50" s="4">
        <v>-38533</v>
      </c>
      <c r="P50" s="4">
        <v>-50132</v>
      </c>
      <c r="Q50" s="4">
        <v>-49616</v>
      </c>
      <c r="R50" s="4">
        <v>-37692</v>
      </c>
      <c r="S50" s="4">
        <v>-47888</v>
      </c>
      <c r="T50" s="4">
        <v>-46823</v>
      </c>
      <c r="U50" s="4">
        <v>-52902</v>
      </c>
      <c r="V50" s="4">
        <v>-38445</v>
      </c>
      <c r="W50" s="4">
        <v>-31984</v>
      </c>
      <c r="X50" s="4">
        <v>-34793</v>
      </c>
      <c r="Y50" s="4">
        <v>-45518</v>
      </c>
      <c r="Z50" s="4">
        <v>-26947</v>
      </c>
      <c r="AA50" s="4">
        <v>-40498.75</v>
      </c>
      <c r="AB50" s="4">
        <v>-36051.5</v>
      </c>
      <c r="AC50" s="4">
        <v>-32980</v>
      </c>
      <c r="AD50" s="4">
        <v>-36928.75</v>
      </c>
      <c r="AE50" s="4">
        <v>-39260.75</v>
      </c>
      <c r="AF50" s="4">
        <v>-38072.5</v>
      </c>
      <c r="AG50" s="4">
        <v>-34064.25</v>
      </c>
      <c r="AH50" s="4">
        <v>-38236.75</v>
      </c>
      <c r="AI50" s="4">
        <v>-34526.5</v>
      </c>
      <c r="AJ50" s="4">
        <v>-42463.75</v>
      </c>
      <c r="AK50" s="4">
        <v>-32393</v>
      </c>
      <c r="AL50" s="4">
        <v>-30177.75</v>
      </c>
      <c r="AM50" s="4">
        <v>-501273</v>
      </c>
      <c r="AN50" s="4">
        <v>-435654.25</v>
      </c>
    </row>
    <row r="51" spans="14:40">
      <c r="N51" s="2" t="s">
        <v>16</v>
      </c>
      <c r="O51" s="4">
        <v>-199915</v>
      </c>
      <c r="P51" s="4">
        <v>-151785</v>
      </c>
      <c r="Q51" s="4">
        <v>-224963</v>
      </c>
      <c r="R51" s="4">
        <v>-196595</v>
      </c>
      <c r="S51" s="4">
        <v>-239831</v>
      </c>
      <c r="T51" s="4">
        <v>-231516</v>
      </c>
      <c r="U51" s="4">
        <v>-122687</v>
      </c>
      <c r="V51" s="4">
        <v>-204433</v>
      </c>
      <c r="W51" s="4">
        <v>-186499</v>
      </c>
      <c r="X51" s="4">
        <v>-140645</v>
      </c>
      <c r="Y51" s="4">
        <v>-156649</v>
      </c>
      <c r="Z51" s="4">
        <v>-153196</v>
      </c>
      <c r="AA51" s="4">
        <v>-98296</v>
      </c>
      <c r="AB51" s="4">
        <v>-95693</v>
      </c>
      <c r="AC51" s="4">
        <v>-77301.5</v>
      </c>
      <c r="AD51" s="4">
        <v>-80918</v>
      </c>
      <c r="AE51" s="4">
        <v>-74115.75</v>
      </c>
      <c r="AF51" s="4">
        <v>-88235.5</v>
      </c>
      <c r="AG51" s="4">
        <v>-89150</v>
      </c>
      <c r="AH51" s="4">
        <v>-78093.25</v>
      </c>
      <c r="AI51" s="4">
        <v>-85072.75</v>
      </c>
      <c r="AJ51" s="4">
        <v>-99867</v>
      </c>
      <c r="AK51" s="4">
        <v>-82123</v>
      </c>
      <c r="AL51" s="4">
        <v>-80583.25</v>
      </c>
      <c r="AM51" s="4">
        <v>-2208714</v>
      </c>
      <c r="AN51" s="4">
        <v>-1029449</v>
      </c>
    </row>
    <row r="52" spans="14:40">
      <c r="N52" s="2" t="s">
        <v>17</v>
      </c>
      <c r="O52" s="4">
        <v>-20222</v>
      </c>
      <c r="P52" s="4">
        <v>-29964</v>
      </c>
      <c r="Q52" s="4">
        <v>-38903</v>
      </c>
      <c r="R52" s="4">
        <v>-29129</v>
      </c>
      <c r="S52" s="4">
        <v>-38416</v>
      </c>
      <c r="T52" s="4">
        <v>-22263</v>
      </c>
      <c r="U52" s="4">
        <v>-27148</v>
      </c>
      <c r="V52" s="4">
        <v>-29897</v>
      </c>
      <c r="W52" s="4">
        <v>-32225</v>
      </c>
      <c r="X52" s="4">
        <v>-31146</v>
      </c>
      <c r="Y52" s="4">
        <v>-37072</v>
      </c>
      <c r="Z52" s="4">
        <v>-32554</v>
      </c>
      <c r="AA52" s="4">
        <v>-44425.75</v>
      </c>
      <c r="AB52" s="4">
        <v>-43221.75</v>
      </c>
      <c r="AC52" s="4">
        <v>-42866</v>
      </c>
      <c r="AD52" s="4">
        <v>-46119</v>
      </c>
      <c r="AE52" s="4">
        <v>-42872</v>
      </c>
      <c r="AF52" s="4">
        <v>-43853.25</v>
      </c>
      <c r="AG52" s="4">
        <v>-45505</v>
      </c>
      <c r="AH52" s="4">
        <v>-42296</v>
      </c>
      <c r="AI52" s="4">
        <v>-40742.25</v>
      </c>
      <c r="AJ52" s="4">
        <v>-46782.75</v>
      </c>
      <c r="AK52" s="4">
        <v>-42194.5</v>
      </c>
      <c r="AL52" s="4">
        <v>-39704.75</v>
      </c>
      <c r="AM52" s="4">
        <v>-368939</v>
      </c>
      <c r="AN52" s="4">
        <v>-520583</v>
      </c>
    </row>
    <row r="53" spans="14:40">
      <c r="N53" s="2" t="s">
        <v>20</v>
      </c>
      <c r="O53" s="4">
        <v>-44119</v>
      </c>
      <c r="P53" s="4">
        <v>-43434</v>
      </c>
      <c r="Q53" s="4">
        <v>-39793</v>
      </c>
      <c r="R53" s="4">
        <v>-40794</v>
      </c>
      <c r="S53" s="4">
        <v>-52471</v>
      </c>
      <c r="T53" s="4">
        <v>-38067</v>
      </c>
      <c r="U53" s="4">
        <v>-41215</v>
      </c>
      <c r="V53" s="4">
        <v>-52548</v>
      </c>
      <c r="W53" s="4">
        <v>-39228</v>
      </c>
      <c r="X53" s="4">
        <v>-40017</v>
      </c>
      <c r="Y53" s="4">
        <v>-32472</v>
      </c>
      <c r="Z53" s="4">
        <v>-38139</v>
      </c>
      <c r="AA53" s="4">
        <v>-31952.5</v>
      </c>
      <c r="AB53" s="4">
        <v>-34868.5</v>
      </c>
      <c r="AC53" s="4">
        <v>-33356.25</v>
      </c>
      <c r="AD53" s="4">
        <v>-31607.25</v>
      </c>
      <c r="AE53" s="4">
        <v>-35981.75</v>
      </c>
      <c r="AF53" s="4">
        <v>-30539</v>
      </c>
      <c r="AG53" s="4">
        <v>-32348.25</v>
      </c>
      <c r="AH53" s="4">
        <v>-36703.75</v>
      </c>
      <c r="AI53" s="4">
        <v>-31584.75</v>
      </c>
      <c r="AJ53" s="4">
        <v>-35001</v>
      </c>
      <c r="AK53" s="4">
        <v>-33400</v>
      </c>
      <c r="AL53" s="4">
        <v>-32827.5</v>
      </c>
      <c r="AM53" s="4">
        <v>-502297</v>
      </c>
      <c r="AN53" s="4">
        <v>-400170.5</v>
      </c>
    </row>
    <row r="54" spans="14:40">
      <c r="N54" s="2" t="s">
        <v>41</v>
      </c>
      <c r="O54" s="4">
        <v>9923912</v>
      </c>
      <c r="P54" s="4">
        <v>6072415</v>
      </c>
      <c r="Q54" s="4">
        <v>7396807</v>
      </c>
      <c r="R54" s="4">
        <v>2711694</v>
      </c>
      <c r="S54" s="4">
        <v>6722616</v>
      </c>
      <c r="T54" s="4">
        <v>715465</v>
      </c>
      <c r="U54" s="4">
        <v>10721573</v>
      </c>
      <c r="V54" s="4">
        <v>763011</v>
      </c>
      <c r="W54" s="4">
        <v>5726331</v>
      </c>
      <c r="X54" s="4">
        <v>14830656</v>
      </c>
      <c r="Y54" s="4">
        <v>7943600</v>
      </c>
      <c r="Z54" s="4">
        <v>9189975</v>
      </c>
      <c r="AA54" s="4">
        <v>5869102.666666667</v>
      </c>
      <c r="AB54" s="4">
        <v>5012000.166666667</v>
      </c>
      <c r="AC54" s="4">
        <v>5642143.583333333</v>
      </c>
      <c r="AD54" s="4">
        <v>6623501.25</v>
      </c>
      <c r="AE54" s="4">
        <v>5930284.083333333</v>
      </c>
      <c r="AF54" s="4">
        <v>6726556.916666666</v>
      </c>
      <c r="AG54" s="4">
        <v>7624683.25</v>
      </c>
      <c r="AH54" s="4">
        <v>7002842.416666666</v>
      </c>
      <c r="AI54" s="4">
        <v>6907979.75</v>
      </c>
      <c r="AJ54" s="4">
        <v>6686251.25</v>
      </c>
      <c r="AK54" s="4">
        <v>7566332.166666666</v>
      </c>
      <c r="AL54" s="4">
        <v>7409101.75</v>
      </c>
      <c r="AM54" s="4">
        <v>82718055</v>
      </c>
      <c r="AN54" s="4">
        <v>79000779.25</v>
      </c>
    </row>
    <row r="65" spans="1:2">
      <c r="A65" t="s">
        <v>42</v>
      </c>
      <c r="B65" t="s">
        <v>43</v>
      </c>
    </row>
    <row r="66" spans="1:2">
      <c r="A66" s="4">
        <v>82718055</v>
      </c>
      <c r="B66" s="4">
        <v>79000779.25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7"/>
  <sheetViews>
    <sheetView showGridLines="0" topLeftCell="A30" zoomScale="130" zoomScaleNormal="130" workbookViewId="0">
      <selection activeCell="M28" sqref="M28"/>
    </sheetView>
  </sheetViews>
  <sheetFormatPr defaultColWidth="7.59765625" defaultRowHeight="14.4"/>
  <cols>
    <col min="1" max="1" width="1.3984375" style="22" customWidth="1"/>
    <col min="2" max="6" width="12.19921875" style="22" customWidth="1"/>
    <col min="7" max="7" width="16.59765625" style="22" customWidth="1"/>
    <col min="8" max="11" width="12.19921875" style="22" customWidth="1"/>
    <col min="12" max="16384" width="7.59765625" style="22"/>
  </cols>
  <sheetData>
    <row r="1" spans="1:13" ht="6" customHeight="1">
      <c r="A1" s="21"/>
      <c r="B1" s="21"/>
      <c r="C1" s="21"/>
      <c r="D1" s="21"/>
      <c r="E1" s="21"/>
      <c r="F1" s="21"/>
      <c r="G1" s="21"/>
      <c r="H1" s="21"/>
      <c r="I1" s="21"/>
      <c r="J1" s="21"/>
      <c r="K1" s="21"/>
    </row>
    <row r="2" spans="1:13" ht="43.5" customHeight="1">
      <c r="A2" s="21"/>
      <c r="B2" s="103" t="s">
        <v>68</v>
      </c>
      <c r="C2" s="103"/>
      <c r="D2" s="103"/>
      <c r="E2" s="103"/>
      <c r="F2" s="103"/>
      <c r="G2" s="103"/>
      <c r="H2" s="103"/>
      <c r="I2" s="103"/>
      <c r="J2" s="103"/>
      <c r="K2" s="103"/>
    </row>
    <row r="3" spans="1:13" ht="19.5" customHeight="1">
      <c r="A3" s="21"/>
      <c r="B3" s="104" t="s">
        <v>69</v>
      </c>
      <c r="C3" s="104"/>
      <c r="D3" s="104"/>
      <c r="E3" s="104"/>
      <c r="F3" s="104"/>
      <c r="G3" s="104"/>
      <c r="H3" s="104"/>
      <c r="I3" s="104"/>
      <c r="J3" s="104"/>
      <c r="K3" s="104"/>
    </row>
    <row r="4" spans="1:13" ht="27.75" customHeight="1">
      <c r="A4" s="21"/>
      <c r="B4" s="30"/>
      <c r="C4" s="30"/>
      <c r="D4" s="30"/>
      <c r="E4" s="30"/>
      <c r="F4" s="30"/>
      <c r="G4" s="30"/>
      <c r="H4" s="30"/>
      <c r="I4" s="30"/>
      <c r="J4" s="30"/>
      <c r="K4" s="30"/>
    </row>
    <row r="5" spans="1:13" ht="23.25" customHeight="1">
      <c r="A5" s="21"/>
      <c r="B5" s="30"/>
      <c r="C5" s="30"/>
      <c r="D5" s="30"/>
      <c r="E5" s="30"/>
      <c r="F5" s="30"/>
      <c r="G5" s="30"/>
      <c r="H5" s="30"/>
      <c r="I5" s="30"/>
      <c r="J5" s="30"/>
      <c r="K5" s="30"/>
    </row>
    <row r="6" spans="1:13" ht="23.25" customHeight="1">
      <c r="A6" s="21"/>
      <c r="B6" s="30"/>
      <c r="C6" s="30"/>
      <c r="D6" s="30"/>
      <c r="E6" s="30"/>
      <c r="F6" s="30"/>
      <c r="G6" s="30"/>
      <c r="H6" s="30"/>
      <c r="I6" s="30"/>
      <c r="J6" s="30"/>
      <c r="K6" s="30"/>
    </row>
    <row r="7" spans="1:13" ht="23.25" customHeight="1">
      <c r="A7" s="21"/>
      <c r="B7" s="30"/>
      <c r="C7" s="30"/>
      <c r="D7" s="30"/>
      <c r="E7" s="30"/>
      <c r="F7" s="30"/>
      <c r="G7" s="30"/>
      <c r="H7" s="30"/>
      <c r="I7" s="30"/>
      <c r="J7" s="30"/>
      <c r="K7" s="30"/>
    </row>
    <row r="8" spans="1:13" ht="15" customHeight="1">
      <c r="A8" s="21"/>
      <c r="B8" s="21"/>
      <c r="C8" s="21"/>
      <c r="D8" s="21"/>
      <c r="E8" s="21"/>
      <c r="F8" s="21"/>
      <c r="G8" s="21"/>
      <c r="H8" s="21"/>
      <c r="I8" s="21"/>
      <c r="J8" s="21"/>
      <c r="K8" s="21"/>
    </row>
    <row r="9" spans="1:13" ht="15" customHeight="1">
      <c r="A9" s="21"/>
      <c r="B9" s="21"/>
      <c r="C9" s="21"/>
      <c r="D9" s="21"/>
      <c r="E9" s="21"/>
      <c r="F9" s="21"/>
      <c r="G9" s="21"/>
      <c r="H9" s="21"/>
      <c r="I9" s="21"/>
      <c r="J9" s="21"/>
      <c r="K9" s="21"/>
    </row>
    <row r="10" spans="1:13" ht="17.25" customHeight="1">
      <c r="B10" s="23"/>
      <c r="C10" s="24"/>
      <c r="D10" s="25"/>
      <c r="E10" s="26"/>
      <c r="F10" s="27"/>
      <c r="G10" s="28"/>
      <c r="H10" s="29"/>
      <c r="I10" s="31"/>
      <c r="J10" s="77"/>
      <c r="K10" s="78"/>
    </row>
    <row r="11" spans="1:13" ht="13.5" customHeight="1">
      <c r="B11" s="81" t="s">
        <v>73</v>
      </c>
      <c r="C11" s="105"/>
      <c r="D11" s="81" t="s">
        <v>74</v>
      </c>
      <c r="E11" s="105"/>
      <c r="F11" s="81" t="s">
        <v>94</v>
      </c>
      <c r="G11" s="105"/>
      <c r="H11" s="81" t="s">
        <v>103</v>
      </c>
      <c r="I11" s="82"/>
      <c r="J11" s="81" t="s">
        <v>134</v>
      </c>
      <c r="K11" s="82"/>
      <c r="L11" s="80"/>
      <c r="M11" s="80"/>
    </row>
    <row r="12" spans="1:13" ht="36" customHeight="1">
      <c r="B12" s="106">
        <f>Calculation!$A$66</f>
        <v>82718055</v>
      </c>
      <c r="C12" s="107"/>
      <c r="D12" s="108">
        <f>Calculation!$B$66</f>
        <v>79000779.25</v>
      </c>
      <c r="E12" s="109"/>
      <c r="F12" s="110" t="s">
        <v>95</v>
      </c>
      <c r="G12" s="111"/>
      <c r="H12" s="100" t="s">
        <v>104</v>
      </c>
      <c r="I12" s="101"/>
      <c r="J12" s="83" t="s">
        <v>135</v>
      </c>
      <c r="K12" s="84"/>
      <c r="L12" s="80"/>
      <c r="M12" s="80"/>
    </row>
    <row r="13" spans="1:13" ht="18" customHeight="1">
      <c r="B13" s="85" t="s">
        <v>107</v>
      </c>
      <c r="C13" s="86"/>
      <c r="D13" s="85" t="s">
        <v>106</v>
      </c>
      <c r="E13" s="86"/>
      <c r="F13" s="85" t="s">
        <v>96</v>
      </c>
      <c r="G13" s="86"/>
      <c r="H13" s="85" t="s">
        <v>105</v>
      </c>
      <c r="I13" s="102"/>
      <c r="J13" s="85" t="s">
        <v>136</v>
      </c>
      <c r="K13" s="86"/>
      <c r="L13" s="80"/>
      <c r="M13" s="80"/>
    </row>
    <row r="14" spans="1:13" ht="21" customHeight="1">
      <c r="L14" s="80"/>
      <c r="M14" s="80"/>
    </row>
    <row r="15" spans="1:13" ht="25.5" customHeight="1">
      <c r="L15" s="80"/>
      <c r="M15" s="80"/>
    </row>
    <row r="16" spans="1:13" ht="19.5" customHeight="1">
      <c r="B16" s="61" t="s">
        <v>93</v>
      </c>
      <c r="C16" s="61"/>
      <c r="D16" s="61"/>
      <c r="E16" s="61"/>
      <c r="F16" s="61"/>
      <c r="G16" s="62" t="s">
        <v>92</v>
      </c>
      <c r="H16" s="68"/>
      <c r="I16" s="68"/>
      <c r="J16" s="68"/>
      <c r="K16" s="68"/>
    </row>
    <row r="17" spans="2:11" ht="18" customHeight="1">
      <c r="B17" s="87" t="s">
        <v>66</v>
      </c>
      <c r="C17" s="88"/>
      <c r="D17" s="88"/>
      <c r="E17" s="88"/>
      <c r="F17" s="89"/>
      <c r="G17" s="87" t="s">
        <v>67</v>
      </c>
      <c r="H17" s="88"/>
      <c r="I17" s="88"/>
      <c r="J17" s="88"/>
      <c r="K17" s="88"/>
    </row>
    <row r="18" spans="2:11" ht="16.5" customHeight="1">
      <c r="B18" s="90"/>
      <c r="C18" s="91"/>
      <c r="D18" s="91"/>
      <c r="E18" s="91"/>
      <c r="F18" s="92"/>
      <c r="G18" s="90"/>
      <c r="H18" s="91"/>
      <c r="I18" s="91"/>
      <c r="J18" s="91"/>
      <c r="K18" s="91"/>
    </row>
    <row r="19" spans="2:11" ht="16.5" customHeight="1">
      <c r="B19" s="90"/>
      <c r="C19" s="91"/>
      <c r="D19" s="91"/>
      <c r="E19" s="91"/>
      <c r="F19" s="92"/>
      <c r="G19" s="90"/>
      <c r="H19" s="91"/>
      <c r="I19" s="91"/>
      <c r="J19" s="91"/>
      <c r="K19" s="91"/>
    </row>
    <row r="20" spans="2:11" ht="16.5" customHeight="1">
      <c r="B20" s="90"/>
      <c r="C20" s="91"/>
      <c r="D20" s="91"/>
      <c r="E20" s="91"/>
      <c r="F20" s="92"/>
      <c r="G20" s="90"/>
      <c r="H20" s="91"/>
      <c r="I20" s="91"/>
      <c r="J20" s="91"/>
      <c r="K20" s="91"/>
    </row>
    <row r="21" spans="2:11" ht="16.5" customHeight="1">
      <c r="B21" s="90"/>
      <c r="C21" s="91"/>
      <c r="D21" s="91"/>
      <c r="E21" s="91"/>
      <c r="F21" s="92"/>
      <c r="G21" s="90"/>
      <c r="H21" s="91"/>
      <c r="I21" s="91"/>
      <c r="J21" s="91"/>
      <c r="K21" s="91"/>
    </row>
    <row r="22" spans="2:11" ht="18" customHeight="1">
      <c r="B22" s="90"/>
      <c r="C22" s="91"/>
      <c r="D22" s="91"/>
      <c r="E22" s="91"/>
      <c r="F22" s="92"/>
      <c r="G22" s="90"/>
      <c r="H22" s="91"/>
      <c r="I22" s="91"/>
      <c r="J22" s="91"/>
      <c r="K22" s="91"/>
    </row>
    <row r="23" spans="2:11" ht="12" customHeight="1">
      <c r="B23" s="90"/>
      <c r="C23" s="91"/>
      <c r="D23" s="91"/>
      <c r="E23" s="91"/>
      <c r="F23" s="92"/>
      <c r="G23" s="90"/>
      <c r="H23" s="91"/>
      <c r="I23" s="91"/>
      <c r="J23" s="91"/>
      <c r="K23" s="91"/>
    </row>
    <row r="24" spans="2:11" ht="19.5" customHeight="1">
      <c r="B24" s="90"/>
      <c r="C24" s="91"/>
      <c r="D24" s="91"/>
      <c r="E24" s="91"/>
      <c r="F24" s="92"/>
      <c r="G24" s="90"/>
      <c r="H24" s="91"/>
      <c r="I24" s="91"/>
      <c r="J24" s="91"/>
      <c r="K24" s="91"/>
    </row>
    <row r="25" spans="2:11" ht="13.5" customHeight="1">
      <c r="B25" s="90"/>
      <c r="C25" s="91"/>
      <c r="D25" s="91"/>
      <c r="E25" s="91"/>
      <c r="F25" s="92"/>
      <c r="G25" s="90"/>
      <c r="H25" s="91"/>
      <c r="I25" s="91"/>
      <c r="J25" s="91"/>
      <c r="K25" s="91"/>
    </row>
    <row r="26" spans="2:11" ht="13.5" customHeight="1">
      <c r="B26" s="90"/>
      <c r="C26" s="91"/>
      <c r="D26" s="91"/>
      <c r="E26" s="91"/>
      <c r="F26" s="92"/>
      <c r="G26" s="90"/>
      <c r="H26" s="91"/>
      <c r="I26" s="91"/>
      <c r="J26" s="91"/>
      <c r="K26" s="91"/>
    </row>
    <row r="27" spans="2:11" ht="13.5" customHeight="1">
      <c r="B27" s="93"/>
      <c r="C27" s="94"/>
      <c r="D27" s="94"/>
      <c r="E27" s="94"/>
      <c r="F27" s="95"/>
      <c r="G27" s="93"/>
      <c r="H27" s="94"/>
      <c r="I27" s="94"/>
      <c r="J27" s="94"/>
      <c r="K27" s="94"/>
    </row>
    <row r="28" spans="2:11" ht="13.5" customHeight="1"/>
    <row r="29" spans="2:11" ht="13.5" customHeight="1"/>
    <row r="30" spans="2:11" ht="13.5" customHeight="1"/>
    <row r="31" spans="2:11" ht="13.5" customHeight="1"/>
    <row r="32" spans="2:11" ht="13.5" customHeight="1">
      <c r="B32" s="96" t="s">
        <v>97</v>
      </c>
      <c r="C32" s="97"/>
      <c r="D32" s="97"/>
      <c r="E32" s="97"/>
      <c r="F32" s="97"/>
      <c r="G32" s="98" t="s">
        <v>98</v>
      </c>
      <c r="H32" s="99"/>
      <c r="I32" s="99"/>
      <c r="J32" s="99"/>
      <c r="K32" s="99"/>
    </row>
    <row r="33" ht="13.5" customHeight="1"/>
    <row r="34" ht="13.5" customHeight="1"/>
    <row r="35" ht="13.5" customHeight="1"/>
    <row r="36" ht="15.75" customHeight="1"/>
    <row r="37" ht="12" customHeight="1"/>
    <row r="38" ht="19.5" customHeight="1"/>
    <row r="39" ht="18" customHeight="1"/>
    <row r="40" ht="18" customHeight="1"/>
    <row r="41" ht="18" customHeight="1"/>
    <row r="42" ht="18" customHeight="1"/>
    <row r="43" ht="15.75" customHeight="1"/>
    <row r="44" ht="7.5" customHeight="1"/>
    <row r="45" ht="18" customHeight="1"/>
    <row r="46" ht="15.75" customHeight="1"/>
    <row r="47" ht="15.75" customHeight="1"/>
    <row r="48" ht="15.75" customHeight="1"/>
    <row r="49" spans="2:11" ht="15.75" customHeight="1"/>
    <row r="50" spans="2:11" ht="15.75" customHeight="1"/>
    <row r="51" spans="2:11" ht="15.75" customHeight="1">
      <c r="B51" s="79" t="s">
        <v>99</v>
      </c>
      <c r="C51" s="79"/>
      <c r="D51" s="79"/>
      <c r="E51" s="79"/>
      <c r="F51" s="79"/>
      <c r="G51" s="79"/>
      <c r="H51" s="79"/>
      <c r="I51" s="79"/>
      <c r="J51" s="79"/>
      <c r="K51" s="79"/>
    </row>
    <row r="52" spans="2:11" ht="15.75" customHeight="1"/>
    <row r="53" spans="2:11" ht="15.75" customHeight="1"/>
    <row r="54" spans="2:11" ht="15.75" customHeight="1"/>
    <row r="55" spans="2:11" ht="15.75" customHeight="1"/>
    <row r="56" spans="2:11" ht="15.75" customHeight="1"/>
    <row r="57" spans="2:11" ht="15.75" customHeight="1"/>
  </sheetData>
  <mergeCells count="24">
    <mergeCell ref="D12:E12"/>
    <mergeCell ref="F12:G12"/>
    <mergeCell ref="B2:K2"/>
    <mergeCell ref="B3:K3"/>
    <mergeCell ref="B11:C11"/>
    <mergeCell ref="D11:E11"/>
    <mergeCell ref="F11:G11"/>
    <mergeCell ref="H11:I11"/>
    <mergeCell ref="J10:K10"/>
    <mergeCell ref="B51:K51"/>
    <mergeCell ref="L11:M15"/>
    <mergeCell ref="J11:K11"/>
    <mergeCell ref="J12:K12"/>
    <mergeCell ref="J13:K13"/>
    <mergeCell ref="B17:F27"/>
    <mergeCell ref="G17:K27"/>
    <mergeCell ref="B32:F32"/>
    <mergeCell ref="G32:K32"/>
    <mergeCell ref="H12:I12"/>
    <mergeCell ref="B13:C13"/>
    <mergeCell ref="D13:E13"/>
    <mergeCell ref="F13:G13"/>
    <mergeCell ref="H13:I13"/>
    <mergeCell ref="B12:C12"/>
  </mergeCells>
  <pageMargins left="0.75" right="0.75" top="1" bottom="1" header="0.511811023622047" footer="0.511811023622047"/>
  <pageSetup paperSize="9" orientation="portrait" horizontalDpi="300" verticalDpi="300" r:id="rId1"/>
  <headerFooter>
    <oddHeader>&amp;R&amp;"Aptos"&amp;10&amp;K000000 Business Use&amp;1#_x000D_</oddHeader>
  </headerFooter>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911"/>
  <sheetViews>
    <sheetView showGridLines="0" zoomScaleNormal="100" workbookViewId="0">
      <selection activeCell="G20" sqref="G20"/>
    </sheetView>
  </sheetViews>
  <sheetFormatPr defaultColWidth="7.59765625" defaultRowHeight="14.4"/>
  <cols>
    <col min="1" max="1" width="1.69921875" style="22" customWidth="1"/>
    <col min="2" max="2" width="13.09765625" style="22" bestFit="1" customWidth="1"/>
    <col min="3" max="3" width="18.19921875" style="22" customWidth="1"/>
    <col min="4" max="4" width="12.8984375" style="22" customWidth="1"/>
    <col min="5" max="25" width="16.09765625" style="22" bestFit="1" customWidth="1"/>
    <col min="26" max="26" width="11.19921875" style="22" bestFit="1" customWidth="1"/>
    <col min="27" max="27" width="12.3984375" style="22" bestFit="1" customWidth="1"/>
    <col min="28" max="28" width="11.19921875" style="22" bestFit="1" customWidth="1"/>
    <col min="29" max="16384" width="7.59765625" style="22"/>
  </cols>
  <sheetData>
    <row r="1" spans="1:19" ht="15" customHeight="1">
      <c r="A1" s="32"/>
      <c r="B1" s="32"/>
      <c r="C1" s="32"/>
      <c r="D1" s="32"/>
      <c r="E1" s="32"/>
      <c r="F1" s="32"/>
      <c r="G1" s="32"/>
      <c r="H1" s="32"/>
      <c r="I1" s="32"/>
      <c r="J1" s="32"/>
      <c r="K1" s="32"/>
      <c r="L1" s="32"/>
    </row>
    <row r="2" spans="1:19" ht="36" customHeight="1">
      <c r="A2" s="32"/>
      <c r="B2" s="115" t="s">
        <v>75</v>
      </c>
      <c r="C2" s="115"/>
      <c r="D2" s="115"/>
      <c r="E2" s="115"/>
      <c r="F2" s="115"/>
      <c r="G2" s="115"/>
      <c r="H2" s="115"/>
      <c r="I2" s="115"/>
      <c r="J2" s="115"/>
      <c r="K2" s="115"/>
      <c r="L2" s="32"/>
    </row>
    <row r="3" spans="1:19" ht="18" customHeight="1">
      <c r="A3" s="32"/>
      <c r="B3" s="116" t="s">
        <v>140</v>
      </c>
      <c r="C3" s="116"/>
      <c r="D3" s="116"/>
      <c r="E3" s="116"/>
      <c r="F3" s="116"/>
      <c r="G3" s="116"/>
      <c r="H3" s="116"/>
      <c r="I3" s="116"/>
      <c r="J3" s="116"/>
      <c r="K3" s="116"/>
      <c r="L3" s="32"/>
      <c r="O3" s="11"/>
      <c r="P3" s="11"/>
      <c r="Q3" s="11"/>
      <c r="R3" s="10"/>
      <c r="S3" s="10"/>
    </row>
    <row r="4" spans="1:19" ht="3.75" customHeight="1">
      <c r="A4" s="32"/>
      <c r="B4" s="33"/>
      <c r="C4" s="33"/>
      <c r="D4" s="33"/>
      <c r="E4" s="33"/>
      <c r="F4" s="33"/>
      <c r="G4" s="33"/>
      <c r="H4" s="33"/>
      <c r="I4" s="33"/>
      <c r="J4" s="33"/>
      <c r="K4" s="33"/>
      <c r="L4" s="32"/>
      <c r="O4" s="2"/>
      <c r="P4" s="3"/>
      <c r="Q4" s="3"/>
      <c r="R4"/>
      <c r="S4" s="6"/>
    </row>
    <row r="5" spans="1:19">
      <c r="O5" s="2"/>
      <c r="P5" s="3"/>
      <c r="Q5" s="3"/>
      <c r="R5"/>
      <c r="S5" s="6"/>
    </row>
    <row r="6" spans="1:19" ht="7.5" customHeight="1">
      <c r="O6" s="2"/>
      <c r="P6" s="3"/>
      <c r="Q6" s="3"/>
      <c r="R6"/>
      <c r="S6" s="6"/>
    </row>
    <row r="7" spans="1:19" ht="19.5" customHeight="1">
      <c r="B7" s="112" t="s">
        <v>79</v>
      </c>
      <c r="C7" s="112"/>
      <c r="D7" s="112"/>
      <c r="H7" s="117" t="s">
        <v>76</v>
      </c>
      <c r="I7" s="117"/>
      <c r="J7" s="117"/>
      <c r="O7" s="2"/>
      <c r="P7" s="3"/>
      <c r="Q7" s="3"/>
      <c r="R7"/>
      <c r="S7" s="6"/>
    </row>
    <row r="8" spans="1:19" ht="15.75" customHeight="1">
      <c r="B8" s="113" t="s">
        <v>80</v>
      </c>
      <c r="C8" s="113"/>
      <c r="D8" s="113"/>
      <c r="H8" s="113" t="s">
        <v>77</v>
      </c>
      <c r="I8" s="113"/>
      <c r="J8" s="113"/>
      <c r="O8" s="2"/>
      <c r="P8" s="3"/>
      <c r="Q8" s="3"/>
      <c r="R8"/>
      <c r="S8" s="6"/>
    </row>
    <row r="9" spans="1:19" ht="24">
      <c r="B9" s="63" t="s">
        <v>40</v>
      </c>
      <c r="C9" s="63" t="s">
        <v>43</v>
      </c>
      <c r="D9" s="63" t="s">
        <v>42</v>
      </c>
      <c r="E9" s="34" t="s">
        <v>60</v>
      </c>
      <c r="G9" s="40"/>
      <c r="H9" s="34" t="s">
        <v>57</v>
      </c>
      <c r="I9" s="34" t="s">
        <v>58</v>
      </c>
      <c r="J9" s="34" t="s">
        <v>59</v>
      </c>
      <c r="K9" s="43" t="s">
        <v>82</v>
      </c>
      <c r="L9" s="43" t="s">
        <v>62</v>
      </c>
      <c r="O9" s="2"/>
      <c r="P9" s="3"/>
      <c r="Q9" s="3"/>
      <c r="R9"/>
      <c r="S9" s="6"/>
    </row>
    <row r="10" spans="1:19">
      <c r="B10" s="72" t="s">
        <v>10</v>
      </c>
      <c r="C10" s="71">
        <v>-3373888.25</v>
      </c>
      <c r="D10" s="71">
        <v>-3161713</v>
      </c>
      <c r="E10" s="50">
        <f>(GETPIVOTDATA("[Measures].[Actual]",$B$9,"[D_Department].[Department]","[D_Department].[Department].&amp;[Account]")-GETPIVOTDATA("[Measures].[Budget]",$B$9,"[D_Department].[Department]","[D_Department].[Department].&amp;[Account]"))/GETPIVOTDATA("[Measures].[Budget]",$B$9,"[D_Department].[Department]","[D_Department].[Department].&amp;[Account]")</f>
        <v>-6.2887456334690395E-2</v>
      </c>
      <c r="H10" s="35" t="s">
        <v>48</v>
      </c>
      <c r="I10" s="35">
        <v>9923912</v>
      </c>
      <c r="J10" s="35">
        <v>5869102.6666666698</v>
      </c>
      <c r="K10" s="35">
        <f>IFERROR(Table467[[#This Row],[Sum of Budget Amount]]-Table467[[#This Row],[Sum of Actual Amount]],"")</f>
        <v>-4054809.3333333302</v>
      </c>
      <c r="L10" s="54">
        <f>K10/J10</f>
        <v>-0.69087381216935517</v>
      </c>
      <c r="O10" s="2"/>
      <c r="P10" s="3"/>
      <c r="Q10" s="3"/>
      <c r="R10"/>
      <c r="S10" s="6"/>
    </row>
    <row r="11" spans="1:19" ht="15.6">
      <c r="B11" s="72" t="s">
        <v>12</v>
      </c>
      <c r="C11" s="71">
        <v>-3426187</v>
      </c>
      <c r="D11" s="73">
        <v>-4942350</v>
      </c>
      <c r="E11" s="51">
        <f>(GETPIVOTDATA("[Measures].[Actual]",$B$9,"[D_Department].[Department]","[D_Department].[Department].&amp;[Corporate]")-GETPIVOTDATA("[Measures].[Budget]",$B$9,"[D_Department].[Department]","[D_Department].[Department].&amp;[Corporate]"))/GETPIVOTDATA("[Measures].[Budget]",$B$9,"[D_Department].[Department]","[D_Department].[Department].&amp;[Corporate]")</f>
        <v>0.4425219639208251</v>
      </c>
      <c r="H11" s="36" t="s">
        <v>47</v>
      </c>
      <c r="I11" s="36">
        <v>6072415</v>
      </c>
      <c r="J11" s="52">
        <v>5012000.166666667</v>
      </c>
      <c r="K11" s="36">
        <f>IFERROR(Table467[[#This Row],[Sum of Budget Amount]]-Table467[[#This Row],[Sum of Actual Amount]],"")</f>
        <v>-1060414.833333333</v>
      </c>
      <c r="L11" s="55">
        <f t="shared" ref="L11:L22" si="0">K11/J11</f>
        <v>-0.21157517918411872</v>
      </c>
      <c r="O11" s="2"/>
      <c r="P11" s="3"/>
      <c r="Q11" s="3"/>
      <c r="R11"/>
      <c r="S11" s="6"/>
    </row>
    <row r="12" spans="1:19">
      <c r="B12" s="72" t="s">
        <v>8</v>
      </c>
      <c r="C12" s="71">
        <v>-3406790</v>
      </c>
      <c r="D12" s="71">
        <v>-3149941</v>
      </c>
      <c r="E12" s="50">
        <f>(GETPIVOTDATA("[Measures].[Actual]",$B$9,"[D_Department].[Department]","[D_Department].[Department].&amp;[Finance]")-GETPIVOTDATA("[Measures].[Budget]",$B$9,"[D_Department].[Department]","[D_Department].[Department].&amp;[Finance]"))/GETPIVOTDATA("[Measures].[Budget]",$B$9,"[D_Department].[Department]","[D_Department].[Department].&amp;[Finance]")</f>
        <v>-7.539325875677691E-2</v>
      </c>
      <c r="H12" s="35" t="s">
        <v>51</v>
      </c>
      <c r="I12" s="35">
        <v>7396807</v>
      </c>
      <c r="J12" s="35">
        <v>5642143.583333333</v>
      </c>
      <c r="K12" s="35">
        <f>IFERROR(Table467[[#This Row],[Sum of Budget Amount]]-Table467[[#This Row],[Sum of Actual Amount]],"")</f>
        <v>-1754663.416666667</v>
      </c>
      <c r="L12" s="54">
        <f t="shared" si="0"/>
        <v>-0.31099233664486536</v>
      </c>
      <c r="O12" s="2"/>
      <c r="P12" s="3"/>
      <c r="Q12" s="3"/>
      <c r="R12"/>
      <c r="S12" s="6"/>
    </row>
    <row r="13" spans="1:19">
      <c r="B13" s="72" t="s">
        <v>13</v>
      </c>
      <c r="C13" s="71">
        <v>-3645893</v>
      </c>
      <c r="D13" s="71">
        <v>-2875664</v>
      </c>
      <c r="E13" s="51">
        <f>(GETPIVOTDATA("[Measures].[Actual]",$B$9,"[D_Department].[Department]","[D_Department].[Department].&amp;[General and Administration]")-GETPIVOTDATA("[Measures].[Budget]",$B$9,"[D_Department].[Department]","[D_Department].[Department].&amp;[General and Administration]"))/GETPIVOTDATA("[Measures].[Budget]",$B$9,"[D_Department].[Department]","[D_Department].[Department].&amp;[General and Administration]")</f>
        <v>-0.21125935401834339</v>
      </c>
      <c r="H13" s="36" t="s">
        <v>44</v>
      </c>
      <c r="I13" s="36">
        <v>2711694</v>
      </c>
      <c r="J13" s="36">
        <v>6623501.25</v>
      </c>
      <c r="K13" s="36">
        <f>IFERROR(Table467[[#This Row],[Sum of Budget Amount]]-Table467[[#This Row],[Sum of Actual Amount]],"")</f>
        <v>3911807.25</v>
      </c>
      <c r="L13" s="55">
        <f t="shared" si="0"/>
        <v>0.59059507990581261</v>
      </c>
      <c r="O13" s="2"/>
      <c r="P13" s="3"/>
      <c r="Q13" s="3"/>
      <c r="R13"/>
      <c r="S13" s="6"/>
    </row>
    <row r="14" spans="1:19">
      <c r="B14" s="72" t="s">
        <v>6</v>
      </c>
      <c r="C14" s="71">
        <v>-3442117</v>
      </c>
      <c r="D14" s="71">
        <v>-2831710</v>
      </c>
      <c r="E14" s="50">
        <f>(GETPIVOTDATA("[Measures].[Actual]",$B$9,"[D_Department].[Department]","[D_Department].[Department].&amp;[Operations]")-GETPIVOTDATA("[Measures].[Budget]",$B$9,"[D_Department].[Department]","[D_Department].[Department].&amp;[Operations]"))/GETPIVOTDATA("[Measures].[Budget]",$B$9,"[D_Department].[Department]","[D_Department].[Department].&amp;[Operations]")</f>
        <v>-0.17733476229889919</v>
      </c>
      <c r="H14" s="35" t="s">
        <v>52</v>
      </c>
      <c r="I14" s="35">
        <v>6722616</v>
      </c>
      <c r="J14" s="35">
        <v>5930284.083333333</v>
      </c>
      <c r="K14" s="35">
        <f>IFERROR(Table467[[#This Row],[Sum of Budget Amount]]-Table467[[#This Row],[Sum of Actual Amount]],"")</f>
        <v>-792331.91666666698</v>
      </c>
      <c r="L14" s="54">
        <f t="shared" si="0"/>
        <v>-0.13360775057867175</v>
      </c>
      <c r="O14" s="2"/>
      <c r="P14" s="3"/>
      <c r="Q14" s="3"/>
      <c r="R14"/>
      <c r="S14" s="6"/>
    </row>
    <row r="15" spans="1:19" ht="15.6">
      <c r="B15" s="72" t="s">
        <v>14</v>
      </c>
      <c r="C15" s="71">
        <v>-3547120.75</v>
      </c>
      <c r="D15" s="71">
        <v>-4050364</v>
      </c>
      <c r="E15" s="51">
        <f>(GETPIVOTDATA("[Measures].[Actual]",$B$9,"[D_Department].[Department]","[D_Department].[Department].&amp;[Project]")-GETPIVOTDATA("[Measures].[Budget]",$B$9,"[D_Department].[Department]","[D_Department].[Department].&amp;[Project]"))/GETPIVOTDATA("[Measures].[Budget]",$B$9,"[D_Department].[Department]","[D_Department].[Department].&amp;[Project]")</f>
        <v>0.14187372955938982</v>
      </c>
      <c r="H15" s="36" t="s">
        <v>50</v>
      </c>
      <c r="I15" s="52">
        <v>715465</v>
      </c>
      <c r="J15" s="36">
        <v>6726556.916666666</v>
      </c>
      <c r="K15" s="36">
        <f>IFERROR(Table467[[#This Row],[Sum of Budget Amount]]-Table467[[#This Row],[Sum of Actual Amount]],"")</f>
        <v>6011091.916666666</v>
      </c>
      <c r="L15" s="56">
        <f t="shared" si="0"/>
        <v>0.89363577698610364</v>
      </c>
      <c r="O15" s="2"/>
      <c r="P15" s="3"/>
      <c r="Q15" s="3"/>
      <c r="R15"/>
      <c r="S15" s="6"/>
    </row>
    <row r="16" spans="1:19" ht="15.6">
      <c r="A16" s="35"/>
      <c r="B16" s="72" t="s">
        <v>19</v>
      </c>
      <c r="C16" s="71">
        <v>99842775.25</v>
      </c>
      <c r="D16" s="73">
        <v>103729797</v>
      </c>
      <c r="E16" s="50">
        <f>(GETPIVOTDATA("[Measures].[Actual]",$B$9,"[D_Department].[Department]","[D_Department].[Department].&amp;[Sales &amp; Marketing]")-GETPIVOTDATA("[Measures].[Budget]",$B$9,"[D_Department].[Department]","[D_Department].[Department].&amp;[Sales &amp; Marketing]"))/GETPIVOTDATA("[Measures].[Budget]",$B$9,"[D_Department].[Department]","[D_Department].[Department].&amp;[Sales &amp; Marketing]")</f>
        <v>3.8931427339305658E-2</v>
      </c>
      <c r="H16" s="35" t="s">
        <v>49</v>
      </c>
      <c r="I16" s="35">
        <v>10721573</v>
      </c>
      <c r="J16" s="53">
        <v>7624683.25</v>
      </c>
      <c r="K16" s="35">
        <f>IFERROR(Table467[[#This Row],[Sum of Budget Amount]]-Table467[[#This Row],[Sum of Actual Amount]],"")</f>
        <v>-3096889.75</v>
      </c>
      <c r="L16" s="54">
        <f t="shared" si="0"/>
        <v>-0.40616634795943818</v>
      </c>
      <c r="O16" s="7"/>
      <c r="P16" s="8"/>
      <c r="R16" s="8"/>
      <c r="S16" s="9"/>
    </row>
    <row r="17" spans="1:12" ht="15.6">
      <c r="A17" s="35"/>
      <c r="B17" s="65" t="s">
        <v>41</v>
      </c>
      <c r="C17" s="64">
        <v>79000779.25</v>
      </c>
      <c r="D17" s="64">
        <v>82718055</v>
      </c>
      <c r="E17" s="46">
        <f>(GETPIVOTDATA("[Measures].[Actual]",$B$9)-GETPIVOTDATA("[Measures].[Budget]",$B$9))/GETPIVOTDATA("[Measures].[Budget]",$B$9)</f>
        <v>4.7053659284000036E-2</v>
      </c>
      <c r="H17" s="35" t="s">
        <v>45</v>
      </c>
      <c r="I17" s="35">
        <v>763011</v>
      </c>
      <c r="J17" s="35">
        <v>7002842.416666666</v>
      </c>
      <c r="K17" s="53">
        <f>IFERROR(Table467[[#This Row],[Sum of Budget Amount]]-Table467[[#This Row],[Sum of Actual Amount]],"")</f>
        <v>6239831.416666666</v>
      </c>
      <c r="L17" s="54">
        <f t="shared" si="0"/>
        <v>0.89104267173226048</v>
      </c>
    </row>
    <row r="18" spans="1:12" ht="33.75" customHeight="1">
      <c r="H18" s="36" t="s">
        <v>55</v>
      </c>
      <c r="I18" s="36">
        <v>5726331</v>
      </c>
      <c r="J18" s="36">
        <v>6907979.75</v>
      </c>
      <c r="K18" s="36">
        <f>IFERROR(Table467[[#This Row],[Sum of Budget Amount]]-Table467[[#This Row],[Sum of Actual Amount]],"")</f>
        <v>1181648.75</v>
      </c>
      <c r="L18" s="55">
        <f t="shared" si="0"/>
        <v>0.17105561868504318</v>
      </c>
    </row>
    <row r="19" spans="1:12" ht="33" customHeight="1">
      <c r="F19" s="38" t="s">
        <v>78</v>
      </c>
      <c r="H19" s="35" t="s">
        <v>54</v>
      </c>
      <c r="I19" s="53">
        <v>14830656</v>
      </c>
      <c r="J19" s="35">
        <v>6686251.25</v>
      </c>
      <c r="K19" s="53">
        <f>IFERROR(Table467[[#This Row],[Sum of Budget Amount]]-Table467[[#This Row],[Sum of Actual Amount]],"")</f>
        <v>-8144404.75</v>
      </c>
      <c r="L19" s="57">
        <f t="shared" si="0"/>
        <v>-1.2180823671560352</v>
      </c>
    </row>
    <row r="20" spans="1:12" ht="40.5" customHeight="1">
      <c r="F20" s="39" t="s">
        <v>89</v>
      </c>
      <c r="H20" s="36" t="s">
        <v>53</v>
      </c>
      <c r="I20" s="36">
        <v>7943600</v>
      </c>
      <c r="J20" s="36">
        <v>7566332.166666666</v>
      </c>
      <c r="K20" s="36">
        <f>IFERROR(Table467[[#This Row],[Sum of Budget Amount]]-Table467[[#This Row],[Sum of Actual Amount]],"")</f>
        <v>-377267.83333333395</v>
      </c>
      <c r="L20" s="55">
        <f t="shared" si="0"/>
        <v>-4.9861389246877143E-2</v>
      </c>
    </row>
    <row r="21" spans="1:12" ht="60.75" customHeight="1">
      <c r="F21" s="39" t="s">
        <v>90</v>
      </c>
      <c r="H21" s="35" t="s">
        <v>46</v>
      </c>
      <c r="I21" s="35">
        <v>9189975</v>
      </c>
      <c r="J21" s="35">
        <v>7409101.75</v>
      </c>
      <c r="K21" s="35">
        <f>IFERROR(Table467[[#This Row],[Sum of Budget Amount]]-Table467[[#This Row],[Sum of Actual Amount]],"")</f>
        <v>-1780873.25</v>
      </c>
      <c r="L21" s="54">
        <f t="shared" si="0"/>
        <v>-0.24036290903954721</v>
      </c>
    </row>
    <row r="22" spans="1:12" ht="36" customHeight="1">
      <c r="F22" s="39" t="s">
        <v>91</v>
      </c>
      <c r="H22" s="37" t="s">
        <v>61</v>
      </c>
      <c r="I22" s="37">
        <v>82718055</v>
      </c>
      <c r="J22" s="37">
        <v>79000779.25</v>
      </c>
      <c r="K22" s="37">
        <f>IFERROR(Table467[[#This Row],[Sum of Budget Amount]]-Table467[[#This Row],[Sum of Actual Amount]],"")</f>
        <v>-3717275.75</v>
      </c>
      <c r="L22" s="58">
        <f t="shared" si="0"/>
        <v>-4.7053659284000036E-2</v>
      </c>
    </row>
    <row r="33" spans="2:20" ht="12" customHeight="1"/>
    <row r="34" spans="2:20" ht="19.5" customHeight="1">
      <c r="B34" s="112" t="s">
        <v>84</v>
      </c>
      <c r="C34" s="112"/>
      <c r="D34" s="112"/>
      <c r="E34" s="112"/>
    </row>
    <row r="35" spans="2:20" ht="15.75" customHeight="1">
      <c r="B35" s="113" t="s">
        <v>85</v>
      </c>
      <c r="C35" s="113"/>
      <c r="D35" s="113"/>
      <c r="E35" s="113"/>
    </row>
    <row r="36" spans="2:20" ht="15.75" customHeight="1">
      <c r="B36" s="42"/>
      <c r="C36" s="42"/>
      <c r="D36" s="42"/>
      <c r="E36" s="42"/>
    </row>
    <row r="37" spans="2:20" ht="36">
      <c r="B37" s="63" t="s">
        <v>83</v>
      </c>
      <c r="C37" s="63" t="s">
        <v>43</v>
      </c>
      <c r="D37" s="63" t="s">
        <v>42</v>
      </c>
      <c r="E37" s="44" t="s">
        <v>86</v>
      </c>
      <c r="F37" s="44" t="s">
        <v>87</v>
      </c>
      <c r="G37" s="44" t="s">
        <v>88</v>
      </c>
    </row>
    <row r="38" spans="2:20" ht="15.6">
      <c r="B38" s="70" t="s">
        <v>23</v>
      </c>
      <c r="C38" s="69">
        <v>105300402</v>
      </c>
      <c r="D38" s="69">
        <v>159872424</v>
      </c>
      <c r="E38" s="53">
        <f>GETPIVOTDATA("[Measures].[Actual]",$B$37,"[D_Account].[AccountName]","[D_Account].[AccountName].&amp;[Sales]")-GETPIVOTDATA("[Measures].[Budget]",$B$37,"[D_Account].[AccountName]","[D_Account].[AccountName].&amp;[Sales]")</f>
        <v>54572022</v>
      </c>
      <c r="F38" s="47">
        <f>E38/ABS(GETPIVOTDATA("[Measures].[Budget]",$B$37,"[D_Account].[AccountName]","[D_Account].[AccountName].&amp;[Sales]"))</f>
        <v>0.51825084200533256</v>
      </c>
      <c r="G38" s="47" t="str">
        <f>IF(F38&gt;0,"🔼","🔽")</f>
        <v>🔼</v>
      </c>
      <c r="I38" s="40"/>
      <c r="J38" s="40"/>
      <c r="K38" s="40"/>
      <c r="L38" s="40"/>
      <c r="M38" s="40"/>
      <c r="N38" s="40"/>
      <c r="O38" s="40"/>
      <c r="P38" s="40"/>
      <c r="Q38" s="40"/>
      <c r="R38" s="40"/>
      <c r="S38" s="40"/>
      <c r="T38" s="40"/>
    </row>
    <row r="39" spans="2:20" ht="15.6">
      <c r="B39" s="70" t="s">
        <v>26</v>
      </c>
      <c r="C39" s="69">
        <v>-89075.5</v>
      </c>
      <c r="D39" s="69">
        <v>-5345940</v>
      </c>
      <c r="E39" s="36">
        <f>GETPIVOTDATA("[Measures].[Actual]",$B$37,"[D_Account].[AccountName]","[D_Account].[AccountName].&amp;[Discounts]")-GETPIVOTDATA("[Measures].[Budget]",$B$37,"[D_Account].[AccountName]","[D_Account].[AccountName].&amp;[Discounts]")</f>
        <v>-5256864.5</v>
      </c>
      <c r="F39" s="60">
        <f>E39/ABS(GETPIVOTDATA("[Measures].[Budget]",$B$37,"[D_Account].[AccountName]","[D_Account].[AccountName].&amp;[Discounts]"))</f>
        <v>-59.015829268429592</v>
      </c>
      <c r="G39" s="48" t="str">
        <f t="shared" ref="G39:G54" si="1">IF(F39&gt;0,"🔼","🔽")</f>
        <v>🔽</v>
      </c>
    </row>
    <row r="40" spans="2:20" ht="15.75" customHeight="1">
      <c r="B40" s="70" t="s">
        <v>18</v>
      </c>
      <c r="C40" s="69">
        <v>-1554236</v>
      </c>
      <c r="D40" s="69">
        <v>-33461754</v>
      </c>
      <c r="E40" s="41">
        <f>GETPIVOTDATA("[Measures].[Actual]",$B$37,"[D_Account].[AccountName]","[D_Account].[AccountName].&amp;[Cost of Sales]")-GETPIVOTDATA("[Measures].[Budget]",$B$37,"[D_Account].[AccountName]","[D_Account].[AccountName].&amp;[Cost of Sales]")</f>
        <v>-31907518</v>
      </c>
      <c r="F40" s="47">
        <f>E40/ABS(GETPIVOTDATA("[Measures].[Budget]",$B$37,"[D_Account].[AccountName]","[D_Account].[AccountName].&amp;[Cost of Sales]"))</f>
        <v>-20.529390645950809</v>
      </c>
      <c r="G40" s="47" t="str">
        <f t="shared" si="1"/>
        <v>🔽</v>
      </c>
    </row>
    <row r="41" spans="2:20" ht="15.6">
      <c r="B41" s="70" t="s">
        <v>25</v>
      </c>
      <c r="C41" s="69">
        <v>-471142</v>
      </c>
      <c r="D41" s="69">
        <v>-6129087</v>
      </c>
      <c r="E41" s="36">
        <f>GETPIVOTDATA("[Measures].[Actual]",$B$37,"[D_Account].[AccountName]","[D_Account].[AccountName].&amp;[Commissions]")-GETPIVOTDATA("[Measures].[Budget]",$B$37,"[D_Account].[AccountName]","[D_Account].[AccountName].&amp;[Commissions]")</f>
        <v>-5657945</v>
      </c>
      <c r="F41" s="48">
        <f>E41/ABS(GETPIVOTDATA("[Measures].[Budget]",$B$37,"[D_Account].[AccountName]","[D_Account].[AccountName].&amp;[Commissions]"))</f>
        <v>-12.009001532446693</v>
      </c>
      <c r="G41" s="48" t="str">
        <f t="shared" si="1"/>
        <v>🔽</v>
      </c>
    </row>
    <row r="42" spans="2:20" ht="15.6">
      <c r="B42" s="70" t="s">
        <v>5</v>
      </c>
      <c r="C42" s="69">
        <v>-44537</v>
      </c>
      <c r="D42" s="69">
        <v>-58022</v>
      </c>
      <c r="E42" s="35">
        <f>GETPIVOTDATA("[Measures].[Actual]",$B$37,"[D_Account].[AccountName]","[D_Account].[AccountName].&amp;[Conferences]")-GETPIVOTDATA("[Measures].[Budget]",$B$37,"[D_Account].[AccountName]","[D_Account].[AccountName].&amp;[Conferences]")</f>
        <v>-13485</v>
      </c>
      <c r="F42" s="47">
        <f>E42/ABS(GETPIVOTDATA("[Measures].[Budget]",$B$37,"[D_Account].[AccountName]","[D_Account].[AccountName].&amp;[Conferences]"))</f>
        <v>-0.30278195657543167</v>
      </c>
      <c r="G42" s="47" t="str">
        <f t="shared" si="1"/>
        <v>🔽</v>
      </c>
    </row>
    <row r="43" spans="2:20" ht="15.6">
      <c r="B43" s="70" t="s">
        <v>7</v>
      </c>
      <c r="C43" s="69">
        <v>-1493626.25</v>
      </c>
      <c r="D43" s="69">
        <v>-1966364</v>
      </c>
      <c r="E43" s="36">
        <f>GETPIVOTDATA("[Measures].[Actual]",$B$37,"[D_Account].[AccountName]","[D_Account].[AccountName].&amp;[Employee Benefits]")-GETPIVOTDATA("[Measures].[Budget]",$B$37,"[D_Account].[AccountName]","[D_Account].[AccountName].&amp;[Employee Benefits]")</f>
        <v>-472737.75</v>
      </c>
      <c r="F43" s="48">
        <f>E43/ABS(GETPIVOTDATA("[Measures].[Budget]",$B$37,"[D_Account].[AccountName]","[D_Account].[AccountName].&amp;[Employee Benefits]"))</f>
        <v>-0.3165033755934592</v>
      </c>
      <c r="G43" s="48" t="str">
        <f t="shared" si="1"/>
        <v>🔽</v>
      </c>
    </row>
    <row r="44" spans="2:20" ht="15.6">
      <c r="B44" s="70" t="s">
        <v>22</v>
      </c>
      <c r="C44" s="69">
        <v>-102029.75</v>
      </c>
      <c r="D44" s="69">
        <v>-130343</v>
      </c>
      <c r="E44" s="35">
        <f>GETPIVOTDATA("[Measures].[Actual]",$B$37,"[D_Account].[AccountName]","[D_Account].[AccountName].&amp;[Furniture, Fixtures, and Equipment]")-GETPIVOTDATA("[Measures].[Budget]",$B$37,"[D_Account].[AccountName]","[D_Account].[AccountName].&amp;[Furniture, Fixtures, and Equipment]")</f>
        <v>-28313.25</v>
      </c>
      <c r="F44" s="47">
        <f>E44/ABS(GETPIVOTDATA("[Measures].[Budget]",$B$37,"[D_Account].[AccountName]","[D_Account].[AccountName].&amp;[Furniture, Fixtures, and Equipment]"))</f>
        <v>-0.27749994486902102</v>
      </c>
      <c r="G44" s="47" t="str">
        <f t="shared" si="1"/>
        <v>🔽</v>
      </c>
    </row>
    <row r="45" spans="2:20" ht="15.6">
      <c r="B45" s="70" t="s">
        <v>21</v>
      </c>
      <c r="C45" s="69">
        <v>-24385.75</v>
      </c>
      <c r="D45" s="69">
        <v>-285944</v>
      </c>
      <c r="E45" s="35">
        <f>GETPIVOTDATA("[Measures].[Actual]",$B$37,"[D_Account].[AccountName]","[D_Account].[AccountName].&amp;[Marketing Materials]")-GETPIVOTDATA("[Measures].[Budget]",$B$37,"[D_Account].[AccountName]","[D_Account].[AccountName].&amp;[Marketing Materials]")</f>
        <v>-261558.25</v>
      </c>
      <c r="F45" s="47">
        <f>E45/ABS(GETPIVOTDATA("[Measures].[Budget]",$B$37,"[D_Account].[AccountName]","[D_Account].[AccountName].&amp;[Marketing Materials]"))</f>
        <v>-10.725864490532381</v>
      </c>
      <c r="G45" s="47" t="str">
        <f t="shared" si="1"/>
        <v>🔽</v>
      </c>
    </row>
    <row r="46" spans="2:20" ht="15.6">
      <c r="B46" s="70" t="s">
        <v>9</v>
      </c>
      <c r="C46" s="69">
        <v>-192502.5</v>
      </c>
      <c r="D46" s="69">
        <v>-236514</v>
      </c>
      <c r="E46" s="36">
        <f>GETPIVOTDATA("[Measures].[Actual]",$B$37,"[D_Account].[AccountName]","[D_Account].[AccountName].&amp;[Office Supplies]")-GETPIVOTDATA("[Measures].[Budget]",$B$37,"[D_Account].[AccountName]","[D_Account].[AccountName].&amp;[Office Supplies]")</f>
        <v>-44011.5</v>
      </c>
      <c r="F46" s="48">
        <f>E46/ABS(GETPIVOTDATA("[Measures].[Budget]",$B$37,"[D_Account].[AccountName]","[D_Account].[AccountName].&amp;[Office Supplies]"))</f>
        <v>-0.22862819963377098</v>
      </c>
      <c r="G46" s="48" t="str">
        <f t="shared" si="1"/>
        <v>🔽</v>
      </c>
    </row>
    <row r="47" spans="2:20" ht="15.6">
      <c r="B47" s="70" t="s">
        <v>27</v>
      </c>
      <c r="C47" s="69">
        <v>-52731.5</v>
      </c>
      <c r="D47" s="69">
        <v>-49586</v>
      </c>
      <c r="E47" s="35">
        <f>GETPIVOTDATA("[Measures].[Actual]",$B$37,"[D_Account].[AccountName]","[D_Account].[AccountName].&amp;[Professional Services]")-GETPIVOTDATA("[Measures].[Budget]",$B$37,"[D_Account].[AccountName]","[D_Account].[AccountName].&amp;[Professional Services]")</f>
        <v>3145.5</v>
      </c>
      <c r="F47" s="47">
        <f>E47/ABS(GETPIVOTDATA("[Measures].[Budget]",$B$37,"[D_Account].[AccountName]","[D_Account].[AccountName].&amp;[Professional Services]"))</f>
        <v>5.9651252097892155E-2</v>
      </c>
      <c r="G47" s="47" t="str">
        <f t="shared" si="1"/>
        <v>🔼</v>
      </c>
    </row>
    <row r="48" spans="2:20" ht="15.6">
      <c r="B48" s="70" t="s">
        <v>11</v>
      </c>
      <c r="C48" s="69">
        <v>-381818.75</v>
      </c>
      <c r="D48" s="69">
        <v>-154750</v>
      </c>
      <c r="E48" s="36">
        <f>GETPIVOTDATA("[Measures].[Actual]",$B$37,"[D_Account].[AccountName]","[D_Account].[AccountName].&amp;[Rent]")-GETPIVOTDATA("[Measures].[Budget]",$B$37,"[D_Account].[AccountName]","[D_Account].[AccountName].&amp;[Rent]")</f>
        <v>227068.75</v>
      </c>
      <c r="F48" s="59">
        <f>E48/ABS(GETPIVOTDATA("[Measures].[Budget]",$B$37,"[D_Account].[AccountName]","[D_Account].[AccountName].&amp;[Rent]"))</f>
        <v>0.59470298407294042</v>
      </c>
      <c r="G48" s="48" t="str">
        <f t="shared" si="1"/>
        <v>🔼</v>
      </c>
    </row>
    <row r="49" spans="2:14" ht="15.6">
      <c r="B49" s="70" t="s">
        <v>15</v>
      </c>
      <c r="C49" s="69">
        <v>-19507681</v>
      </c>
      <c r="D49" s="69">
        <v>-25754842</v>
      </c>
      <c r="E49" s="35">
        <f>GETPIVOTDATA("[Measures].[Actual]",$B$37,"[D_Account].[AccountName]","[D_Account].[AccountName].&amp;[Salaries]")-GETPIVOTDATA("[Measures].[Budget]",$B$37,"[D_Account].[AccountName]","[D_Account].[AccountName].&amp;[Salaries]")</f>
        <v>-6247161</v>
      </c>
      <c r="F49" s="47">
        <f>E49/ABS(GETPIVOTDATA("[Measures].[Budget]",$B$37,"[D_Account].[AccountName]","[D_Account].[AccountName].&amp;[Salaries]"))</f>
        <v>-0.32024108862555217</v>
      </c>
      <c r="G49" s="47" t="str">
        <f t="shared" si="1"/>
        <v>🔽</v>
      </c>
    </row>
    <row r="50" spans="2:14" ht="15.6">
      <c r="B50" s="70" t="s">
        <v>24</v>
      </c>
      <c r="C50" s="69">
        <v>-435654.25</v>
      </c>
      <c r="D50" s="69">
        <v>-501273</v>
      </c>
      <c r="E50" s="36">
        <f>GETPIVOTDATA("[Measures].[Actual]",$B$37,"[D_Account].[AccountName]","[D_Account].[AccountName].&amp;[Vehicles]")-GETPIVOTDATA("[Measures].[Budget]",$B$37,"[D_Account].[AccountName]","[D_Account].[AccountName].&amp;[Vehicles]")</f>
        <v>-65618.75</v>
      </c>
      <c r="F50" s="48">
        <f>E50/ABS(GETPIVOTDATA("[Measures].[Budget]",$B$37,"[D_Account].[AccountName]","[D_Account].[AccountName].&amp;[Vehicles]"))</f>
        <v>-0.15062116345703044</v>
      </c>
      <c r="G50" s="48" t="str">
        <f t="shared" si="1"/>
        <v>🔽</v>
      </c>
    </row>
    <row r="51" spans="2:14" ht="15.6">
      <c r="B51" s="70" t="s">
        <v>16</v>
      </c>
      <c r="C51" s="69">
        <v>-1029449</v>
      </c>
      <c r="D51" s="69">
        <v>-2208714</v>
      </c>
      <c r="E51" s="35">
        <f>GETPIVOTDATA("[Measures].[Actual]",$B$37,"[D_Account].[AccountName]","[D_Account].[AccountName].&amp;[Telephone]")-GETPIVOTDATA("[Measures].[Budget]",$B$37,"[D_Account].[AccountName]","[D_Account].[AccountName].&amp;[Telephone]")</f>
        <v>-1179265</v>
      </c>
      <c r="F51" s="47">
        <f>E51/ABS(GETPIVOTDATA("[Measures].[Budget]",$B$37,"[D_Account].[AccountName]","[D_Account].[AccountName].&amp;[Telephone]"))</f>
        <v>-1.1455302788190576</v>
      </c>
      <c r="G51" s="47" t="str">
        <f t="shared" si="1"/>
        <v>🔽</v>
      </c>
    </row>
    <row r="52" spans="2:14" ht="15.6">
      <c r="B52" s="70" t="s">
        <v>17</v>
      </c>
      <c r="C52" s="69">
        <v>-520583</v>
      </c>
      <c r="D52" s="69">
        <v>-368939</v>
      </c>
      <c r="E52" s="35">
        <f>GETPIVOTDATA("[Measures].[Actual]",$B$37,"[D_Account].[AccountName]","[D_Account].[AccountName].&amp;[Travel]")-GETPIVOTDATA("[Measures].[Budget]",$B$37,"[D_Account].[AccountName]","[D_Account].[AccountName].&amp;[Travel]")</f>
        <v>151644</v>
      </c>
      <c r="F52" s="47">
        <f>E52/ABS(GETPIVOTDATA("[Measures].[Budget]",$B$37,"[D_Account].[AccountName]","[D_Account].[AccountName].&amp;[Travel]"))</f>
        <v>0.2912964887443501</v>
      </c>
      <c r="G52" s="47" t="str">
        <f t="shared" si="1"/>
        <v>🔼</v>
      </c>
    </row>
    <row r="53" spans="2:14" ht="15.6">
      <c r="B53" s="70" t="s">
        <v>20</v>
      </c>
      <c r="C53" s="69">
        <v>-400170.5</v>
      </c>
      <c r="D53" s="69">
        <v>-502297</v>
      </c>
      <c r="E53" s="36">
        <f>GETPIVOTDATA("[Measures].[Actual]",$B$37,"[D_Account].[AccountName]","[D_Account].[AccountName].&amp;[Utilities]")-GETPIVOTDATA("[Measures].[Budget]",$B$37,"[D_Account].[AccountName]","[D_Account].[AccountName].&amp;[Utilities]")</f>
        <v>-102126.5</v>
      </c>
      <c r="F53" s="48">
        <f>E53/ABS(GETPIVOTDATA("[Measures].[Budget]",$B$37,"[D_Account].[AccountName]","[D_Account].[AccountName].&amp;[Utilities]"))</f>
        <v>-0.25520746781684306</v>
      </c>
      <c r="G53" s="48" t="str">
        <f t="shared" si="1"/>
        <v>🔽</v>
      </c>
    </row>
    <row r="54" spans="2:14">
      <c r="B54" s="65" t="s">
        <v>41</v>
      </c>
      <c r="C54" s="64">
        <v>79000779.25</v>
      </c>
      <c r="D54" s="64">
        <v>82718055</v>
      </c>
      <c r="E54" s="45">
        <f>GETPIVOTDATA("[Measures].[Actual]",$B$37)-GETPIVOTDATA("[Measures].[Budget]",$B$37)</f>
        <v>3717275.75</v>
      </c>
      <c r="F54" s="49">
        <f>E54/ABS(GETPIVOTDATA("[Measures].[Budget]",$B$37))</f>
        <v>4.7053659284000036E-2</v>
      </c>
      <c r="G54" s="49" t="str">
        <f t="shared" si="1"/>
        <v>🔼</v>
      </c>
    </row>
    <row r="56" spans="2:14" ht="15.75" customHeight="1"/>
    <row r="57" spans="2:14" ht="18" customHeight="1"/>
    <row r="59" spans="2:14" ht="12" customHeight="1"/>
    <row r="60" spans="2:14" ht="19.5" customHeight="1">
      <c r="B60" s="112" t="s">
        <v>127</v>
      </c>
      <c r="C60" s="112"/>
      <c r="D60" s="112"/>
      <c r="E60" s="112"/>
      <c r="F60" s="112"/>
      <c r="G60" s="112"/>
      <c r="H60" s="112"/>
      <c r="I60" s="112"/>
      <c r="J60" s="112"/>
      <c r="K60" s="112"/>
      <c r="L60" s="112"/>
      <c r="M60" s="112"/>
      <c r="N60" s="112"/>
    </row>
    <row r="61" spans="2:14" ht="15.75" customHeight="1">
      <c r="B61" s="114" t="s">
        <v>81</v>
      </c>
      <c r="C61" s="114"/>
      <c r="D61" s="114"/>
      <c r="E61" s="114"/>
      <c r="F61" s="114"/>
      <c r="G61" s="114"/>
      <c r="H61" s="114"/>
      <c r="I61" s="114"/>
      <c r="J61" s="114"/>
      <c r="K61" s="114"/>
      <c r="L61" s="114"/>
      <c r="M61" s="114"/>
      <c r="N61" s="114"/>
    </row>
    <row r="62" spans="2:14">
      <c r="B62" s="63" t="s">
        <v>40</v>
      </c>
      <c r="C62" s="63" t="s">
        <v>42</v>
      </c>
      <c r="D62" s="63" t="s">
        <v>43</v>
      </c>
    </row>
    <row r="63" spans="2:14">
      <c r="B63" s="67" t="s">
        <v>48</v>
      </c>
      <c r="C63" s="75">
        <v>9923912</v>
      </c>
      <c r="D63" s="66">
        <v>5869102.666666667</v>
      </c>
    </row>
    <row r="64" spans="2:14" ht="15.6">
      <c r="B64" s="67" t="s">
        <v>47</v>
      </c>
      <c r="C64" s="75">
        <v>6072415</v>
      </c>
      <c r="D64" s="76">
        <v>5012000.166666667</v>
      </c>
    </row>
    <row r="65" spans="2:12">
      <c r="B65" s="67" t="s">
        <v>51</v>
      </c>
      <c r="C65" s="75">
        <v>7396807</v>
      </c>
      <c r="D65" s="66">
        <v>5642143.583333333</v>
      </c>
    </row>
    <row r="66" spans="2:12">
      <c r="B66" s="67" t="s">
        <v>44</v>
      </c>
      <c r="C66" s="75">
        <v>2711694</v>
      </c>
      <c r="D66" s="66">
        <v>6623501.25</v>
      </c>
    </row>
    <row r="67" spans="2:12">
      <c r="B67" s="67" t="s">
        <v>52</v>
      </c>
      <c r="C67" s="75">
        <v>6722616</v>
      </c>
      <c r="D67" s="66">
        <v>5930284.083333333</v>
      </c>
    </row>
    <row r="68" spans="2:12" ht="15.6">
      <c r="B68" s="67" t="s">
        <v>50</v>
      </c>
      <c r="C68" s="76">
        <v>715465</v>
      </c>
      <c r="D68" s="66">
        <v>6726556.916666666</v>
      </c>
      <c r="E68"/>
      <c r="F68"/>
      <c r="G68"/>
      <c r="H68"/>
      <c r="I68"/>
      <c r="J68"/>
      <c r="L68"/>
    </row>
    <row r="69" spans="2:12" ht="15.6">
      <c r="B69" s="67" t="s">
        <v>49</v>
      </c>
      <c r="C69" s="75">
        <v>10721573</v>
      </c>
      <c r="D69" s="76">
        <v>7624683.25</v>
      </c>
      <c r="F69"/>
      <c r="G69"/>
      <c r="L69"/>
    </row>
    <row r="70" spans="2:12">
      <c r="B70" s="67" t="s">
        <v>45</v>
      </c>
      <c r="C70" s="75">
        <v>763011</v>
      </c>
      <c r="D70" s="66">
        <v>7002842.416666666</v>
      </c>
      <c r="F70"/>
      <c r="K70"/>
    </row>
    <row r="71" spans="2:12">
      <c r="B71" s="67" t="s">
        <v>55</v>
      </c>
      <c r="C71" s="75">
        <v>5726331</v>
      </c>
      <c r="D71" s="66">
        <v>6907979.75</v>
      </c>
    </row>
    <row r="72" spans="2:12" ht="15.6">
      <c r="B72" s="67" t="s">
        <v>54</v>
      </c>
      <c r="C72" s="76">
        <v>14830656</v>
      </c>
      <c r="D72" s="66">
        <v>6686251.25</v>
      </c>
    </row>
    <row r="73" spans="2:12">
      <c r="B73" s="67" t="s">
        <v>53</v>
      </c>
      <c r="C73" s="75">
        <v>7943600</v>
      </c>
      <c r="D73" s="66">
        <v>7566332.166666666</v>
      </c>
    </row>
    <row r="74" spans="2:12">
      <c r="B74" s="67" t="s">
        <v>46</v>
      </c>
      <c r="C74" s="75">
        <v>9189975</v>
      </c>
      <c r="D74" s="66">
        <v>7409101.75</v>
      </c>
    </row>
    <row r="75" spans="2:12">
      <c r="B75" s="65" t="s">
        <v>41</v>
      </c>
      <c r="C75" s="64">
        <v>82718055</v>
      </c>
      <c r="D75" s="64">
        <v>79000779.25</v>
      </c>
    </row>
    <row r="79" spans="2:12" ht="29.25" customHeight="1"/>
    <row r="80" spans="2:12" ht="19.5" customHeight="1"/>
    <row r="82" spans="1:28">
      <c r="B82"/>
      <c r="C82"/>
    </row>
    <row r="84" spans="1:28">
      <c r="B84"/>
      <c r="C84"/>
      <c r="D84"/>
      <c r="E84"/>
      <c r="F84"/>
      <c r="G84"/>
      <c r="H84"/>
      <c r="I84"/>
      <c r="J84"/>
      <c r="K84"/>
      <c r="L84"/>
      <c r="M84"/>
      <c r="N84"/>
      <c r="O84"/>
      <c r="P84"/>
      <c r="Q84"/>
      <c r="R84"/>
      <c r="S84"/>
      <c r="T84"/>
      <c r="U84"/>
      <c r="V84"/>
      <c r="W84"/>
      <c r="X84"/>
      <c r="Y84"/>
      <c r="Z84"/>
      <c r="AA84"/>
      <c r="AB84"/>
    </row>
    <row r="85" spans="1:28">
      <c r="B85"/>
      <c r="C85"/>
      <c r="D85"/>
      <c r="E85"/>
      <c r="F85"/>
      <c r="G85"/>
      <c r="H85"/>
      <c r="I85"/>
      <c r="J85"/>
      <c r="K85"/>
      <c r="L85"/>
      <c r="M85"/>
      <c r="N85"/>
      <c r="O85"/>
      <c r="P85"/>
      <c r="Q85"/>
      <c r="R85"/>
      <c r="S85"/>
      <c r="T85"/>
      <c r="U85"/>
      <c r="V85"/>
      <c r="W85"/>
      <c r="X85"/>
      <c r="Y85"/>
      <c r="Z85"/>
      <c r="AA85"/>
      <c r="AB85"/>
    </row>
    <row r="86" spans="1:28">
      <c r="B86"/>
      <c r="C86"/>
      <c r="D86"/>
      <c r="E86"/>
      <c r="F86"/>
      <c r="G86"/>
      <c r="H86"/>
      <c r="I86"/>
      <c r="J86"/>
      <c r="K86"/>
      <c r="L86"/>
      <c r="M86"/>
      <c r="N86"/>
      <c r="O86"/>
      <c r="P86"/>
      <c r="Q86"/>
      <c r="R86"/>
      <c r="S86"/>
      <c r="T86"/>
      <c r="U86"/>
      <c r="V86"/>
      <c r="W86"/>
      <c r="X86"/>
      <c r="Y86"/>
      <c r="Z86"/>
      <c r="AA86"/>
      <c r="AB86"/>
    </row>
    <row r="87" spans="1:28">
      <c r="B87"/>
      <c r="C87"/>
      <c r="D87"/>
      <c r="E87"/>
      <c r="F87"/>
      <c r="G87"/>
      <c r="H87"/>
      <c r="I87"/>
      <c r="J87"/>
      <c r="K87"/>
      <c r="L87"/>
      <c r="M87"/>
      <c r="N87"/>
      <c r="O87"/>
      <c r="P87"/>
      <c r="Q87"/>
      <c r="R87"/>
      <c r="S87"/>
      <c r="T87"/>
      <c r="U87"/>
      <c r="V87"/>
      <c r="W87"/>
      <c r="X87"/>
      <c r="Y87"/>
      <c r="Z87"/>
      <c r="AA87"/>
      <c r="AB87"/>
    </row>
    <row r="88" spans="1:28">
      <c r="E88"/>
      <c r="F88"/>
      <c r="G88"/>
      <c r="H88"/>
      <c r="I88"/>
      <c r="J88"/>
      <c r="K88"/>
      <c r="L88"/>
      <c r="M88"/>
      <c r="N88"/>
      <c r="O88"/>
      <c r="P88"/>
      <c r="Q88"/>
      <c r="R88"/>
      <c r="S88"/>
      <c r="T88"/>
      <c r="U88"/>
      <c r="V88"/>
      <c r="W88"/>
      <c r="X88"/>
      <c r="Y88"/>
      <c r="Z88"/>
      <c r="AA88"/>
      <c r="AB88"/>
    </row>
    <row r="89" spans="1:28">
      <c r="A89" s="35"/>
      <c r="E89"/>
      <c r="F89"/>
      <c r="G89"/>
      <c r="H89"/>
      <c r="I89"/>
      <c r="J89"/>
      <c r="K89"/>
      <c r="L89"/>
      <c r="M89"/>
      <c r="N89"/>
      <c r="O89"/>
      <c r="P89"/>
      <c r="Q89"/>
      <c r="R89"/>
      <c r="S89"/>
      <c r="T89"/>
      <c r="U89"/>
      <c r="V89"/>
      <c r="W89"/>
      <c r="X89"/>
      <c r="Y89"/>
      <c r="Z89"/>
      <c r="AA89"/>
      <c r="AB89"/>
    </row>
    <row r="90" spans="1:28">
      <c r="A90" s="36"/>
      <c r="E90"/>
      <c r="F90"/>
      <c r="G90"/>
      <c r="H90"/>
      <c r="I90"/>
      <c r="J90"/>
      <c r="K90"/>
      <c r="L90"/>
      <c r="M90"/>
      <c r="N90"/>
      <c r="O90"/>
      <c r="P90"/>
      <c r="Q90"/>
      <c r="R90"/>
      <c r="S90"/>
      <c r="T90"/>
      <c r="U90"/>
      <c r="V90"/>
      <c r="W90"/>
      <c r="X90"/>
      <c r="Y90"/>
      <c r="Z90"/>
      <c r="AA90"/>
    </row>
    <row r="91" spans="1:28">
      <c r="A91" s="35"/>
      <c r="E91"/>
      <c r="F91"/>
      <c r="G91"/>
      <c r="H91"/>
      <c r="I91"/>
      <c r="J91"/>
      <c r="K91"/>
      <c r="L91"/>
      <c r="M91"/>
      <c r="N91"/>
      <c r="O91"/>
      <c r="P91"/>
      <c r="Q91"/>
      <c r="R91"/>
      <c r="S91"/>
      <c r="T91"/>
      <c r="U91"/>
      <c r="V91"/>
      <c r="W91"/>
      <c r="X91"/>
      <c r="Y91"/>
      <c r="Z91"/>
      <c r="AA91"/>
    </row>
    <row r="92" spans="1:28">
      <c r="A92" s="36"/>
      <c r="E92"/>
      <c r="F92"/>
      <c r="G92"/>
      <c r="H92"/>
      <c r="I92"/>
      <c r="J92"/>
      <c r="K92"/>
      <c r="L92"/>
      <c r="M92"/>
      <c r="N92"/>
      <c r="O92"/>
    </row>
    <row r="93" spans="1:28">
      <c r="A93" s="35"/>
      <c r="E93"/>
      <c r="F93"/>
      <c r="G93"/>
      <c r="H93"/>
      <c r="I93"/>
      <c r="J93"/>
      <c r="K93"/>
      <c r="L93"/>
      <c r="M93"/>
      <c r="N93"/>
      <c r="O93"/>
    </row>
    <row r="94" spans="1:28">
      <c r="A94" s="36"/>
      <c r="E94"/>
      <c r="F94"/>
      <c r="G94"/>
      <c r="H94"/>
      <c r="I94"/>
      <c r="J94"/>
      <c r="K94"/>
      <c r="L94"/>
      <c r="M94"/>
      <c r="N94"/>
      <c r="O94"/>
    </row>
    <row r="95" spans="1:28">
      <c r="A95" s="35"/>
      <c r="E95"/>
      <c r="F95"/>
      <c r="G95"/>
      <c r="H95"/>
      <c r="I95"/>
      <c r="J95"/>
      <c r="K95"/>
      <c r="L95"/>
      <c r="M95"/>
      <c r="N95"/>
      <c r="O95"/>
    </row>
    <row r="96" spans="1:28">
      <c r="A96" s="36"/>
      <c r="E96"/>
      <c r="F96"/>
      <c r="G96"/>
      <c r="H96"/>
      <c r="I96"/>
      <c r="J96"/>
      <c r="K96"/>
      <c r="L96"/>
      <c r="M96"/>
      <c r="N96"/>
      <c r="O96"/>
    </row>
    <row r="97" spans="1:15">
      <c r="A97" s="35"/>
      <c r="E97"/>
      <c r="F97"/>
      <c r="G97"/>
      <c r="H97"/>
      <c r="I97"/>
      <c r="J97"/>
      <c r="K97"/>
      <c r="L97"/>
      <c r="M97"/>
      <c r="N97"/>
      <c r="O97"/>
    </row>
    <row r="98" spans="1:15">
      <c r="A98" s="36"/>
      <c r="E98"/>
      <c r="F98"/>
      <c r="G98"/>
      <c r="H98"/>
      <c r="I98"/>
      <c r="J98"/>
      <c r="K98"/>
      <c r="L98"/>
      <c r="M98"/>
      <c r="N98"/>
      <c r="O98"/>
    </row>
    <row r="99" spans="1:15">
      <c r="A99" s="35"/>
      <c r="E99"/>
      <c r="F99"/>
      <c r="G99"/>
      <c r="H99"/>
      <c r="I99"/>
      <c r="J99"/>
      <c r="K99"/>
      <c r="L99"/>
      <c r="M99"/>
      <c r="N99"/>
      <c r="O99"/>
    </row>
    <row r="100" spans="1:15">
      <c r="A100" s="36"/>
      <c r="E100"/>
      <c r="F100"/>
      <c r="G100"/>
      <c r="H100"/>
      <c r="I100"/>
      <c r="J100"/>
      <c r="K100"/>
      <c r="L100"/>
      <c r="M100"/>
      <c r="N100"/>
      <c r="O100"/>
    </row>
    <row r="101" spans="1:15">
      <c r="E101"/>
      <c r="F101"/>
      <c r="G101"/>
      <c r="H101"/>
      <c r="I101"/>
      <c r="J101"/>
      <c r="K101"/>
      <c r="L101"/>
      <c r="M101"/>
      <c r="N101"/>
      <c r="O101"/>
    </row>
    <row r="102" spans="1:15">
      <c r="B102"/>
      <c r="C102"/>
      <c r="D102"/>
      <c r="E102"/>
      <c r="F102"/>
      <c r="G102"/>
      <c r="H102"/>
      <c r="I102"/>
      <c r="J102"/>
      <c r="K102"/>
      <c r="L102"/>
      <c r="M102"/>
      <c r="N102"/>
      <c r="O102"/>
    </row>
    <row r="103" spans="1:15">
      <c r="B103"/>
      <c r="C103"/>
      <c r="D103"/>
      <c r="E103"/>
      <c r="F103"/>
      <c r="G103"/>
      <c r="H103"/>
      <c r="I103"/>
      <c r="J103"/>
      <c r="K103"/>
      <c r="L103"/>
      <c r="M103"/>
      <c r="N103"/>
      <c r="O103"/>
    </row>
    <row r="104" spans="1:15">
      <c r="B104"/>
      <c r="C104"/>
      <c r="D104"/>
      <c r="E104"/>
      <c r="F104"/>
      <c r="G104"/>
      <c r="H104"/>
      <c r="I104"/>
      <c r="J104"/>
      <c r="K104"/>
      <c r="L104"/>
      <c r="M104"/>
      <c r="N104"/>
      <c r="O104"/>
    </row>
    <row r="105" spans="1:15">
      <c r="B105"/>
      <c r="C105"/>
      <c r="D105"/>
      <c r="E105"/>
      <c r="F105"/>
      <c r="G105"/>
      <c r="H105"/>
      <c r="I105"/>
      <c r="J105"/>
      <c r="K105"/>
      <c r="L105"/>
      <c r="M105"/>
      <c r="N105"/>
      <c r="O105"/>
    </row>
    <row r="106" spans="1:15">
      <c r="B106"/>
      <c r="C106"/>
      <c r="D106"/>
      <c r="E106"/>
      <c r="F106"/>
      <c r="G106"/>
      <c r="H106"/>
      <c r="I106"/>
      <c r="J106"/>
      <c r="K106"/>
      <c r="L106"/>
      <c r="M106"/>
      <c r="N106"/>
      <c r="O106"/>
    </row>
    <row r="107" spans="1:15">
      <c r="B107"/>
      <c r="C107"/>
      <c r="D107"/>
      <c r="E107"/>
      <c r="F107"/>
      <c r="G107"/>
      <c r="H107"/>
      <c r="I107"/>
      <c r="J107"/>
      <c r="K107"/>
      <c r="L107"/>
      <c r="M107"/>
      <c r="N107"/>
      <c r="O107"/>
    </row>
    <row r="108" spans="1:15">
      <c r="B108"/>
      <c r="C108"/>
      <c r="D108"/>
      <c r="E108"/>
      <c r="F108"/>
      <c r="G108"/>
      <c r="H108"/>
      <c r="I108"/>
      <c r="J108"/>
      <c r="K108"/>
      <c r="L108"/>
      <c r="M108"/>
      <c r="N108"/>
      <c r="O108"/>
    </row>
    <row r="109" spans="1:15">
      <c r="B109"/>
      <c r="C109"/>
      <c r="D109"/>
      <c r="E109"/>
      <c r="F109"/>
      <c r="G109"/>
      <c r="H109"/>
      <c r="I109"/>
      <c r="J109"/>
      <c r="K109"/>
      <c r="L109"/>
      <c r="M109"/>
      <c r="N109"/>
      <c r="O109"/>
    </row>
    <row r="110" spans="1:15">
      <c r="B110"/>
      <c r="C110"/>
      <c r="D110"/>
      <c r="E110"/>
      <c r="F110"/>
      <c r="G110"/>
      <c r="H110"/>
      <c r="I110"/>
      <c r="J110"/>
      <c r="K110"/>
      <c r="L110"/>
      <c r="M110"/>
      <c r="N110"/>
      <c r="O110"/>
    </row>
    <row r="111" spans="1:15">
      <c r="B111"/>
      <c r="C111"/>
      <c r="D111"/>
      <c r="E111"/>
      <c r="F111"/>
      <c r="G111"/>
      <c r="H111"/>
      <c r="I111"/>
      <c r="J111"/>
      <c r="K111"/>
      <c r="L111"/>
      <c r="M111"/>
      <c r="N111"/>
      <c r="O111"/>
    </row>
    <row r="112" spans="1:15">
      <c r="B112"/>
      <c r="C112"/>
      <c r="D112"/>
      <c r="E112"/>
      <c r="F112"/>
      <c r="G112"/>
      <c r="H112"/>
      <c r="I112"/>
      <c r="J112"/>
      <c r="K112"/>
      <c r="L112"/>
      <c r="M112"/>
      <c r="N112"/>
      <c r="O112"/>
    </row>
    <row r="113" spans="2:15">
      <c r="B113"/>
      <c r="C113"/>
      <c r="D113"/>
      <c r="E113"/>
      <c r="F113"/>
      <c r="G113"/>
      <c r="H113"/>
      <c r="I113"/>
      <c r="J113"/>
      <c r="K113"/>
      <c r="L113"/>
      <c r="M113"/>
      <c r="N113"/>
      <c r="O113"/>
    </row>
    <row r="114" spans="2:15">
      <c r="B114"/>
      <c r="C114"/>
      <c r="D114"/>
      <c r="E114"/>
      <c r="F114"/>
      <c r="G114"/>
      <c r="H114"/>
      <c r="I114"/>
      <c r="J114"/>
      <c r="K114"/>
      <c r="L114"/>
      <c r="M114"/>
      <c r="N114"/>
      <c r="O114"/>
    </row>
    <row r="115" spans="2:15">
      <c r="B115"/>
      <c r="C115"/>
      <c r="D115"/>
      <c r="E115"/>
      <c r="F115"/>
      <c r="G115"/>
      <c r="H115"/>
      <c r="I115"/>
      <c r="J115"/>
      <c r="K115"/>
      <c r="L115"/>
      <c r="M115"/>
      <c r="N115"/>
      <c r="O115"/>
    </row>
    <row r="116" spans="2:15">
      <c r="B116"/>
      <c r="C116"/>
      <c r="D116"/>
      <c r="E116"/>
      <c r="F116"/>
      <c r="G116"/>
      <c r="H116"/>
      <c r="I116"/>
      <c r="J116"/>
      <c r="K116"/>
      <c r="L116"/>
      <c r="M116"/>
      <c r="N116"/>
      <c r="O116"/>
    </row>
    <row r="117" spans="2:15">
      <c r="B117"/>
      <c r="C117"/>
      <c r="D117"/>
      <c r="E117"/>
      <c r="F117"/>
      <c r="G117"/>
      <c r="H117"/>
      <c r="I117"/>
      <c r="J117"/>
      <c r="K117"/>
      <c r="L117"/>
      <c r="M117"/>
      <c r="N117"/>
      <c r="O117"/>
    </row>
    <row r="118" spans="2:15">
      <c r="B118"/>
      <c r="C118"/>
      <c r="D118"/>
      <c r="E118"/>
      <c r="F118"/>
      <c r="G118"/>
      <c r="H118"/>
      <c r="I118"/>
      <c r="J118"/>
      <c r="K118"/>
      <c r="L118"/>
      <c r="M118"/>
      <c r="N118"/>
      <c r="O118"/>
    </row>
    <row r="119" spans="2:15">
      <c r="B119"/>
      <c r="C119"/>
      <c r="D119"/>
      <c r="E119"/>
      <c r="F119"/>
      <c r="G119"/>
      <c r="H119"/>
      <c r="I119"/>
      <c r="J119"/>
      <c r="K119"/>
      <c r="L119"/>
      <c r="M119"/>
      <c r="N119"/>
      <c r="O119"/>
    </row>
    <row r="120" spans="2:15">
      <c r="B120"/>
      <c r="C120"/>
      <c r="D120"/>
      <c r="E120"/>
      <c r="F120"/>
      <c r="G120"/>
      <c r="H120"/>
      <c r="I120"/>
      <c r="J120"/>
      <c r="K120"/>
      <c r="L120"/>
      <c r="M120"/>
      <c r="N120"/>
      <c r="O120"/>
    </row>
    <row r="121" spans="2:15">
      <c r="B121"/>
      <c r="C121"/>
      <c r="D121"/>
      <c r="E121"/>
      <c r="F121"/>
      <c r="G121"/>
      <c r="H121"/>
      <c r="I121"/>
      <c r="J121"/>
      <c r="K121"/>
      <c r="L121"/>
      <c r="M121"/>
      <c r="N121"/>
      <c r="O121"/>
    </row>
    <row r="122" spans="2:15">
      <c r="B122"/>
      <c r="C122"/>
      <c r="D122"/>
      <c r="E122"/>
      <c r="F122"/>
      <c r="G122"/>
      <c r="H122"/>
      <c r="I122"/>
      <c r="J122"/>
      <c r="K122"/>
      <c r="L122"/>
      <c r="M122"/>
      <c r="N122"/>
      <c r="O122"/>
    </row>
    <row r="123" spans="2:15">
      <c r="B123"/>
      <c r="C123"/>
      <c r="D123"/>
      <c r="E123"/>
      <c r="F123"/>
      <c r="G123"/>
      <c r="H123"/>
      <c r="I123"/>
      <c r="J123"/>
      <c r="K123"/>
      <c r="L123"/>
      <c r="M123"/>
      <c r="N123"/>
      <c r="O123"/>
    </row>
    <row r="124" spans="2:15">
      <c r="B124"/>
      <c r="C124"/>
      <c r="D124"/>
      <c r="E124"/>
      <c r="F124"/>
      <c r="G124"/>
      <c r="H124"/>
      <c r="I124"/>
      <c r="J124"/>
      <c r="K124"/>
      <c r="L124"/>
      <c r="M124"/>
      <c r="N124"/>
      <c r="O124"/>
    </row>
    <row r="125" spans="2:15">
      <c r="B125"/>
      <c r="C125"/>
      <c r="D125"/>
      <c r="E125"/>
      <c r="F125"/>
      <c r="G125"/>
      <c r="H125"/>
      <c r="I125"/>
      <c r="J125"/>
      <c r="K125"/>
      <c r="L125"/>
      <c r="M125"/>
      <c r="N125"/>
      <c r="O125"/>
    </row>
    <row r="126" spans="2:15">
      <c r="B126"/>
      <c r="C126"/>
      <c r="D126"/>
      <c r="E126"/>
      <c r="F126"/>
      <c r="G126"/>
      <c r="H126"/>
      <c r="I126"/>
      <c r="J126"/>
      <c r="K126"/>
      <c r="L126"/>
      <c r="M126"/>
      <c r="N126"/>
      <c r="O126"/>
    </row>
    <row r="127" spans="2:15">
      <c r="B127"/>
      <c r="C127"/>
      <c r="D127"/>
      <c r="E127"/>
      <c r="F127"/>
      <c r="G127"/>
      <c r="H127"/>
      <c r="I127"/>
      <c r="J127"/>
      <c r="K127"/>
      <c r="L127"/>
      <c r="M127"/>
      <c r="N127"/>
      <c r="O127"/>
    </row>
    <row r="128" spans="2:15">
      <c r="B128"/>
      <c r="C128"/>
      <c r="D128"/>
      <c r="E128"/>
      <c r="F128"/>
      <c r="G128"/>
      <c r="H128"/>
      <c r="I128"/>
      <c r="J128"/>
      <c r="K128"/>
      <c r="L128"/>
      <c r="M128"/>
      <c r="N128"/>
      <c r="O128"/>
    </row>
    <row r="129" spans="2:15">
      <c r="B129"/>
      <c r="C129"/>
      <c r="D129"/>
      <c r="E129"/>
      <c r="F129"/>
      <c r="G129"/>
      <c r="H129"/>
      <c r="I129"/>
      <c r="J129"/>
      <c r="K129"/>
      <c r="L129"/>
      <c r="M129"/>
      <c r="N129"/>
      <c r="O129"/>
    </row>
    <row r="130" spans="2:15">
      <c r="B130"/>
      <c r="C130"/>
      <c r="D130"/>
      <c r="E130"/>
      <c r="F130"/>
      <c r="G130"/>
      <c r="H130"/>
      <c r="I130"/>
      <c r="J130"/>
      <c r="K130"/>
      <c r="L130"/>
      <c r="M130"/>
      <c r="N130"/>
      <c r="O130"/>
    </row>
    <row r="131" spans="2:15">
      <c r="B131"/>
      <c r="C131"/>
      <c r="D131"/>
      <c r="E131"/>
      <c r="F131"/>
      <c r="G131"/>
      <c r="H131"/>
      <c r="I131"/>
      <c r="J131"/>
      <c r="K131"/>
      <c r="L131"/>
      <c r="M131"/>
      <c r="N131"/>
      <c r="O131"/>
    </row>
    <row r="132" spans="2:15">
      <c r="B132"/>
      <c r="C132"/>
      <c r="D132"/>
      <c r="E132"/>
      <c r="F132"/>
      <c r="G132"/>
      <c r="H132"/>
      <c r="I132"/>
      <c r="J132"/>
      <c r="K132"/>
      <c r="L132"/>
      <c r="M132"/>
      <c r="N132"/>
      <c r="O132"/>
    </row>
    <row r="133" spans="2:15">
      <c r="B133"/>
      <c r="C133"/>
      <c r="D133"/>
      <c r="E133"/>
      <c r="F133"/>
      <c r="G133"/>
      <c r="H133"/>
      <c r="I133"/>
      <c r="J133"/>
      <c r="K133"/>
      <c r="L133"/>
      <c r="M133"/>
      <c r="N133"/>
      <c r="O133"/>
    </row>
    <row r="134" spans="2:15">
      <c r="B134"/>
      <c r="C134"/>
      <c r="D134"/>
      <c r="E134"/>
      <c r="F134"/>
      <c r="G134"/>
      <c r="H134"/>
      <c r="I134"/>
      <c r="J134"/>
      <c r="K134"/>
      <c r="L134"/>
      <c r="M134"/>
      <c r="N134"/>
      <c r="O134"/>
    </row>
    <row r="135" spans="2:15">
      <c r="B135"/>
      <c r="C135"/>
      <c r="D135"/>
      <c r="E135"/>
      <c r="F135"/>
      <c r="G135"/>
      <c r="H135"/>
      <c r="I135"/>
      <c r="J135"/>
      <c r="K135"/>
      <c r="L135"/>
      <c r="M135"/>
      <c r="N135"/>
      <c r="O135"/>
    </row>
    <row r="136" spans="2:15">
      <c r="B136"/>
      <c r="C136"/>
      <c r="D136"/>
      <c r="E136"/>
      <c r="F136"/>
      <c r="G136"/>
      <c r="H136"/>
      <c r="I136"/>
      <c r="J136"/>
      <c r="K136"/>
      <c r="L136"/>
      <c r="M136"/>
      <c r="N136"/>
      <c r="O136"/>
    </row>
    <row r="137" spans="2:15">
      <c r="B137"/>
      <c r="C137"/>
      <c r="D137"/>
      <c r="E137"/>
      <c r="F137"/>
      <c r="G137"/>
      <c r="H137"/>
      <c r="I137"/>
      <c r="J137"/>
      <c r="K137"/>
      <c r="L137"/>
      <c r="M137"/>
      <c r="N137"/>
      <c r="O137"/>
    </row>
    <row r="138" spans="2:15">
      <c r="B138"/>
      <c r="C138"/>
      <c r="D138"/>
      <c r="E138"/>
      <c r="F138"/>
      <c r="G138"/>
      <c r="H138"/>
      <c r="I138"/>
      <c r="J138"/>
      <c r="K138"/>
      <c r="L138"/>
      <c r="M138"/>
      <c r="N138"/>
      <c r="O138"/>
    </row>
    <row r="139" spans="2:15">
      <c r="B139"/>
      <c r="C139"/>
      <c r="D139"/>
      <c r="E139"/>
      <c r="F139"/>
      <c r="G139"/>
      <c r="H139"/>
      <c r="I139"/>
      <c r="J139"/>
      <c r="K139"/>
      <c r="L139"/>
      <c r="M139"/>
      <c r="N139"/>
      <c r="O139"/>
    </row>
    <row r="140" spans="2:15">
      <c r="B140"/>
      <c r="C140"/>
      <c r="D140"/>
      <c r="E140"/>
      <c r="F140"/>
      <c r="G140"/>
      <c r="H140"/>
      <c r="I140"/>
      <c r="J140"/>
      <c r="K140"/>
      <c r="L140"/>
      <c r="M140"/>
      <c r="N140"/>
      <c r="O140"/>
    </row>
    <row r="141" spans="2:15">
      <c r="B141"/>
      <c r="C141"/>
      <c r="D141"/>
      <c r="E141"/>
      <c r="F141"/>
      <c r="G141"/>
      <c r="H141"/>
      <c r="I141"/>
      <c r="J141"/>
      <c r="K141"/>
      <c r="L141"/>
      <c r="M141"/>
      <c r="N141"/>
      <c r="O141"/>
    </row>
    <row r="142" spans="2:15">
      <c r="B142"/>
      <c r="C142"/>
      <c r="D142"/>
      <c r="E142"/>
      <c r="F142"/>
      <c r="G142"/>
      <c r="H142"/>
      <c r="I142"/>
      <c r="J142"/>
      <c r="K142"/>
      <c r="L142"/>
      <c r="M142"/>
      <c r="N142"/>
      <c r="O142"/>
    </row>
    <row r="143" spans="2:15">
      <c r="B143"/>
      <c r="C143"/>
      <c r="D143"/>
      <c r="E143"/>
      <c r="F143"/>
      <c r="G143"/>
      <c r="H143"/>
      <c r="I143"/>
      <c r="J143"/>
      <c r="K143"/>
      <c r="L143"/>
      <c r="M143"/>
      <c r="N143"/>
      <c r="O143"/>
    </row>
    <row r="144" spans="2:15">
      <c r="B144"/>
      <c r="C144"/>
      <c r="D144"/>
      <c r="E144"/>
      <c r="F144"/>
      <c r="G144"/>
      <c r="H144"/>
      <c r="I144"/>
      <c r="J144"/>
      <c r="K144"/>
      <c r="L144"/>
      <c r="M144"/>
      <c r="N144"/>
      <c r="O144"/>
    </row>
    <row r="145" spans="2:15">
      <c r="B145"/>
      <c r="C145"/>
      <c r="D145"/>
      <c r="E145"/>
      <c r="F145"/>
      <c r="G145"/>
      <c r="H145"/>
      <c r="I145"/>
      <c r="J145"/>
      <c r="K145"/>
      <c r="L145"/>
      <c r="M145"/>
      <c r="N145"/>
      <c r="O145"/>
    </row>
    <row r="146" spans="2:15">
      <c r="B146"/>
      <c r="C146"/>
      <c r="D146"/>
      <c r="E146"/>
      <c r="F146"/>
      <c r="G146"/>
      <c r="H146"/>
      <c r="I146"/>
      <c r="J146"/>
      <c r="K146"/>
      <c r="L146"/>
      <c r="M146"/>
      <c r="N146"/>
      <c r="O146"/>
    </row>
    <row r="147" spans="2:15">
      <c r="B147"/>
      <c r="C147"/>
      <c r="D147"/>
      <c r="E147"/>
      <c r="F147"/>
      <c r="G147"/>
      <c r="H147"/>
      <c r="I147"/>
      <c r="J147"/>
      <c r="K147"/>
      <c r="L147"/>
      <c r="M147"/>
      <c r="N147"/>
      <c r="O147"/>
    </row>
    <row r="148" spans="2:15">
      <c r="B148"/>
      <c r="C148"/>
      <c r="D148"/>
      <c r="E148"/>
      <c r="F148"/>
      <c r="G148"/>
      <c r="H148"/>
      <c r="I148"/>
      <c r="J148"/>
      <c r="K148"/>
      <c r="L148"/>
      <c r="M148"/>
      <c r="N148"/>
      <c r="O148"/>
    </row>
    <row r="149" spans="2:15">
      <c r="B149"/>
      <c r="C149"/>
      <c r="D149"/>
      <c r="E149"/>
      <c r="F149"/>
      <c r="G149"/>
      <c r="H149"/>
      <c r="I149"/>
      <c r="J149"/>
      <c r="K149"/>
      <c r="L149"/>
      <c r="M149"/>
      <c r="N149"/>
      <c r="O149"/>
    </row>
    <row r="150" spans="2:15">
      <c r="B150"/>
      <c r="C150"/>
      <c r="D150"/>
      <c r="E150"/>
      <c r="F150"/>
      <c r="G150"/>
      <c r="H150"/>
      <c r="I150"/>
      <c r="J150"/>
      <c r="K150"/>
      <c r="L150"/>
      <c r="M150"/>
      <c r="N150"/>
      <c r="O150"/>
    </row>
    <row r="151" spans="2:15">
      <c r="B151"/>
      <c r="C151"/>
      <c r="D151"/>
      <c r="E151"/>
      <c r="F151"/>
      <c r="G151"/>
      <c r="H151"/>
      <c r="I151"/>
      <c r="J151"/>
      <c r="K151"/>
      <c r="L151"/>
      <c r="M151"/>
      <c r="N151"/>
      <c r="O151"/>
    </row>
    <row r="152" spans="2:15">
      <c r="B152"/>
      <c r="C152"/>
      <c r="D152"/>
      <c r="E152"/>
      <c r="F152"/>
      <c r="G152"/>
      <c r="H152"/>
      <c r="I152"/>
      <c r="J152"/>
      <c r="K152"/>
      <c r="L152"/>
      <c r="M152"/>
      <c r="N152"/>
      <c r="O152"/>
    </row>
    <row r="153" spans="2:15">
      <c r="B153"/>
      <c r="C153"/>
      <c r="D153"/>
      <c r="E153"/>
      <c r="F153"/>
      <c r="G153"/>
      <c r="H153"/>
      <c r="I153"/>
      <c r="J153"/>
      <c r="K153"/>
      <c r="L153"/>
      <c r="M153"/>
      <c r="N153"/>
      <c r="O153"/>
    </row>
    <row r="154" spans="2:15">
      <c r="B154"/>
      <c r="C154"/>
      <c r="D154"/>
      <c r="E154"/>
      <c r="F154"/>
      <c r="G154"/>
      <c r="H154"/>
      <c r="I154"/>
      <c r="J154"/>
      <c r="K154"/>
      <c r="L154"/>
      <c r="M154"/>
      <c r="N154"/>
      <c r="O154"/>
    </row>
    <row r="155" spans="2:15">
      <c r="B155"/>
      <c r="C155"/>
      <c r="D155"/>
      <c r="E155"/>
      <c r="F155"/>
      <c r="G155"/>
      <c r="H155"/>
      <c r="I155"/>
      <c r="J155"/>
      <c r="K155"/>
      <c r="L155"/>
      <c r="M155"/>
      <c r="N155"/>
      <c r="O155"/>
    </row>
    <row r="156" spans="2:15">
      <c r="B156"/>
      <c r="C156"/>
      <c r="D156"/>
      <c r="E156"/>
      <c r="F156"/>
      <c r="G156"/>
      <c r="H156"/>
      <c r="I156"/>
      <c r="J156"/>
      <c r="K156"/>
      <c r="L156"/>
      <c r="M156"/>
      <c r="N156"/>
      <c r="O156"/>
    </row>
    <row r="157" spans="2:15">
      <c r="B157"/>
      <c r="C157"/>
      <c r="D157"/>
      <c r="E157"/>
      <c r="F157"/>
      <c r="G157"/>
      <c r="H157"/>
      <c r="I157"/>
      <c r="J157"/>
      <c r="K157"/>
      <c r="L157"/>
      <c r="M157"/>
      <c r="N157"/>
      <c r="O157"/>
    </row>
    <row r="158" spans="2:15">
      <c r="B158"/>
      <c r="C158"/>
      <c r="D158"/>
      <c r="E158"/>
      <c r="F158"/>
      <c r="G158"/>
      <c r="H158"/>
      <c r="I158"/>
      <c r="J158"/>
      <c r="K158"/>
      <c r="L158"/>
      <c r="M158"/>
      <c r="N158"/>
      <c r="O158"/>
    </row>
    <row r="159" spans="2:15">
      <c r="B159"/>
      <c r="C159"/>
      <c r="D159"/>
      <c r="E159"/>
      <c r="F159"/>
      <c r="G159"/>
      <c r="H159"/>
      <c r="I159"/>
      <c r="J159"/>
      <c r="K159"/>
      <c r="L159"/>
      <c r="M159"/>
      <c r="N159"/>
      <c r="O159"/>
    </row>
    <row r="160" spans="2:15">
      <c r="B160"/>
      <c r="C160"/>
      <c r="D160"/>
      <c r="E160"/>
      <c r="F160"/>
      <c r="G160"/>
      <c r="H160"/>
      <c r="I160"/>
      <c r="J160"/>
      <c r="K160"/>
      <c r="L160"/>
      <c r="M160"/>
      <c r="N160"/>
      <c r="O160"/>
    </row>
    <row r="161" spans="2:15">
      <c r="B161"/>
      <c r="C161"/>
      <c r="D161"/>
      <c r="E161"/>
      <c r="F161"/>
      <c r="G161"/>
      <c r="H161"/>
      <c r="I161"/>
      <c r="J161"/>
      <c r="K161"/>
      <c r="L161"/>
      <c r="M161"/>
      <c r="N161"/>
      <c r="O161"/>
    </row>
    <row r="162" spans="2:15">
      <c r="B162"/>
      <c r="C162"/>
      <c r="D162"/>
      <c r="E162"/>
      <c r="F162"/>
      <c r="G162"/>
      <c r="H162"/>
      <c r="I162"/>
      <c r="J162"/>
      <c r="K162"/>
      <c r="L162"/>
      <c r="M162"/>
      <c r="N162"/>
      <c r="O162"/>
    </row>
    <row r="163" spans="2:15">
      <c r="B163"/>
      <c r="C163"/>
      <c r="D163"/>
      <c r="E163"/>
      <c r="F163"/>
      <c r="G163"/>
      <c r="H163"/>
      <c r="I163"/>
      <c r="J163"/>
      <c r="K163"/>
      <c r="L163"/>
      <c r="M163"/>
      <c r="N163"/>
      <c r="O163"/>
    </row>
    <row r="164" spans="2:15">
      <c r="B164"/>
      <c r="C164"/>
      <c r="D164"/>
      <c r="E164"/>
      <c r="F164"/>
      <c r="G164"/>
      <c r="H164"/>
      <c r="I164"/>
      <c r="J164"/>
      <c r="K164"/>
      <c r="L164"/>
      <c r="M164"/>
      <c r="N164"/>
      <c r="O164"/>
    </row>
    <row r="165" spans="2:15">
      <c r="B165"/>
      <c r="C165"/>
      <c r="D165"/>
      <c r="E165"/>
      <c r="F165"/>
      <c r="G165"/>
      <c r="H165"/>
      <c r="I165"/>
      <c r="J165"/>
      <c r="K165"/>
      <c r="L165"/>
      <c r="M165"/>
      <c r="N165"/>
      <c r="O165"/>
    </row>
    <row r="166" spans="2:15">
      <c r="B166"/>
      <c r="C166"/>
      <c r="D166"/>
      <c r="E166"/>
      <c r="F166"/>
      <c r="G166"/>
      <c r="H166"/>
      <c r="I166"/>
      <c r="J166"/>
      <c r="K166"/>
      <c r="L166"/>
      <c r="M166"/>
      <c r="N166"/>
      <c r="O166"/>
    </row>
    <row r="167" spans="2:15">
      <c r="B167"/>
      <c r="C167"/>
      <c r="D167"/>
      <c r="E167"/>
      <c r="F167"/>
      <c r="G167"/>
      <c r="H167"/>
      <c r="I167"/>
      <c r="J167"/>
      <c r="K167"/>
      <c r="L167"/>
      <c r="M167"/>
      <c r="N167"/>
      <c r="O167"/>
    </row>
    <row r="168" spans="2:15">
      <c r="B168"/>
      <c r="C168"/>
      <c r="D168"/>
      <c r="E168"/>
      <c r="F168"/>
      <c r="G168"/>
      <c r="H168"/>
      <c r="I168"/>
      <c r="J168"/>
      <c r="K168"/>
      <c r="L168"/>
      <c r="M168"/>
      <c r="N168"/>
      <c r="O168"/>
    </row>
    <row r="169" spans="2:15">
      <c r="B169"/>
      <c r="C169"/>
      <c r="D169"/>
      <c r="E169"/>
      <c r="F169"/>
      <c r="G169"/>
      <c r="H169"/>
      <c r="I169"/>
      <c r="J169"/>
      <c r="K169"/>
      <c r="L169"/>
      <c r="M169"/>
      <c r="N169"/>
      <c r="O169"/>
    </row>
    <row r="170" spans="2:15">
      <c r="B170"/>
      <c r="C170"/>
      <c r="D170"/>
      <c r="E170"/>
      <c r="F170"/>
      <c r="G170"/>
      <c r="H170"/>
      <c r="I170"/>
      <c r="J170"/>
      <c r="K170"/>
      <c r="L170"/>
      <c r="M170"/>
      <c r="N170"/>
      <c r="O170"/>
    </row>
    <row r="171" spans="2:15">
      <c r="B171"/>
      <c r="C171"/>
      <c r="D171"/>
      <c r="E171"/>
      <c r="F171"/>
      <c r="G171"/>
      <c r="H171"/>
      <c r="I171"/>
      <c r="J171"/>
      <c r="K171"/>
      <c r="L171"/>
      <c r="M171"/>
      <c r="N171"/>
      <c r="O171"/>
    </row>
    <row r="172" spans="2:15">
      <c r="B172"/>
      <c r="C172"/>
      <c r="D172"/>
      <c r="E172"/>
      <c r="F172"/>
      <c r="G172"/>
      <c r="H172"/>
      <c r="I172"/>
      <c r="J172"/>
      <c r="K172"/>
      <c r="L172"/>
      <c r="M172"/>
      <c r="N172"/>
      <c r="O172"/>
    </row>
    <row r="173" spans="2:15">
      <c r="B173"/>
      <c r="C173"/>
      <c r="D173"/>
      <c r="E173"/>
      <c r="F173"/>
      <c r="G173"/>
      <c r="H173"/>
      <c r="I173"/>
      <c r="J173"/>
      <c r="K173"/>
      <c r="L173"/>
      <c r="M173"/>
      <c r="N173"/>
      <c r="O173"/>
    </row>
    <row r="174" spans="2:15">
      <c r="B174"/>
      <c r="C174"/>
      <c r="D174"/>
      <c r="E174"/>
      <c r="F174"/>
      <c r="G174"/>
      <c r="H174"/>
      <c r="I174"/>
      <c r="J174"/>
      <c r="K174"/>
      <c r="L174"/>
      <c r="M174"/>
      <c r="N174"/>
      <c r="O174"/>
    </row>
    <row r="175" spans="2:15">
      <c r="B175"/>
      <c r="C175"/>
      <c r="D175"/>
      <c r="E175"/>
      <c r="F175"/>
      <c r="G175"/>
      <c r="H175"/>
      <c r="I175"/>
      <c r="J175"/>
      <c r="K175"/>
      <c r="L175"/>
      <c r="M175"/>
      <c r="N175"/>
      <c r="O175"/>
    </row>
    <row r="176" spans="2:15">
      <c r="B176"/>
      <c r="C176"/>
      <c r="D176"/>
      <c r="E176"/>
      <c r="F176"/>
      <c r="G176"/>
      <c r="H176"/>
      <c r="I176"/>
      <c r="J176"/>
      <c r="K176"/>
      <c r="L176"/>
      <c r="M176"/>
      <c r="N176"/>
      <c r="O176"/>
    </row>
    <row r="177" spans="2:15">
      <c r="B177"/>
      <c r="C177"/>
      <c r="D177"/>
      <c r="E177"/>
      <c r="F177"/>
      <c r="G177"/>
      <c r="H177"/>
      <c r="I177"/>
      <c r="J177"/>
      <c r="K177"/>
      <c r="L177"/>
      <c r="M177"/>
      <c r="N177"/>
      <c r="O177"/>
    </row>
    <row r="178" spans="2:15">
      <c r="B178"/>
      <c r="C178"/>
      <c r="D178"/>
      <c r="E178"/>
      <c r="F178"/>
      <c r="G178"/>
      <c r="H178"/>
      <c r="I178"/>
      <c r="J178"/>
      <c r="K178"/>
      <c r="L178"/>
      <c r="M178"/>
      <c r="N178"/>
      <c r="O178"/>
    </row>
    <row r="179" spans="2:15">
      <c r="B179"/>
      <c r="C179"/>
      <c r="D179"/>
      <c r="E179"/>
      <c r="F179"/>
      <c r="G179"/>
      <c r="H179"/>
      <c r="I179"/>
      <c r="J179"/>
      <c r="K179"/>
      <c r="L179"/>
      <c r="M179"/>
      <c r="N179"/>
      <c r="O179"/>
    </row>
    <row r="180" spans="2:15">
      <c r="B180"/>
      <c r="C180"/>
      <c r="D180"/>
      <c r="E180"/>
      <c r="F180"/>
      <c r="G180"/>
      <c r="H180"/>
      <c r="I180"/>
      <c r="J180"/>
      <c r="K180"/>
      <c r="L180"/>
      <c r="M180"/>
      <c r="N180"/>
      <c r="O180"/>
    </row>
    <row r="181" spans="2:15">
      <c r="B181"/>
      <c r="C181"/>
      <c r="D181"/>
      <c r="E181"/>
      <c r="F181"/>
      <c r="G181"/>
      <c r="H181"/>
      <c r="I181"/>
      <c r="J181"/>
      <c r="K181"/>
      <c r="L181"/>
      <c r="M181"/>
      <c r="N181"/>
      <c r="O181"/>
    </row>
    <row r="182" spans="2:15">
      <c r="B182"/>
      <c r="C182"/>
      <c r="D182"/>
      <c r="E182"/>
      <c r="F182"/>
      <c r="G182"/>
      <c r="H182"/>
      <c r="I182"/>
      <c r="J182"/>
      <c r="K182"/>
      <c r="L182"/>
      <c r="M182"/>
      <c r="N182"/>
      <c r="O182"/>
    </row>
    <row r="183" spans="2:15">
      <c r="B183"/>
      <c r="C183"/>
      <c r="D183"/>
      <c r="E183"/>
      <c r="F183"/>
      <c r="G183"/>
      <c r="H183"/>
      <c r="I183"/>
      <c r="J183"/>
      <c r="K183"/>
      <c r="L183"/>
      <c r="M183"/>
      <c r="N183"/>
      <c r="O183"/>
    </row>
    <row r="184" spans="2:15">
      <c r="B184"/>
      <c r="C184"/>
      <c r="D184"/>
      <c r="E184"/>
      <c r="F184"/>
      <c r="G184"/>
      <c r="H184"/>
      <c r="I184"/>
      <c r="J184"/>
      <c r="K184"/>
      <c r="L184"/>
      <c r="M184"/>
      <c r="N184"/>
      <c r="O184"/>
    </row>
    <row r="185" spans="2:15">
      <c r="B185"/>
      <c r="C185"/>
      <c r="D185"/>
      <c r="E185"/>
      <c r="F185"/>
      <c r="G185"/>
      <c r="H185"/>
      <c r="I185"/>
      <c r="J185"/>
      <c r="K185"/>
      <c r="L185"/>
      <c r="M185"/>
      <c r="N185"/>
      <c r="O185"/>
    </row>
    <row r="186" spans="2:15">
      <c r="B186"/>
      <c r="C186"/>
      <c r="D186"/>
      <c r="E186"/>
      <c r="F186"/>
      <c r="G186"/>
      <c r="H186"/>
      <c r="I186"/>
      <c r="J186"/>
      <c r="K186"/>
      <c r="L186"/>
      <c r="M186"/>
      <c r="N186"/>
      <c r="O186"/>
    </row>
    <row r="187" spans="2:15">
      <c r="B187"/>
      <c r="C187"/>
      <c r="D187"/>
      <c r="E187"/>
      <c r="F187"/>
      <c r="G187"/>
      <c r="H187"/>
      <c r="I187"/>
      <c r="J187"/>
      <c r="K187"/>
      <c r="L187"/>
      <c r="M187"/>
      <c r="N187"/>
      <c r="O187"/>
    </row>
    <row r="188" spans="2:15">
      <c r="B188"/>
      <c r="C188"/>
      <c r="D188"/>
      <c r="E188"/>
      <c r="F188"/>
      <c r="G188"/>
      <c r="H188"/>
      <c r="I188"/>
      <c r="J188"/>
      <c r="K188"/>
      <c r="L188"/>
      <c r="M188"/>
      <c r="N188"/>
      <c r="O188"/>
    </row>
    <row r="189" spans="2:15">
      <c r="B189"/>
      <c r="C189"/>
      <c r="D189"/>
      <c r="E189"/>
      <c r="F189"/>
      <c r="G189"/>
      <c r="H189"/>
      <c r="I189"/>
      <c r="J189"/>
      <c r="K189"/>
      <c r="L189"/>
      <c r="M189"/>
      <c r="N189"/>
      <c r="O189"/>
    </row>
    <row r="190" spans="2:15">
      <c r="B190"/>
      <c r="C190"/>
      <c r="D190"/>
      <c r="E190"/>
      <c r="F190"/>
      <c r="G190"/>
      <c r="H190"/>
      <c r="I190"/>
      <c r="J190"/>
      <c r="K190"/>
      <c r="L190"/>
      <c r="M190"/>
      <c r="N190"/>
      <c r="O190"/>
    </row>
    <row r="191" spans="2:15">
      <c r="B191"/>
      <c r="C191"/>
      <c r="D191"/>
      <c r="E191"/>
      <c r="F191"/>
      <c r="G191"/>
      <c r="H191"/>
      <c r="I191"/>
      <c r="J191"/>
      <c r="K191"/>
      <c r="L191"/>
      <c r="M191"/>
      <c r="N191"/>
      <c r="O191"/>
    </row>
    <row r="192" spans="2:15">
      <c r="B192"/>
      <c r="C192"/>
      <c r="D192"/>
      <c r="E192"/>
      <c r="F192"/>
      <c r="G192"/>
      <c r="H192"/>
      <c r="I192"/>
      <c r="J192"/>
      <c r="K192"/>
      <c r="L192"/>
      <c r="M192"/>
      <c r="N192"/>
      <c r="O192"/>
    </row>
    <row r="193" spans="2:15">
      <c r="B193"/>
      <c r="C193"/>
      <c r="D193"/>
      <c r="E193"/>
      <c r="F193"/>
      <c r="G193"/>
      <c r="H193"/>
      <c r="I193"/>
      <c r="J193"/>
      <c r="K193"/>
      <c r="L193"/>
      <c r="M193"/>
      <c r="N193"/>
      <c r="O193"/>
    </row>
    <row r="194" spans="2:15">
      <c r="B194"/>
      <c r="C194"/>
      <c r="D194"/>
      <c r="E194"/>
      <c r="F194"/>
      <c r="G194"/>
      <c r="H194"/>
      <c r="I194"/>
      <c r="J194"/>
      <c r="K194"/>
      <c r="L194"/>
      <c r="M194"/>
      <c r="N194"/>
      <c r="O194"/>
    </row>
    <row r="195" spans="2:15">
      <c r="B195"/>
      <c r="C195"/>
      <c r="D195"/>
      <c r="E195"/>
      <c r="F195"/>
      <c r="G195"/>
      <c r="H195"/>
      <c r="I195"/>
      <c r="J195"/>
      <c r="K195"/>
      <c r="L195"/>
      <c r="M195"/>
      <c r="N195"/>
      <c r="O195"/>
    </row>
    <row r="196" spans="2:15">
      <c r="B196"/>
      <c r="C196"/>
      <c r="D196"/>
      <c r="E196"/>
      <c r="F196"/>
      <c r="G196"/>
      <c r="H196"/>
      <c r="I196"/>
      <c r="J196"/>
      <c r="K196"/>
      <c r="L196"/>
      <c r="M196"/>
      <c r="N196"/>
      <c r="O196"/>
    </row>
    <row r="197" spans="2:15">
      <c r="B197"/>
      <c r="C197"/>
      <c r="D197"/>
      <c r="E197"/>
      <c r="F197"/>
      <c r="G197"/>
      <c r="H197"/>
      <c r="I197"/>
      <c r="J197"/>
      <c r="K197"/>
      <c r="L197"/>
      <c r="M197"/>
      <c r="N197"/>
      <c r="O197"/>
    </row>
    <row r="198" spans="2:15">
      <c r="B198"/>
      <c r="C198"/>
      <c r="D198"/>
      <c r="E198"/>
      <c r="F198"/>
      <c r="G198"/>
      <c r="H198"/>
      <c r="I198"/>
      <c r="J198"/>
      <c r="K198"/>
      <c r="L198"/>
      <c r="M198"/>
      <c r="N198"/>
      <c r="O198"/>
    </row>
    <row r="199" spans="2:15">
      <c r="B199"/>
      <c r="C199"/>
      <c r="D199"/>
      <c r="E199"/>
      <c r="F199"/>
      <c r="G199"/>
      <c r="H199"/>
      <c r="I199"/>
      <c r="J199"/>
      <c r="K199"/>
      <c r="L199"/>
      <c r="M199"/>
      <c r="N199"/>
      <c r="O199"/>
    </row>
    <row r="200" spans="2:15">
      <c r="B200"/>
      <c r="C200"/>
      <c r="D200"/>
      <c r="E200"/>
      <c r="F200"/>
      <c r="G200"/>
      <c r="H200"/>
      <c r="I200"/>
      <c r="J200"/>
      <c r="K200"/>
      <c r="L200"/>
      <c r="M200"/>
      <c r="N200"/>
      <c r="O200"/>
    </row>
    <row r="201" spans="2:15">
      <c r="B201"/>
      <c r="C201"/>
      <c r="D201"/>
      <c r="E201"/>
      <c r="F201"/>
      <c r="G201"/>
      <c r="H201"/>
      <c r="I201"/>
      <c r="J201"/>
      <c r="K201"/>
      <c r="L201"/>
      <c r="M201"/>
      <c r="N201"/>
      <c r="O201"/>
    </row>
    <row r="202" spans="2:15">
      <c r="B202"/>
      <c r="C202"/>
      <c r="D202"/>
      <c r="E202"/>
      <c r="F202"/>
      <c r="G202"/>
      <c r="H202"/>
      <c r="I202"/>
      <c r="J202"/>
      <c r="K202"/>
      <c r="L202"/>
      <c r="M202"/>
      <c r="N202"/>
      <c r="O202"/>
    </row>
    <row r="203" spans="2:15">
      <c r="B203"/>
      <c r="C203"/>
      <c r="D203"/>
      <c r="E203"/>
      <c r="F203"/>
      <c r="G203"/>
      <c r="H203"/>
      <c r="I203"/>
      <c r="J203"/>
      <c r="K203"/>
      <c r="L203"/>
      <c r="M203"/>
      <c r="N203"/>
      <c r="O203"/>
    </row>
    <row r="204" spans="2:15">
      <c r="B204"/>
      <c r="C204"/>
      <c r="D204"/>
      <c r="E204"/>
      <c r="F204"/>
      <c r="G204"/>
      <c r="H204"/>
      <c r="I204"/>
      <c r="J204"/>
      <c r="K204"/>
      <c r="L204"/>
      <c r="M204"/>
      <c r="N204"/>
      <c r="O204"/>
    </row>
    <row r="205" spans="2:15">
      <c r="B205"/>
      <c r="C205"/>
      <c r="D205"/>
      <c r="E205"/>
      <c r="F205"/>
      <c r="G205"/>
      <c r="H205"/>
      <c r="I205"/>
      <c r="J205"/>
      <c r="K205"/>
      <c r="L205"/>
      <c r="M205"/>
      <c r="N205"/>
      <c r="O205"/>
    </row>
    <row r="206" spans="2:15">
      <c r="B206"/>
      <c r="C206"/>
      <c r="D206"/>
      <c r="E206"/>
      <c r="F206"/>
      <c r="G206"/>
      <c r="H206"/>
      <c r="I206"/>
      <c r="J206"/>
      <c r="K206"/>
      <c r="L206"/>
      <c r="M206"/>
      <c r="N206"/>
      <c r="O206"/>
    </row>
    <row r="207" spans="2:15">
      <c r="B207"/>
      <c r="C207"/>
      <c r="D207"/>
      <c r="E207"/>
      <c r="F207"/>
      <c r="G207"/>
      <c r="H207"/>
      <c r="I207"/>
      <c r="J207"/>
      <c r="K207"/>
      <c r="L207"/>
      <c r="M207"/>
      <c r="N207"/>
      <c r="O207"/>
    </row>
    <row r="208" spans="2:15">
      <c r="B208"/>
      <c r="C208"/>
      <c r="D208"/>
      <c r="E208"/>
      <c r="F208"/>
      <c r="G208"/>
      <c r="H208"/>
      <c r="I208"/>
      <c r="J208"/>
      <c r="K208"/>
      <c r="L208"/>
      <c r="M208"/>
      <c r="N208"/>
      <c r="O208"/>
    </row>
    <row r="209" spans="2:15">
      <c r="B209"/>
      <c r="C209"/>
      <c r="D209"/>
      <c r="E209"/>
      <c r="F209"/>
      <c r="G209"/>
      <c r="H209"/>
      <c r="I209"/>
      <c r="J209"/>
      <c r="K209"/>
      <c r="L209"/>
      <c r="M209"/>
      <c r="N209"/>
      <c r="O209"/>
    </row>
    <row r="210" spans="2:15">
      <c r="B210"/>
      <c r="C210"/>
      <c r="D210"/>
      <c r="E210"/>
      <c r="F210"/>
      <c r="G210"/>
      <c r="H210"/>
      <c r="I210"/>
      <c r="J210"/>
      <c r="K210"/>
      <c r="L210"/>
      <c r="M210"/>
      <c r="N210"/>
      <c r="O210"/>
    </row>
    <row r="211" spans="2:15">
      <c r="B211"/>
      <c r="C211"/>
      <c r="D211"/>
      <c r="E211"/>
      <c r="F211"/>
      <c r="G211"/>
      <c r="H211"/>
      <c r="I211"/>
      <c r="J211"/>
      <c r="K211"/>
      <c r="L211"/>
      <c r="M211"/>
      <c r="N211"/>
      <c r="O211"/>
    </row>
    <row r="212" spans="2:15">
      <c r="B212"/>
      <c r="C212"/>
      <c r="D212"/>
      <c r="E212"/>
      <c r="F212"/>
      <c r="G212"/>
      <c r="H212"/>
      <c r="I212"/>
      <c r="J212"/>
      <c r="K212"/>
      <c r="L212"/>
      <c r="M212"/>
      <c r="N212"/>
      <c r="O212"/>
    </row>
    <row r="213" spans="2:15">
      <c r="B213"/>
      <c r="C213"/>
      <c r="D213"/>
      <c r="E213"/>
      <c r="F213"/>
      <c r="G213"/>
      <c r="H213"/>
      <c r="I213"/>
      <c r="J213"/>
      <c r="K213"/>
      <c r="L213"/>
      <c r="M213"/>
      <c r="N213"/>
      <c r="O213"/>
    </row>
    <row r="214" spans="2:15">
      <c r="B214"/>
      <c r="C214"/>
      <c r="D214"/>
      <c r="E214"/>
      <c r="F214"/>
      <c r="G214"/>
      <c r="H214"/>
      <c r="I214"/>
      <c r="J214"/>
      <c r="K214"/>
      <c r="L214"/>
      <c r="M214"/>
      <c r="N214"/>
      <c r="O214"/>
    </row>
    <row r="215" spans="2:15">
      <c r="B215"/>
      <c r="C215"/>
      <c r="D215"/>
      <c r="E215"/>
      <c r="F215"/>
      <c r="G215"/>
      <c r="H215"/>
      <c r="I215"/>
      <c r="J215"/>
      <c r="K215"/>
      <c r="L215"/>
      <c r="M215"/>
      <c r="N215"/>
      <c r="O215"/>
    </row>
    <row r="216" spans="2:15">
      <c r="B216"/>
      <c r="C216"/>
      <c r="D216"/>
      <c r="E216"/>
      <c r="F216"/>
      <c r="G216"/>
      <c r="H216"/>
      <c r="I216"/>
      <c r="J216"/>
      <c r="K216"/>
      <c r="L216"/>
      <c r="M216"/>
      <c r="N216"/>
      <c r="O216"/>
    </row>
    <row r="217" spans="2:15">
      <c r="B217"/>
      <c r="C217"/>
      <c r="D217"/>
      <c r="E217"/>
      <c r="F217"/>
      <c r="G217"/>
      <c r="H217"/>
      <c r="I217"/>
      <c r="J217"/>
      <c r="K217"/>
      <c r="L217"/>
      <c r="M217"/>
      <c r="N217"/>
      <c r="O217"/>
    </row>
    <row r="218" spans="2:15">
      <c r="B218"/>
      <c r="C218"/>
      <c r="D218"/>
      <c r="E218"/>
      <c r="F218"/>
      <c r="G218"/>
      <c r="H218"/>
      <c r="I218"/>
      <c r="J218"/>
      <c r="K218"/>
      <c r="L218"/>
      <c r="M218"/>
      <c r="N218"/>
      <c r="O218"/>
    </row>
    <row r="219" spans="2:15">
      <c r="B219"/>
      <c r="C219"/>
      <c r="D219"/>
      <c r="E219"/>
      <c r="F219"/>
      <c r="G219"/>
      <c r="H219"/>
      <c r="I219"/>
      <c r="J219"/>
      <c r="K219"/>
      <c r="L219"/>
      <c r="M219"/>
      <c r="N219"/>
      <c r="O219"/>
    </row>
    <row r="220" spans="2:15">
      <c r="B220"/>
      <c r="C220"/>
      <c r="D220"/>
      <c r="E220"/>
      <c r="F220"/>
      <c r="G220"/>
      <c r="H220"/>
      <c r="I220"/>
      <c r="J220"/>
      <c r="K220"/>
      <c r="L220"/>
      <c r="M220"/>
      <c r="N220"/>
      <c r="O220"/>
    </row>
    <row r="221" spans="2:15">
      <c r="B221"/>
      <c r="C221"/>
      <c r="D221"/>
      <c r="E221"/>
      <c r="F221"/>
      <c r="G221"/>
      <c r="H221"/>
      <c r="I221"/>
      <c r="J221"/>
      <c r="K221"/>
      <c r="L221"/>
      <c r="M221"/>
      <c r="N221"/>
      <c r="O221"/>
    </row>
    <row r="222" spans="2:15">
      <c r="B222"/>
      <c r="C222"/>
      <c r="D222"/>
      <c r="E222"/>
      <c r="F222"/>
      <c r="G222"/>
      <c r="H222"/>
      <c r="I222"/>
      <c r="J222"/>
      <c r="K222"/>
      <c r="L222"/>
      <c r="M222"/>
      <c r="N222"/>
      <c r="O222"/>
    </row>
    <row r="223" spans="2:15">
      <c r="B223"/>
      <c r="C223"/>
      <c r="D223"/>
      <c r="E223"/>
      <c r="F223"/>
      <c r="G223"/>
      <c r="H223"/>
      <c r="I223"/>
      <c r="J223"/>
      <c r="K223"/>
      <c r="L223"/>
      <c r="M223"/>
      <c r="N223"/>
      <c r="O223"/>
    </row>
    <row r="224" spans="2:15">
      <c r="B224"/>
      <c r="C224"/>
      <c r="D224"/>
      <c r="E224"/>
      <c r="F224"/>
      <c r="G224"/>
      <c r="H224"/>
      <c r="I224"/>
      <c r="J224"/>
      <c r="K224"/>
      <c r="L224"/>
      <c r="M224"/>
      <c r="N224"/>
      <c r="O224"/>
    </row>
    <row r="225" spans="2:15">
      <c r="B225"/>
      <c r="C225"/>
      <c r="D225"/>
      <c r="E225"/>
      <c r="F225"/>
      <c r="G225"/>
      <c r="H225"/>
      <c r="I225"/>
      <c r="J225"/>
      <c r="K225"/>
      <c r="L225"/>
      <c r="M225"/>
      <c r="N225"/>
      <c r="O225"/>
    </row>
    <row r="226" spans="2:15">
      <c r="B226"/>
      <c r="C226"/>
      <c r="D226"/>
      <c r="E226"/>
      <c r="F226"/>
      <c r="G226"/>
      <c r="H226"/>
      <c r="I226"/>
      <c r="J226"/>
      <c r="K226"/>
      <c r="L226"/>
      <c r="M226"/>
      <c r="N226"/>
      <c r="O226"/>
    </row>
    <row r="227" spans="2:15">
      <c r="B227"/>
      <c r="C227"/>
      <c r="D227"/>
      <c r="E227"/>
      <c r="F227"/>
      <c r="G227"/>
      <c r="H227"/>
      <c r="I227"/>
      <c r="J227"/>
      <c r="K227"/>
      <c r="L227"/>
      <c r="M227"/>
      <c r="N227"/>
      <c r="O227"/>
    </row>
    <row r="228" spans="2:15">
      <c r="B228"/>
      <c r="C228"/>
      <c r="D228"/>
      <c r="E228"/>
      <c r="F228"/>
      <c r="G228"/>
      <c r="H228"/>
      <c r="I228"/>
      <c r="J228"/>
      <c r="K228"/>
      <c r="L228"/>
      <c r="M228"/>
      <c r="N228"/>
      <c r="O228"/>
    </row>
    <row r="229" spans="2:15">
      <c r="B229"/>
      <c r="C229"/>
      <c r="D229"/>
      <c r="E229"/>
      <c r="F229"/>
      <c r="G229"/>
      <c r="H229"/>
      <c r="I229"/>
      <c r="J229"/>
      <c r="K229"/>
      <c r="L229"/>
      <c r="M229"/>
      <c r="N229"/>
      <c r="O229"/>
    </row>
    <row r="230" spans="2:15">
      <c r="B230"/>
      <c r="C230"/>
      <c r="D230"/>
      <c r="E230"/>
      <c r="F230"/>
      <c r="G230"/>
      <c r="H230"/>
      <c r="I230"/>
      <c r="J230"/>
      <c r="K230"/>
      <c r="L230"/>
      <c r="M230"/>
      <c r="N230"/>
      <c r="O230"/>
    </row>
    <row r="231" spans="2:15">
      <c r="B231"/>
      <c r="C231"/>
      <c r="D231"/>
      <c r="E231"/>
      <c r="F231"/>
      <c r="G231"/>
      <c r="H231"/>
      <c r="I231"/>
      <c r="J231"/>
      <c r="K231"/>
      <c r="L231"/>
      <c r="M231"/>
      <c r="N231"/>
      <c r="O231"/>
    </row>
    <row r="232" spans="2:15">
      <c r="B232"/>
      <c r="C232"/>
      <c r="D232"/>
      <c r="E232"/>
      <c r="F232"/>
      <c r="G232"/>
      <c r="H232"/>
      <c r="I232"/>
      <c r="J232"/>
      <c r="K232"/>
      <c r="L232"/>
      <c r="M232"/>
      <c r="N232"/>
      <c r="O232"/>
    </row>
    <row r="233" spans="2:15">
      <c r="B233"/>
      <c r="C233"/>
      <c r="D233"/>
      <c r="E233"/>
      <c r="F233"/>
      <c r="G233"/>
      <c r="H233"/>
      <c r="I233"/>
      <c r="J233"/>
      <c r="K233"/>
      <c r="L233"/>
      <c r="M233"/>
      <c r="N233"/>
      <c r="O233"/>
    </row>
    <row r="234" spans="2:15">
      <c r="B234"/>
      <c r="C234"/>
      <c r="D234"/>
      <c r="E234"/>
      <c r="F234"/>
      <c r="G234"/>
      <c r="H234"/>
      <c r="I234"/>
      <c r="J234"/>
      <c r="K234"/>
      <c r="L234"/>
      <c r="M234"/>
      <c r="N234"/>
      <c r="O234"/>
    </row>
    <row r="235" spans="2:15">
      <c r="B235"/>
      <c r="C235"/>
      <c r="D235"/>
      <c r="E235"/>
      <c r="F235"/>
      <c r="G235"/>
      <c r="H235"/>
      <c r="I235"/>
      <c r="J235"/>
      <c r="K235"/>
      <c r="L235"/>
      <c r="M235"/>
      <c r="N235"/>
      <c r="O235"/>
    </row>
    <row r="236" spans="2:15">
      <c r="B236"/>
      <c r="C236"/>
      <c r="D236"/>
      <c r="E236"/>
      <c r="F236"/>
      <c r="G236"/>
      <c r="H236"/>
      <c r="I236"/>
      <c r="J236"/>
      <c r="K236"/>
      <c r="L236"/>
      <c r="M236"/>
      <c r="N236"/>
      <c r="O236"/>
    </row>
    <row r="237" spans="2:15">
      <c r="B237"/>
      <c r="C237"/>
      <c r="D237"/>
      <c r="E237"/>
      <c r="F237"/>
      <c r="G237"/>
      <c r="H237"/>
      <c r="I237"/>
      <c r="J237"/>
      <c r="K237"/>
      <c r="L237"/>
      <c r="M237"/>
      <c r="N237"/>
      <c r="O237"/>
    </row>
    <row r="238" spans="2:15">
      <c r="B238"/>
      <c r="C238"/>
      <c r="D238"/>
      <c r="E238"/>
      <c r="F238"/>
      <c r="G238"/>
      <c r="H238"/>
      <c r="I238"/>
      <c r="J238"/>
      <c r="K238"/>
      <c r="L238"/>
      <c r="M238"/>
      <c r="N238"/>
      <c r="O238"/>
    </row>
    <row r="239" spans="2:15">
      <c r="B239"/>
      <c r="C239"/>
      <c r="D239"/>
      <c r="E239"/>
      <c r="F239"/>
      <c r="G239"/>
      <c r="H239"/>
      <c r="I239"/>
      <c r="J239"/>
      <c r="K239"/>
      <c r="L239"/>
      <c r="M239"/>
      <c r="N239"/>
      <c r="O239"/>
    </row>
    <row r="240" spans="2:15">
      <c r="B240"/>
      <c r="C240"/>
      <c r="D240"/>
      <c r="E240"/>
      <c r="F240"/>
      <c r="G240"/>
      <c r="H240"/>
      <c r="I240"/>
      <c r="J240"/>
      <c r="K240"/>
      <c r="L240"/>
      <c r="M240"/>
      <c r="N240"/>
      <c r="O240"/>
    </row>
    <row r="241" spans="2:15">
      <c r="B241"/>
      <c r="C241"/>
      <c r="D241"/>
      <c r="E241"/>
      <c r="F241"/>
      <c r="G241"/>
      <c r="H241"/>
      <c r="I241"/>
      <c r="J241"/>
      <c r="K241"/>
      <c r="L241"/>
      <c r="M241"/>
      <c r="N241"/>
      <c r="O241"/>
    </row>
    <row r="242" spans="2:15">
      <c r="B242"/>
      <c r="C242"/>
      <c r="D242"/>
      <c r="E242"/>
      <c r="F242"/>
      <c r="G242"/>
      <c r="H242"/>
      <c r="I242"/>
      <c r="J242"/>
      <c r="K242"/>
      <c r="L242"/>
      <c r="M242"/>
      <c r="N242"/>
      <c r="O242"/>
    </row>
    <row r="243" spans="2:15">
      <c r="B243"/>
      <c r="C243"/>
      <c r="D243"/>
      <c r="E243"/>
      <c r="F243"/>
      <c r="G243"/>
      <c r="H243"/>
      <c r="I243"/>
      <c r="J243"/>
      <c r="K243"/>
      <c r="L243"/>
      <c r="M243"/>
      <c r="N243"/>
      <c r="O243"/>
    </row>
    <row r="244" spans="2:15">
      <c r="B244"/>
      <c r="C244"/>
      <c r="D244"/>
      <c r="E244"/>
      <c r="F244"/>
      <c r="G244"/>
      <c r="H244"/>
      <c r="I244"/>
      <c r="J244"/>
      <c r="K244"/>
      <c r="L244"/>
      <c r="M244"/>
      <c r="N244"/>
      <c r="O244"/>
    </row>
    <row r="245" spans="2:15">
      <c r="B245"/>
      <c r="C245"/>
      <c r="D245"/>
      <c r="E245"/>
      <c r="F245"/>
      <c r="G245"/>
      <c r="H245"/>
      <c r="I245"/>
      <c r="J245"/>
      <c r="K245"/>
      <c r="L245"/>
      <c r="M245"/>
      <c r="N245"/>
      <c r="O245"/>
    </row>
    <row r="246" spans="2:15">
      <c r="B246"/>
      <c r="C246"/>
      <c r="D246"/>
      <c r="E246"/>
      <c r="F246"/>
      <c r="G246"/>
      <c r="H246"/>
      <c r="I246"/>
      <c r="J246"/>
      <c r="K246"/>
      <c r="L246"/>
      <c r="M246"/>
      <c r="N246"/>
      <c r="O246"/>
    </row>
    <row r="247" spans="2:15">
      <c r="B247"/>
      <c r="C247"/>
      <c r="D247"/>
      <c r="E247"/>
      <c r="F247"/>
      <c r="G247"/>
      <c r="H247"/>
      <c r="I247"/>
      <c r="J247"/>
      <c r="K247"/>
      <c r="L247"/>
      <c r="M247"/>
      <c r="N247"/>
      <c r="O247"/>
    </row>
    <row r="248" spans="2:15">
      <c r="B248"/>
      <c r="C248"/>
      <c r="D248"/>
      <c r="E248"/>
      <c r="F248"/>
      <c r="G248"/>
      <c r="H248"/>
      <c r="I248"/>
      <c r="J248"/>
      <c r="K248"/>
      <c r="L248"/>
      <c r="M248"/>
      <c r="N248"/>
      <c r="O248"/>
    </row>
    <row r="249" spans="2:15">
      <c r="B249"/>
      <c r="C249"/>
      <c r="D249"/>
      <c r="E249"/>
      <c r="F249"/>
      <c r="G249"/>
      <c r="H249"/>
      <c r="I249"/>
      <c r="J249"/>
      <c r="K249"/>
      <c r="L249"/>
      <c r="M249"/>
      <c r="N249"/>
      <c r="O249"/>
    </row>
    <row r="250" spans="2:15">
      <c r="B250"/>
      <c r="C250"/>
      <c r="D250"/>
      <c r="E250"/>
      <c r="F250"/>
      <c r="G250"/>
      <c r="H250"/>
      <c r="I250"/>
      <c r="J250"/>
      <c r="K250"/>
      <c r="L250"/>
      <c r="M250"/>
      <c r="N250"/>
      <c r="O250"/>
    </row>
    <row r="251" spans="2:15">
      <c r="B251"/>
      <c r="C251"/>
      <c r="D251"/>
      <c r="E251"/>
      <c r="F251"/>
      <c r="G251"/>
      <c r="H251"/>
      <c r="I251"/>
      <c r="J251"/>
      <c r="K251"/>
      <c r="L251"/>
      <c r="M251"/>
      <c r="N251"/>
      <c r="O251"/>
    </row>
    <row r="252" spans="2:15">
      <c r="B252"/>
      <c r="C252"/>
      <c r="D252"/>
      <c r="E252"/>
      <c r="F252"/>
      <c r="G252"/>
      <c r="H252"/>
      <c r="I252"/>
      <c r="J252"/>
      <c r="K252"/>
      <c r="L252"/>
      <c r="M252"/>
      <c r="N252"/>
      <c r="O252"/>
    </row>
    <row r="253" spans="2:15">
      <c r="B253"/>
      <c r="C253"/>
      <c r="D253"/>
      <c r="E253"/>
      <c r="F253"/>
      <c r="G253"/>
      <c r="H253"/>
      <c r="I253"/>
      <c r="J253"/>
      <c r="K253"/>
      <c r="L253"/>
      <c r="M253"/>
      <c r="N253"/>
      <c r="O253"/>
    </row>
    <row r="254" spans="2:15">
      <c r="B254"/>
      <c r="C254"/>
      <c r="D254"/>
      <c r="E254"/>
      <c r="F254"/>
      <c r="G254"/>
      <c r="H254"/>
      <c r="I254"/>
      <c r="J254"/>
      <c r="K254"/>
      <c r="L254"/>
      <c r="M254"/>
      <c r="N254"/>
      <c r="O254"/>
    </row>
    <row r="255" spans="2:15">
      <c r="B255"/>
      <c r="C255"/>
      <c r="D255"/>
      <c r="E255"/>
      <c r="F255"/>
      <c r="G255"/>
      <c r="H255"/>
      <c r="I255"/>
      <c r="J255"/>
      <c r="K255"/>
      <c r="L255"/>
      <c r="M255"/>
      <c r="N255"/>
      <c r="O255"/>
    </row>
    <row r="256" spans="2:15">
      <c r="B256"/>
      <c r="C256"/>
      <c r="D256"/>
      <c r="E256"/>
      <c r="F256"/>
      <c r="G256"/>
      <c r="H256"/>
      <c r="I256"/>
      <c r="J256"/>
      <c r="K256"/>
      <c r="L256"/>
      <c r="M256"/>
      <c r="N256"/>
      <c r="O256"/>
    </row>
    <row r="257" spans="2:15">
      <c r="B257"/>
      <c r="C257"/>
      <c r="D257"/>
      <c r="E257"/>
      <c r="F257"/>
      <c r="G257"/>
      <c r="H257"/>
      <c r="I257"/>
      <c r="J257"/>
      <c r="K257"/>
      <c r="L257"/>
      <c r="M257"/>
      <c r="N257"/>
      <c r="O257"/>
    </row>
    <row r="258" spans="2:15">
      <c r="B258"/>
      <c r="C258"/>
      <c r="D258"/>
      <c r="E258"/>
      <c r="F258"/>
      <c r="G258"/>
      <c r="H258"/>
      <c r="I258"/>
      <c r="J258"/>
      <c r="K258"/>
      <c r="L258"/>
      <c r="M258"/>
      <c r="N258"/>
      <c r="O258"/>
    </row>
    <row r="259" spans="2:15">
      <c r="B259"/>
      <c r="C259"/>
      <c r="D259"/>
      <c r="E259"/>
      <c r="F259"/>
      <c r="G259"/>
      <c r="H259"/>
      <c r="I259"/>
      <c r="J259"/>
      <c r="K259"/>
      <c r="L259"/>
      <c r="M259"/>
      <c r="N259"/>
      <c r="O259"/>
    </row>
    <row r="260" spans="2:15">
      <c r="B260"/>
      <c r="C260"/>
      <c r="D260"/>
      <c r="E260"/>
      <c r="F260"/>
      <c r="G260"/>
      <c r="H260"/>
      <c r="I260"/>
      <c r="J260"/>
      <c r="K260"/>
      <c r="L260"/>
      <c r="M260"/>
      <c r="N260"/>
      <c r="O260"/>
    </row>
    <row r="261" spans="2:15">
      <c r="B261"/>
      <c r="C261"/>
      <c r="D261"/>
      <c r="E261"/>
      <c r="F261"/>
      <c r="G261"/>
      <c r="H261"/>
      <c r="I261"/>
      <c r="J261"/>
      <c r="K261"/>
      <c r="L261"/>
      <c r="M261"/>
      <c r="N261"/>
      <c r="O261"/>
    </row>
    <row r="262" spans="2:15">
      <c r="B262"/>
      <c r="C262"/>
      <c r="D262"/>
      <c r="E262"/>
      <c r="F262"/>
      <c r="G262"/>
      <c r="H262"/>
      <c r="I262"/>
      <c r="J262"/>
      <c r="K262"/>
      <c r="L262"/>
      <c r="M262"/>
      <c r="N262"/>
      <c r="O262"/>
    </row>
    <row r="263" spans="2:15">
      <c r="B263"/>
      <c r="C263"/>
      <c r="D263"/>
      <c r="E263"/>
      <c r="F263"/>
      <c r="G263"/>
      <c r="H263"/>
      <c r="I263"/>
      <c r="J263"/>
      <c r="K263"/>
      <c r="L263"/>
      <c r="M263"/>
      <c r="N263"/>
      <c r="O263"/>
    </row>
    <row r="264" spans="2:15">
      <c r="B264"/>
      <c r="C264"/>
      <c r="D264"/>
      <c r="E264"/>
      <c r="F264"/>
      <c r="G264"/>
      <c r="H264"/>
      <c r="I264"/>
      <c r="J264"/>
      <c r="K264"/>
      <c r="L264"/>
      <c r="M264"/>
      <c r="N264"/>
      <c r="O264"/>
    </row>
    <row r="265" spans="2:15">
      <c r="B265"/>
      <c r="C265"/>
      <c r="D265"/>
      <c r="E265"/>
      <c r="F265"/>
      <c r="G265"/>
      <c r="H265"/>
      <c r="I265"/>
      <c r="J265"/>
      <c r="K265"/>
      <c r="L265"/>
      <c r="M265"/>
      <c r="N265"/>
      <c r="O265"/>
    </row>
    <row r="266" spans="2:15">
      <c r="B266"/>
      <c r="C266"/>
      <c r="D266"/>
      <c r="E266"/>
      <c r="F266"/>
      <c r="G266"/>
      <c r="H266"/>
      <c r="I266"/>
      <c r="J266"/>
      <c r="K266"/>
      <c r="L266"/>
      <c r="M266"/>
      <c r="N266"/>
      <c r="O266"/>
    </row>
    <row r="267" spans="2:15">
      <c r="B267"/>
      <c r="C267"/>
      <c r="D267"/>
      <c r="E267"/>
      <c r="F267"/>
      <c r="G267"/>
      <c r="H267"/>
      <c r="I267"/>
      <c r="J267"/>
      <c r="K267"/>
      <c r="L267"/>
      <c r="M267"/>
      <c r="N267"/>
      <c r="O267"/>
    </row>
    <row r="268" spans="2:15">
      <c r="B268"/>
      <c r="C268"/>
      <c r="D268"/>
      <c r="E268"/>
      <c r="F268"/>
      <c r="G268"/>
      <c r="H268"/>
      <c r="I268"/>
      <c r="J268"/>
      <c r="K268"/>
      <c r="L268"/>
      <c r="M268"/>
      <c r="N268"/>
      <c r="O268"/>
    </row>
    <row r="269" spans="2:15">
      <c r="B269"/>
      <c r="C269"/>
      <c r="D269"/>
      <c r="E269"/>
      <c r="F269"/>
      <c r="G269"/>
      <c r="H269"/>
      <c r="I269"/>
      <c r="J269"/>
      <c r="K269"/>
      <c r="L269"/>
      <c r="M269"/>
      <c r="N269"/>
      <c r="O269"/>
    </row>
    <row r="270" spans="2:15">
      <c r="B270"/>
      <c r="C270"/>
      <c r="D270"/>
      <c r="E270"/>
      <c r="F270"/>
      <c r="G270"/>
      <c r="H270"/>
      <c r="I270"/>
      <c r="J270"/>
      <c r="K270"/>
      <c r="L270"/>
      <c r="M270"/>
      <c r="N270"/>
      <c r="O270"/>
    </row>
    <row r="271" spans="2:15">
      <c r="B271"/>
      <c r="C271"/>
      <c r="D271"/>
      <c r="E271"/>
      <c r="F271"/>
      <c r="G271"/>
      <c r="H271"/>
      <c r="I271"/>
      <c r="J271"/>
      <c r="K271"/>
      <c r="L271"/>
      <c r="M271"/>
      <c r="N271"/>
      <c r="O271"/>
    </row>
    <row r="272" spans="2:15">
      <c r="B272"/>
      <c r="C272"/>
      <c r="D272"/>
      <c r="E272"/>
      <c r="F272"/>
      <c r="G272"/>
      <c r="H272"/>
      <c r="I272"/>
      <c r="J272"/>
      <c r="K272"/>
      <c r="L272"/>
      <c r="M272"/>
      <c r="N272"/>
      <c r="O272"/>
    </row>
    <row r="273" spans="2:15">
      <c r="B273"/>
      <c r="C273"/>
      <c r="D273"/>
      <c r="E273"/>
      <c r="F273"/>
      <c r="G273"/>
      <c r="H273"/>
      <c r="I273"/>
      <c r="J273"/>
      <c r="K273"/>
      <c r="L273"/>
      <c r="M273"/>
      <c r="N273"/>
      <c r="O273"/>
    </row>
    <row r="274" spans="2:15">
      <c r="B274"/>
      <c r="C274"/>
      <c r="D274"/>
      <c r="E274"/>
      <c r="F274"/>
      <c r="G274"/>
      <c r="H274"/>
      <c r="I274"/>
      <c r="J274"/>
      <c r="K274"/>
      <c r="L274"/>
      <c r="M274"/>
      <c r="N274"/>
      <c r="O274"/>
    </row>
    <row r="275" spans="2:15">
      <c r="B275"/>
      <c r="C275"/>
      <c r="D275"/>
      <c r="E275"/>
      <c r="F275"/>
      <c r="G275"/>
      <c r="H275"/>
      <c r="I275"/>
      <c r="J275"/>
      <c r="K275"/>
      <c r="L275"/>
      <c r="M275"/>
      <c r="N275"/>
      <c r="O275"/>
    </row>
    <row r="276" spans="2:15">
      <c r="B276"/>
      <c r="C276"/>
      <c r="D276"/>
      <c r="E276"/>
      <c r="F276"/>
      <c r="G276"/>
      <c r="H276"/>
      <c r="I276"/>
      <c r="J276"/>
      <c r="K276"/>
      <c r="L276"/>
      <c r="M276"/>
      <c r="N276"/>
      <c r="O276"/>
    </row>
    <row r="277" spans="2:15">
      <c r="B277"/>
      <c r="C277"/>
      <c r="D277"/>
      <c r="E277"/>
      <c r="F277"/>
      <c r="G277"/>
      <c r="H277"/>
      <c r="I277"/>
      <c r="J277"/>
      <c r="K277"/>
      <c r="L277"/>
      <c r="M277"/>
      <c r="N277"/>
      <c r="O277"/>
    </row>
    <row r="278" spans="2:15">
      <c r="B278"/>
      <c r="C278"/>
      <c r="D278"/>
      <c r="E278"/>
      <c r="F278"/>
      <c r="G278"/>
      <c r="H278"/>
      <c r="I278"/>
      <c r="J278"/>
      <c r="K278"/>
      <c r="L278"/>
      <c r="M278"/>
      <c r="N278"/>
      <c r="O278"/>
    </row>
    <row r="279" spans="2:15">
      <c r="B279"/>
      <c r="C279"/>
      <c r="D279"/>
      <c r="E279"/>
      <c r="F279"/>
      <c r="G279"/>
      <c r="H279"/>
      <c r="I279"/>
      <c r="J279"/>
      <c r="K279"/>
      <c r="L279"/>
      <c r="M279"/>
      <c r="N279"/>
      <c r="O279"/>
    </row>
    <row r="280" spans="2:15">
      <c r="B280"/>
      <c r="C280"/>
      <c r="D280"/>
      <c r="E280"/>
      <c r="F280"/>
      <c r="G280"/>
      <c r="H280"/>
      <c r="I280"/>
      <c r="J280"/>
      <c r="K280"/>
      <c r="L280"/>
      <c r="M280"/>
      <c r="N280"/>
      <c r="O280"/>
    </row>
    <row r="281" spans="2:15">
      <c r="B281"/>
      <c r="C281"/>
      <c r="D281"/>
      <c r="E281"/>
      <c r="F281"/>
      <c r="G281"/>
      <c r="H281"/>
      <c r="I281"/>
      <c r="J281"/>
      <c r="K281"/>
      <c r="L281"/>
      <c r="M281"/>
      <c r="N281"/>
      <c r="O281"/>
    </row>
    <row r="282" spans="2:15">
      <c r="B282"/>
      <c r="C282"/>
      <c r="D282"/>
      <c r="E282"/>
      <c r="F282"/>
      <c r="G282"/>
      <c r="H282"/>
      <c r="I282"/>
      <c r="J282"/>
      <c r="K282"/>
      <c r="L282"/>
      <c r="M282"/>
      <c r="N282"/>
      <c r="O282"/>
    </row>
    <row r="283" spans="2:15">
      <c r="B283"/>
      <c r="C283"/>
      <c r="D283"/>
      <c r="E283"/>
      <c r="F283"/>
      <c r="G283"/>
      <c r="H283"/>
      <c r="I283"/>
      <c r="J283"/>
      <c r="K283"/>
      <c r="L283"/>
      <c r="M283"/>
      <c r="N283"/>
      <c r="O283"/>
    </row>
    <row r="284" spans="2:15">
      <c r="B284"/>
      <c r="C284"/>
      <c r="D284"/>
      <c r="E284"/>
      <c r="F284"/>
      <c r="G284"/>
      <c r="H284"/>
      <c r="I284"/>
      <c r="J284"/>
      <c r="K284"/>
      <c r="L284"/>
      <c r="M284"/>
      <c r="N284"/>
      <c r="O284"/>
    </row>
    <row r="285" spans="2:15">
      <c r="B285"/>
      <c r="C285"/>
      <c r="D285"/>
      <c r="E285"/>
      <c r="F285"/>
      <c r="G285"/>
      <c r="H285"/>
      <c r="I285"/>
      <c r="J285"/>
      <c r="K285"/>
      <c r="L285"/>
      <c r="M285"/>
      <c r="N285"/>
      <c r="O285"/>
    </row>
    <row r="286" spans="2:15">
      <c r="B286"/>
      <c r="C286"/>
      <c r="D286"/>
      <c r="E286"/>
      <c r="F286"/>
      <c r="G286"/>
      <c r="H286"/>
      <c r="I286"/>
      <c r="J286"/>
      <c r="K286"/>
      <c r="L286"/>
      <c r="M286"/>
      <c r="N286"/>
      <c r="O286"/>
    </row>
    <row r="287" spans="2:15">
      <c r="B287"/>
      <c r="C287"/>
      <c r="D287"/>
      <c r="E287"/>
      <c r="F287"/>
      <c r="G287"/>
      <c r="H287"/>
      <c r="I287"/>
      <c r="J287"/>
      <c r="K287"/>
      <c r="L287"/>
      <c r="M287"/>
      <c r="N287"/>
      <c r="O287"/>
    </row>
    <row r="288" spans="2:15">
      <c r="B288"/>
      <c r="C288"/>
      <c r="D288"/>
      <c r="E288"/>
      <c r="F288"/>
      <c r="G288"/>
      <c r="H288"/>
      <c r="I288"/>
      <c r="J288"/>
      <c r="K288"/>
      <c r="L288"/>
      <c r="M288"/>
      <c r="N288"/>
      <c r="O288"/>
    </row>
    <row r="289" spans="2:15">
      <c r="B289"/>
      <c r="C289"/>
      <c r="D289"/>
      <c r="E289"/>
      <c r="F289"/>
      <c r="G289"/>
      <c r="H289"/>
      <c r="I289"/>
      <c r="J289"/>
      <c r="K289"/>
      <c r="L289"/>
      <c r="M289"/>
      <c r="N289"/>
      <c r="O289"/>
    </row>
    <row r="290" spans="2:15">
      <c r="B290"/>
      <c r="C290"/>
      <c r="D290"/>
      <c r="E290"/>
      <c r="F290"/>
      <c r="G290"/>
      <c r="H290"/>
      <c r="I290"/>
      <c r="J290"/>
      <c r="K290"/>
      <c r="L290"/>
      <c r="M290"/>
      <c r="N290"/>
      <c r="O290"/>
    </row>
    <row r="291" spans="2:15">
      <c r="B291"/>
      <c r="C291"/>
      <c r="D291"/>
      <c r="E291"/>
      <c r="F291"/>
      <c r="G291"/>
      <c r="H291"/>
      <c r="I291"/>
      <c r="J291"/>
      <c r="K291"/>
      <c r="L291"/>
      <c r="M291"/>
      <c r="N291"/>
      <c r="O291"/>
    </row>
    <row r="292" spans="2:15">
      <c r="B292"/>
      <c r="C292"/>
      <c r="D292"/>
      <c r="E292"/>
      <c r="F292"/>
      <c r="G292"/>
      <c r="H292"/>
      <c r="I292"/>
      <c r="J292"/>
      <c r="K292"/>
      <c r="L292"/>
      <c r="M292"/>
      <c r="N292"/>
      <c r="O292"/>
    </row>
    <row r="293" spans="2:15">
      <c r="B293"/>
      <c r="C293"/>
      <c r="D293"/>
      <c r="E293"/>
      <c r="F293"/>
      <c r="G293"/>
      <c r="H293"/>
      <c r="I293"/>
      <c r="J293"/>
      <c r="K293"/>
      <c r="L293"/>
      <c r="M293"/>
      <c r="N293"/>
      <c r="O293"/>
    </row>
    <row r="294" spans="2:15">
      <c r="B294"/>
      <c r="C294"/>
      <c r="D294"/>
      <c r="E294"/>
      <c r="F294"/>
      <c r="G294"/>
      <c r="H294"/>
      <c r="I294"/>
      <c r="J294"/>
      <c r="K294"/>
      <c r="L294"/>
      <c r="M294"/>
      <c r="N294"/>
      <c r="O294"/>
    </row>
    <row r="295" spans="2:15">
      <c r="B295"/>
      <c r="C295"/>
      <c r="D295"/>
      <c r="E295"/>
      <c r="F295"/>
      <c r="G295"/>
      <c r="H295"/>
      <c r="I295"/>
      <c r="J295"/>
      <c r="K295"/>
      <c r="L295"/>
      <c r="M295"/>
      <c r="N295"/>
      <c r="O295"/>
    </row>
    <row r="296" spans="2:15">
      <c r="B296"/>
      <c r="C296"/>
      <c r="D296"/>
      <c r="E296"/>
      <c r="F296"/>
      <c r="G296"/>
      <c r="H296"/>
      <c r="I296"/>
      <c r="J296"/>
      <c r="K296"/>
      <c r="L296"/>
      <c r="M296"/>
      <c r="N296"/>
      <c r="O296"/>
    </row>
    <row r="297" spans="2:15">
      <c r="B297"/>
      <c r="C297"/>
      <c r="D297"/>
      <c r="E297"/>
      <c r="F297"/>
      <c r="G297"/>
      <c r="H297"/>
      <c r="I297"/>
      <c r="J297"/>
      <c r="K297"/>
      <c r="L297"/>
      <c r="M297"/>
      <c r="N297"/>
      <c r="O297"/>
    </row>
    <row r="298" spans="2:15">
      <c r="B298"/>
      <c r="C298"/>
      <c r="D298"/>
      <c r="E298"/>
      <c r="F298"/>
      <c r="G298"/>
      <c r="H298"/>
      <c r="I298"/>
      <c r="J298"/>
      <c r="K298"/>
      <c r="L298"/>
      <c r="M298"/>
      <c r="N298"/>
      <c r="O298"/>
    </row>
    <row r="299" spans="2:15">
      <c r="B299"/>
      <c r="C299"/>
      <c r="D299"/>
      <c r="E299"/>
      <c r="F299"/>
      <c r="G299"/>
      <c r="H299"/>
      <c r="I299"/>
      <c r="J299"/>
      <c r="K299"/>
      <c r="L299"/>
      <c r="M299"/>
      <c r="N299"/>
      <c r="O299"/>
    </row>
    <row r="300" spans="2:15">
      <c r="B300"/>
      <c r="C300"/>
      <c r="D300"/>
      <c r="E300"/>
      <c r="F300"/>
      <c r="G300"/>
      <c r="H300"/>
      <c r="I300"/>
      <c r="J300"/>
      <c r="K300"/>
      <c r="L300"/>
      <c r="M300"/>
      <c r="N300"/>
      <c r="O300"/>
    </row>
    <row r="301" spans="2:15">
      <c r="B301"/>
      <c r="C301"/>
      <c r="D301"/>
      <c r="E301"/>
      <c r="F301"/>
      <c r="G301"/>
      <c r="H301"/>
      <c r="I301"/>
      <c r="J301"/>
      <c r="K301"/>
      <c r="L301"/>
      <c r="M301"/>
      <c r="N301"/>
      <c r="O301"/>
    </row>
    <row r="302" spans="2:15">
      <c r="B302"/>
      <c r="C302"/>
      <c r="D302"/>
      <c r="E302"/>
      <c r="F302"/>
      <c r="G302"/>
      <c r="H302"/>
      <c r="I302"/>
      <c r="J302"/>
      <c r="K302"/>
      <c r="L302"/>
      <c r="M302"/>
      <c r="N302"/>
      <c r="O302"/>
    </row>
    <row r="303" spans="2:15">
      <c r="B303"/>
      <c r="C303"/>
      <c r="D303"/>
      <c r="E303"/>
      <c r="F303"/>
      <c r="G303"/>
      <c r="H303"/>
      <c r="I303"/>
      <c r="J303"/>
      <c r="K303"/>
      <c r="L303"/>
      <c r="M303"/>
      <c r="N303"/>
      <c r="O303"/>
    </row>
    <row r="304" spans="2:15">
      <c r="B304"/>
      <c r="C304"/>
      <c r="D304"/>
      <c r="E304"/>
      <c r="F304"/>
      <c r="G304"/>
      <c r="H304"/>
      <c r="I304"/>
      <c r="J304"/>
      <c r="K304"/>
      <c r="L304"/>
      <c r="M304"/>
      <c r="N304"/>
      <c r="O304"/>
    </row>
    <row r="305" spans="2:15">
      <c r="B305"/>
      <c r="C305"/>
      <c r="D305"/>
      <c r="E305"/>
      <c r="F305"/>
      <c r="G305"/>
      <c r="H305"/>
      <c r="I305"/>
      <c r="J305"/>
      <c r="K305"/>
      <c r="L305"/>
      <c r="M305"/>
      <c r="N305"/>
      <c r="O305"/>
    </row>
    <row r="306" spans="2:15">
      <c r="B306"/>
      <c r="C306"/>
      <c r="D306"/>
      <c r="E306"/>
      <c r="F306"/>
      <c r="G306"/>
      <c r="H306"/>
      <c r="I306"/>
      <c r="J306"/>
      <c r="K306"/>
      <c r="L306"/>
      <c r="M306"/>
      <c r="N306"/>
      <c r="O306"/>
    </row>
    <row r="307" spans="2:15">
      <c r="B307"/>
      <c r="C307"/>
      <c r="D307"/>
      <c r="E307"/>
      <c r="F307"/>
      <c r="G307"/>
      <c r="H307"/>
      <c r="I307"/>
      <c r="J307"/>
      <c r="K307"/>
      <c r="L307"/>
      <c r="M307"/>
      <c r="N307"/>
      <c r="O307"/>
    </row>
    <row r="308" spans="2:15">
      <c r="B308"/>
      <c r="C308"/>
      <c r="D308"/>
      <c r="E308"/>
      <c r="F308"/>
      <c r="G308"/>
      <c r="H308"/>
      <c r="I308"/>
      <c r="J308"/>
      <c r="K308"/>
      <c r="L308"/>
      <c r="M308"/>
      <c r="N308"/>
      <c r="O308"/>
    </row>
    <row r="309" spans="2:15">
      <c r="B309"/>
      <c r="C309"/>
      <c r="D309"/>
      <c r="E309"/>
      <c r="F309"/>
      <c r="G309"/>
      <c r="H309"/>
      <c r="I309"/>
      <c r="J309"/>
      <c r="K309"/>
      <c r="L309"/>
      <c r="M309"/>
      <c r="N309"/>
      <c r="O309"/>
    </row>
    <row r="310" spans="2:15">
      <c r="B310"/>
      <c r="C310"/>
      <c r="D310"/>
      <c r="E310"/>
      <c r="F310"/>
      <c r="G310"/>
      <c r="H310"/>
      <c r="I310"/>
      <c r="J310"/>
      <c r="K310"/>
      <c r="L310"/>
      <c r="M310"/>
      <c r="N310"/>
      <c r="O310"/>
    </row>
    <row r="311" spans="2:15">
      <c r="B311"/>
      <c r="C311"/>
      <c r="D311"/>
      <c r="E311"/>
      <c r="F311"/>
      <c r="G311"/>
      <c r="H311"/>
      <c r="I311"/>
      <c r="J311"/>
      <c r="K311"/>
      <c r="L311"/>
      <c r="M311"/>
      <c r="N311"/>
      <c r="O311"/>
    </row>
    <row r="312" spans="2:15">
      <c r="B312"/>
      <c r="C312"/>
      <c r="D312"/>
      <c r="E312"/>
      <c r="F312"/>
      <c r="G312"/>
      <c r="H312"/>
      <c r="I312"/>
      <c r="J312"/>
      <c r="K312"/>
      <c r="L312"/>
      <c r="M312"/>
      <c r="N312"/>
      <c r="O312"/>
    </row>
    <row r="313" spans="2:15">
      <c r="B313"/>
      <c r="C313"/>
      <c r="D313"/>
      <c r="E313"/>
      <c r="F313"/>
      <c r="G313"/>
      <c r="H313"/>
      <c r="I313"/>
      <c r="J313"/>
      <c r="K313"/>
      <c r="L313"/>
      <c r="M313"/>
      <c r="N313"/>
      <c r="O313"/>
    </row>
    <row r="314" spans="2:15">
      <c r="B314"/>
      <c r="C314"/>
      <c r="D314"/>
      <c r="E314"/>
      <c r="F314"/>
      <c r="G314"/>
      <c r="H314"/>
      <c r="I314"/>
      <c r="J314"/>
      <c r="K314"/>
      <c r="L314"/>
      <c r="M314"/>
      <c r="N314"/>
      <c r="O314"/>
    </row>
    <row r="315" spans="2:15">
      <c r="B315"/>
      <c r="C315"/>
      <c r="D315"/>
      <c r="E315"/>
      <c r="F315"/>
      <c r="G315"/>
      <c r="H315"/>
      <c r="I315"/>
      <c r="J315"/>
      <c r="K315"/>
      <c r="L315"/>
      <c r="M315"/>
      <c r="N315"/>
      <c r="O315"/>
    </row>
    <row r="316" spans="2:15">
      <c r="B316"/>
      <c r="C316"/>
      <c r="D316"/>
      <c r="E316"/>
      <c r="F316"/>
      <c r="G316"/>
      <c r="H316"/>
      <c r="I316"/>
      <c r="J316"/>
      <c r="K316"/>
      <c r="L316"/>
      <c r="M316"/>
      <c r="N316"/>
      <c r="O316"/>
    </row>
    <row r="317" spans="2:15">
      <c r="B317"/>
      <c r="C317"/>
      <c r="D317"/>
      <c r="E317"/>
      <c r="F317"/>
      <c r="G317"/>
      <c r="H317"/>
      <c r="I317"/>
      <c r="J317"/>
      <c r="K317"/>
      <c r="L317"/>
      <c r="M317"/>
      <c r="N317"/>
      <c r="O317"/>
    </row>
    <row r="318" spans="2:15">
      <c r="B318"/>
      <c r="C318"/>
      <c r="D318"/>
      <c r="E318"/>
      <c r="F318"/>
      <c r="G318"/>
      <c r="H318"/>
      <c r="I318"/>
      <c r="J318"/>
      <c r="K318"/>
      <c r="L318"/>
      <c r="M318"/>
      <c r="N318"/>
      <c r="O318"/>
    </row>
    <row r="319" spans="2:15">
      <c r="B319"/>
      <c r="C319"/>
      <c r="D319"/>
      <c r="E319"/>
      <c r="F319"/>
      <c r="G319"/>
      <c r="H319"/>
      <c r="I319"/>
      <c r="J319"/>
      <c r="K319"/>
      <c r="L319"/>
      <c r="M319"/>
      <c r="N319"/>
      <c r="O319"/>
    </row>
    <row r="320" spans="2:15">
      <c r="B320"/>
      <c r="C320"/>
      <c r="D320"/>
      <c r="E320"/>
      <c r="F320"/>
      <c r="G320"/>
      <c r="H320"/>
      <c r="I320"/>
      <c r="J320"/>
      <c r="K320"/>
      <c r="L320"/>
      <c r="M320"/>
      <c r="N320"/>
      <c r="O320"/>
    </row>
    <row r="321" spans="2:15">
      <c r="B321"/>
      <c r="C321"/>
      <c r="D321"/>
      <c r="E321"/>
      <c r="F321"/>
      <c r="G321"/>
      <c r="H321"/>
      <c r="I321"/>
      <c r="J321"/>
      <c r="K321"/>
      <c r="L321"/>
      <c r="M321"/>
      <c r="N321"/>
      <c r="O321"/>
    </row>
    <row r="322" spans="2:15">
      <c r="B322"/>
      <c r="C322"/>
      <c r="D322"/>
      <c r="E322"/>
      <c r="F322"/>
      <c r="G322"/>
      <c r="H322"/>
      <c r="I322"/>
      <c r="J322"/>
      <c r="K322"/>
      <c r="L322"/>
      <c r="M322"/>
      <c r="N322"/>
      <c r="O322"/>
    </row>
    <row r="323" spans="2:15">
      <c r="B323"/>
      <c r="C323"/>
      <c r="D323"/>
      <c r="E323"/>
      <c r="F323"/>
      <c r="G323"/>
      <c r="H323"/>
      <c r="I323"/>
      <c r="J323"/>
      <c r="K323"/>
      <c r="L323"/>
      <c r="M323"/>
      <c r="N323"/>
      <c r="O323"/>
    </row>
    <row r="324" spans="2:15">
      <c r="B324"/>
      <c r="C324"/>
      <c r="D324"/>
      <c r="E324"/>
      <c r="F324"/>
      <c r="G324"/>
      <c r="H324"/>
      <c r="I324"/>
      <c r="J324"/>
      <c r="K324"/>
      <c r="L324"/>
      <c r="M324"/>
      <c r="N324"/>
      <c r="O324"/>
    </row>
    <row r="325" spans="2:15">
      <c r="B325"/>
      <c r="C325"/>
      <c r="D325"/>
      <c r="E325"/>
      <c r="F325"/>
      <c r="G325"/>
      <c r="H325"/>
      <c r="I325"/>
      <c r="J325"/>
      <c r="K325"/>
      <c r="L325"/>
      <c r="M325"/>
      <c r="N325"/>
      <c r="O325"/>
    </row>
    <row r="326" spans="2:15">
      <c r="B326"/>
      <c r="C326"/>
      <c r="D326"/>
      <c r="E326"/>
      <c r="F326"/>
      <c r="G326"/>
      <c r="H326"/>
      <c r="I326"/>
      <c r="J326"/>
      <c r="K326"/>
      <c r="L326"/>
      <c r="M326"/>
      <c r="N326"/>
      <c r="O326"/>
    </row>
    <row r="327" spans="2:15">
      <c r="B327"/>
      <c r="C327"/>
      <c r="D327"/>
      <c r="E327"/>
      <c r="F327"/>
      <c r="G327"/>
      <c r="H327"/>
      <c r="I327"/>
      <c r="J327"/>
      <c r="K327"/>
      <c r="L327"/>
      <c r="M327"/>
      <c r="N327"/>
      <c r="O327"/>
    </row>
    <row r="328" spans="2:15">
      <c r="B328"/>
      <c r="C328"/>
      <c r="D328"/>
      <c r="E328"/>
      <c r="F328"/>
      <c r="G328"/>
      <c r="H328"/>
      <c r="I328"/>
      <c r="J328"/>
      <c r="K328"/>
      <c r="L328"/>
      <c r="M328"/>
      <c r="N328"/>
      <c r="O328"/>
    </row>
    <row r="329" spans="2:15">
      <c r="B329"/>
      <c r="C329"/>
      <c r="D329"/>
      <c r="E329"/>
      <c r="F329"/>
      <c r="G329"/>
      <c r="H329"/>
      <c r="I329"/>
      <c r="J329"/>
      <c r="K329"/>
      <c r="L329"/>
      <c r="M329"/>
      <c r="N329"/>
      <c r="O329"/>
    </row>
    <row r="330" spans="2:15">
      <c r="B330"/>
      <c r="C330"/>
      <c r="D330"/>
      <c r="E330"/>
      <c r="F330"/>
      <c r="G330"/>
      <c r="H330"/>
      <c r="I330"/>
      <c r="J330"/>
      <c r="K330"/>
      <c r="L330"/>
      <c r="M330"/>
      <c r="N330"/>
      <c r="O330"/>
    </row>
    <row r="331" spans="2:15">
      <c r="B331"/>
      <c r="C331"/>
      <c r="D331"/>
      <c r="E331"/>
      <c r="F331"/>
      <c r="G331"/>
      <c r="H331"/>
      <c r="I331"/>
      <c r="J331"/>
      <c r="K331"/>
      <c r="L331"/>
      <c r="M331"/>
      <c r="N331"/>
      <c r="O331"/>
    </row>
    <row r="332" spans="2:15">
      <c r="B332"/>
      <c r="C332"/>
      <c r="D332"/>
      <c r="E332"/>
      <c r="F332"/>
      <c r="G332"/>
      <c r="H332"/>
      <c r="I332"/>
      <c r="J332"/>
      <c r="K332"/>
      <c r="L332"/>
      <c r="M332"/>
      <c r="N332"/>
      <c r="O332"/>
    </row>
    <row r="333" spans="2:15">
      <c r="B333"/>
      <c r="C333"/>
      <c r="D333"/>
      <c r="E333"/>
      <c r="F333"/>
      <c r="G333"/>
      <c r="H333"/>
      <c r="I333"/>
      <c r="J333"/>
      <c r="K333"/>
      <c r="L333"/>
      <c r="M333"/>
      <c r="N333"/>
      <c r="O333"/>
    </row>
    <row r="334" spans="2:15">
      <c r="B334"/>
      <c r="C334"/>
      <c r="D334"/>
      <c r="E334"/>
      <c r="F334"/>
      <c r="G334"/>
      <c r="H334"/>
      <c r="I334"/>
      <c r="J334"/>
      <c r="K334"/>
      <c r="L334"/>
      <c r="M334"/>
      <c r="N334"/>
      <c r="O334"/>
    </row>
    <row r="335" spans="2:15">
      <c r="B335"/>
      <c r="C335"/>
      <c r="D335"/>
      <c r="E335"/>
      <c r="F335"/>
      <c r="G335"/>
      <c r="H335"/>
      <c r="I335"/>
      <c r="J335"/>
      <c r="K335"/>
      <c r="L335"/>
      <c r="M335"/>
      <c r="N335"/>
      <c r="O335"/>
    </row>
    <row r="336" spans="2:15">
      <c r="B336"/>
      <c r="C336"/>
      <c r="D336"/>
      <c r="E336"/>
      <c r="F336"/>
      <c r="G336"/>
      <c r="H336"/>
      <c r="I336"/>
      <c r="J336"/>
      <c r="K336"/>
      <c r="L336"/>
      <c r="M336"/>
      <c r="N336"/>
      <c r="O336"/>
    </row>
    <row r="337" spans="2:15">
      <c r="B337"/>
      <c r="C337"/>
      <c r="D337"/>
      <c r="E337"/>
      <c r="F337"/>
      <c r="G337"/>
      <c r="H337"/>
      <c r="I337"/>
      <c r="J337"/>
      <c r="K337"/>
      <c r="L337"/>
      <c r="M337"/>
      <c r="N337"/>
      <c r="O337"/>
    </row>
    <row r="338" spans="2:15">
      <c r="B338"/>
      <c r="C338"/>
      <c r="D338"/>
      <c r="E338"/>
      <c r="F338"/>
      <c r="G338"/>
      <c r="H338"/>
      <c r="I338"/>
      <c r="J338"/>
      <c r="K338"/>
      <c r="L338"/>
      <c r="M338"/>
      <c r="N338"/>
      <c r="O338"/>
    </row>
    <row r="339" spans="2:15">
      <c r="B339"/>
      <c r="C339"/>
      <c r="D339"/>
      <c r="E339"/>
      <c r="F339"/>
      <c r="G339"/>
      <c r="H339"/>
      <c r="I339"/>
      <c r="J339"/>
      <c r="K339"/>
      <c r="L339"/>
      <c r="M339"/>
      <c r="N339"/>
      <c r="O339"/>
    </row>
    <row r="340" spans="2:15">
      <c r="B340"/>
      <c r="C340"/>
      <c r="D340"/>
      <c r="E340"/>
      <c r="F340"/>
      <c r="G340"/>
      <c r="H340"/>
      <c r="I340"/>
      <c r="J340"/>
      <c r="K340"/>
      <c r="L340"/>
      <c r="M340"/>
      <c r="N340"/>
      <c r="O340"/>
    </row>
    <row r="341" spans="2:15">
      <c r="B341"/>
      <c r="C341"/>
      <c r="D341"/>
      <c r="E341"/>
      <c r="F341"/>
      <c r="G341"/>
      <c r="H341"/>
      <c r="I341"/>
      <c r="J341"/>
      <c r="K341"/>
      <c r="L341"/>
      <c r="M341"/>
      <c r="N341"/>
      <c r="O341"/>
    </row>
    <row r="342" spans="2:15">
      <c r="B342"/>
      <c r="C342"/>
      <c r="D342"/>
      <c r="E342"/>
      <c r="F342"/>
      <c r="G342"/>
      <c r="H342"/>
      <c r="I342"/>
      <c r="J342"/>
      <c r="K342"/>
      <c r="L342"/>
      <c r="M342"/>
      <c r="N342"/>
      <c r="O342"/>
    </row>
    <row r="343" spans="2:15">
      <c r="B343"/>
      <c r="C343"/>
      <c r="D343"/>
      <c r="E343"/>
      <c r="F343"/>
      <c r="G343"/>
      <c r="H343"/>
      <c r="I343"/>
      <c r="J343"/>
      <c r="K343"/>
      <c r="L343"/>
      <c r="M343"/>
      <c r="N343"/>
      <c r="O343"/>
    </row>
    <row r="344" spans="2:15">
      <c r="B344"/>
      <c r="C344"/>
      <c r="D344"/>
      <c r="E344"/>
      <c r="F344"/>
      <c r="G344"/>
      <c r="H344"/>
      <c r="I344"/>
      <c r="J344"/>
      <c r="K344"/>
      <c r="L344"/>
      <c r="M344"/>
      <c r="N344"/>
      <c r="O344"/>
    </row>
    <row r="345" spans="2:15">
      <c r="B345"/>
      <c r="C345"/>
      <c r="D345"/>
      <c r="E345"/>
      <c r="F345"/>
      <c r="G345"/>
      <c r="H345"/>
      <c r="I345"/>
      <c r="J345"/>
      <c r="K345"/>
      <c r="L345"/>
      <c r="M345"/>
      <c r="N345"/>
      <c r="O345"/>
    </row>
    <row r="346" spans="2:15">
      <c r="B346"/>
      <c r="C346"/>
      <c r="D346"/>
      <c r="E346"/>
      <c r="F346"/>
      <c r="G346"/>
      <c r="H346"/>
      <c r="I346"/>
      <c r="J346"/>
      <c r="K346"/>
      <c r="L346"/>
      <c r="M346"/>
      <c r="N346"/>
      <c r="O346"/>
    </row>
    <row r="347" spans="2:15">
      <c r="B347"/>
      <c r="C347"/>
      <c r="D347"/>
      <c r="E347"/>
      <c r="F347"/>
      <c r="G347"/>
      <c r="H347"/>
      <c r="I347"/>
      <c r="J347"/>
      <c r="K347"/>
      <c r="L347"/>
      <c r="M347"/>
      <c r="N347"/>
      <c r="O347"/>
    </row>
    <row r="348" spans="2:15">
      <c r="B348"/>
      <c r="C348"/>
      <c r="D348"/>
      <c r="E348"/>
      <c r="F348"/>
      <c r="G348"/>
      <c r="H348"/>
      <c r="I348"/>
      <c r="J348"/>
      <c r="K348"/>
      <c r="L348"/>
      <c r="M348"/>
      <c r="N348"/>
      <c r="O348"/>
    </row>
    <row r="349" spans="2:15">
      <c r="B349"/>
      <c r="C349"/>
      <c r="D349"/>
      <c r="E349"/>
      <c r="F349"/>
      <c r="G349"/>
      <c r="H349"/>
      <c r="I349"/>
      <c r="J349"/>
      <c r="K349"/>
      <c r="L349"/>
      <c r="M349"/>
      <c r="N349"/>
      <c r="O349"/>
    </row>
    <row r="350" spans="2:15">
      <c r="B350"/>
      <c r="C350"/>
      <c r="D350"/>
      <c r="E350"/>
      <c r="F350"/>
      <c r="G350"/>
      <c r="H350"/>
      <c r="I350"/>
      <c r="J350"/>
      <c r="K350"/>
      <c r="L350"/>
      <c r="M350"/>
      <c r="N350"/>
      <c r="O350"/>
    </row>
    <row r="351" spans="2:15">
      <c r="B351"/>
      <c r="C351"/>
      <c r="D351"/>
      <c r="E351"/>
      <c r="F351"/>
      <c r="G351"/>
      <c r="H351"/>
      <c r="I351"/>
      <c r="J351"/>
      <c r="K351"/>
      <c r="L351"/>
      <c r="M351"/>
      <c r="N351"/>
      <c r="O351"/>
    </row>
    <row r="352" spans="2:15">
      <c r="B352"/>
      <c r="C352"/>
      <c r="D352"/>
      <c r="E352"/>
      <c r="F352"/>
      <c r="G352"/>
      <c r="H352"/>
      <c r="I352"/>
      <c r="J352"/>
      <c r="K352"/>
      <c r="L352"/>
      <c r="M352"/>
      <c r="N352"/>
      <c r="O352"/>
    </row>
    <row r="353" spans="2:15">
      <c r="B353"/>
      <c r="C353"/>
      <c r="D353"/>
      <c r="E353"/>
      <c r="F353"/>
      <c r="G353"/>
      <c r="H353"/>
      <c r="I353"/>
      <c r="J353"/>
      <c r="K353"/>
      <c r="L353"/>
      <c r="M353"/>
      <c r="N353"/>
      <c r="O353"/>
    </row>
    <row r="354" spans="2:15">
      <c r="B354"/>
      <c r="C354"/>
      <c r="D354"/>
      <c r="E354"/>
      <c r="F354"/>
      <c r="G354"/>
      <c r="H354"/>
      <c r="I354"/>
      <c r="J354"/>
      <c r="K354"/>
      <c r="L354"/>
      <c r="M354"/>
      <c r="N354"/>
      <c r="O354"/>
    </row>
    <row r="355" spans="2:15">
      <c r="B355"/>
      <c r="C355"/>
      <c r="D355"/>
      <c r="E355"/>
      <c r="F355"/>
      <c r="G355"/>
      <c r="H355"/>
      <c r="I355"/>
      <c r="J355"/>
      <c r="K355"/>
      <c r="L355"/>
      <c r="M355"/>
      <c r="N355"/>
      <c r="O355"/>
    </row>
    <row r="356" spans="2:15">
      <c r="B356"/>
      <c r="C356"/>
      <c r="D356"/>
      <c r="E356"/>
      <c r="F356"/>
      <c r="G356"/>
      <c r="H356"/>
      <c r="I356"/>
      <c r="J356"/>
      <c r="K356"/>
      <c r="L356"/>
      <c r="M356"/>
      <c r="N356"/>
      <c r="O356"/>
    </row>
    <row r="357" spans="2:15">
      <c r="B357"/>
      <c r="C357"/>
      <c r="D357"/>
      <c r="E357"/>
      <c r="F357"/>
      <c r="G357"/>
      <c r="H357"/>
      <c r="I357"/>
      <c r="J357"/>
      <c r="K357"/>
      <c r="L357"/>
      <c r="M357"/>
      <c r="N357"/>
      <c r="O357"/>
    </row>
    <row r="358" spans="2:15">
      <c r="B358"/>
      <c r="C358"/>
      <c r="D358"/>
      <c r="E358"/>
      <c r="F358"/>
      <c r="G358"/>
      <c r="H358"/>
      <c r="I358"/>
      <c r="J358"/>
      <c r="K358"/>
      <c r="L358"/>
      <c r="M358"/>
      <c r="N358"/>
      <c r="O358"/>
    </row>
    <row r="359" spans="2:15">
      <c r="B359"/>
      <c r="C359"/>
      <c r="D359"/>
      <c r="E359"/>
      <c r="F359"/>
      <c r="G359"/>
      <c r="H359"/>
      <c r="I359"/>
      <c r="J359"/>
      <c r="K359"/>
      <c r="L359"/>
      <c r="M359"/>
      <c r="N359"/>
      <c r="O359"/>
    </row>
    <row r="360" spans="2:15">
      <c r="B360"/>
      <c r="C360"/>
      <c r="D360"/>
      <c r="E360"/>
      <c r="F360"/>
      <c r="G360"/>
      <c r="H360"/>
      <c r="I360"/>
      <c r="J360"/>
      <c r="K360"/>
      <c r="L360"/>
      <c r="M360"/>
      <c r="N360"/>
      <c r="O360"/>
    </row>
    <row r="361" spans="2:15">
      <c r="B361"/>
      <c r="C361"/>
      <c r="D361"/>
      <c r="E361"/>
      <c r="F361"/>
      <c r="G361"/>
      <c r="H361"/>
      <c r="I361"/>
      <c r="J361"/>
      <c r="K361"/>
      <c r="L361"/>
      <c r="M361"/>
      <c r="N361"/>
      <c r="O361"/>
    </row>
    <row r="362" spans="2:15">
      <c r="B362"/>
      <c r="C362"/>
      <c r="D362"/>
      <c r="E362"/>
      <c r="F362"/>
      <c r="G362"/>
      <c r="H362"/>
      <c r="I362"/>
      <c r="J362"/>
      <c r="K362"/>
      <c r="L362"/>
      <c r="M362"/>
      <c r="N362"/>
      <c r="O362"/>
    </row>
    <row r="363" spans="2:15">
      <c r="B363"/>
      <c r="C363"/>
      <c r="D363"/>
      <c r="E363"/>
      <c r="F363"/>
      <c r="G363"/>
      <c r="H363"/>
      <c r="I363"/>
      <c r="J363"/>
      <c r="K363"/>
      <c r="L363"/>
      <c r="M363"/>
      <c r="N363"/>
      <c r="O363"/>
    </row>
    <row r="364" spans="2:15">
      <c r="B364"/>
      <c r="C364"/>
      <c r="D364"/>
      <c r="E364"/>
      <c r="F364"/>
      <c r="G364"/>
      <c r="H364"/>
      <c r="I364"/>
      <c r="J364"/>
      <c r="K364"/>
      <c r="L364"/>
      <c r="M364"/>
      <c r="N364"/>
      <c r="O364"/>
    </row>
    <row r="365" spans="2:15">
      <c r="B365"/>
      <c r="C365"/>
      <c r="D365"/>
      <c r="E365"/>
      <c r="F365"/>
      <c r="G365"/>
      <c r="H365"/>
      <c r="I365"/>
      <c r="J365"/>
      <c r="K365"/>
      <c r="L365"/>
      <c r="M365"/>
      <c r="N365"/>
      <c r="O365"/>
    </row>
    <row r="366" spans="2:15">
      <c r="B366"/>
      <c r="C366"/>
      <c r="D366"/>
      <c r="E366"/>
      <c r="F366"/>
      <c r="G366"/>
      <c r="H366"/>
      <c r="I366"/>
      <c r="J366"/>
      <c r="K366"/>
      <c r="L366"/>
      <c r="M366"/>
      <c r="N366"/>
      <c r="O366"/>
    </row>
    <row r="367" spans="2:15">
      <c r="B367"/>
      <c r="C367"/>
      <c r="D367"/>
      <c r="E367"/>
      <c r="F367"/>
      <c r="G367"/>
      <c r="H367"/>
      <c r="I367"/>
      <c r="J367"/>
      <c r="K367"/>
      <c r="L367"/>
      <c r="M367"/>
      <c r="N367"/>
      <c r="O367"/>
    </row>
    <row r="368" spans="2:15">
      <c r="B368"/>
      <c r="C368"/>
      <c r="D368"/>
      <c r="E368"/>
      <c r="F368"/>
      <c r="G368"/>
      <c r="H368"/>
      <c r="I368"/>
      <c r="J368"/>
      <c r="K368"/>
      <c r="L368"/>
      <c r="M368"/>
      <c r="N368"/>
      <c r="O368"/>
    </row>
    <row r="369" spans="2:15">
      <c r="B369"/>
      <c r="C369"/>
      <c r="D369"/>
      <c r="E369"/>
      <c r="F369"/>
      <c r="G369"/>
      <c r="H369"/>
      <c r="I369"/>
      <c r="J369"/>
      <c r="K369"/>
      <c r="L369"/>
      <c r="M369"/>
      <c r="N369"/>
      <c r="O369"/>
    </row>
    <row r="370" spans="2:15">
      <c r="B370"/>
      <c r="C370"/>
      <c r="D370"/>
      <c r="E370"/>
      <c r="F370"/>
      <c r="G370"/>
      <c r="H370"/>
      <c r="I370"/>
      <c r="J370"/>
      <c r="K370"/>
      <c r="L370"/>
      <c r="M370"/>
      <c r="N370"/>
      <c r="O370"/>
    </row>
    <row r="371" spans="2:15">
      <c r="B371"/>
      <c r="C371"/>
      <c r="D371"/>
      <c r="E371"/>
      <c r="F371"/>
      <c r="G371"/>
      <c r="H371"/>
      <c r="I371"/>
      <c r="J371"/>
      <c r="K371"/>
      <c r="L371"/>
      <c r="M371"/>
      <c r="N371"/>
      <c r="O371"/>
    </row>
    <row r="372" spans="2:15">
      <c r="B372"/>
      <c r="C372"/>
      <c r="D372"/>
      <c r="E372"/>
      <c r="F372"/>
      <c r="G372"/>
      <c r="H372"/>
      <c r="I372"/>
      <c r="J372"/>
      <c r="K372"/>
      <c r="L372"/>
      <c r="M372"/>
      <c r="N372"/>
      <c r="O372"/>
    </row>
    <row r="373" spans="2:15">
      <c r="B373"/>
      <c r="C373"/>
      <c r="D373"/>
      <c r="E373"/>
      <c r="F373"/>
      <c r="G373"/>
      <c r="H373"/>
      <c r="I373"/>
      <c r="J373"/>
      <c r="K373"/>
      <c r="L373"/>
      <c r="M373"/>
      <c r="N373"/>
      <c r="O373"/>
    </row>
    <row r="374" spans="2:15">
      <c r="B374"/>
      <c r="C374"/>
      <c r="D374"/>
      <c r="E374"/>
      <c r="F374"/>
      <c r="G374"/>
      <c r="H374"/>
      <c r="I374"/>
      <c r="J374"/>
      <c r="K374"/>
      <c r="L374"/>
      <c r="M374"/>
      <c r="N374"/>
      <c r="O374"/>
    </row>
    <row r="375" spans="2:15">
      <c r="B375"/>
      <c r="C375"/>
      <c r="D375"/>
      <c r="E375"/>
      <c r="F375"/>
      <c r="G375"/>
      <c r="H375"/>
      <c r="I375"/>
      <c r="J375"/>
      <c r="K375"/>
      <c r="L375"/>
      <c r="M375"/>
      <c r="N375"/>
      <c r="O375"/>
    </row>
    <row r="376" spans="2:15">
      <c r="B376"/>
      <c r="C376"/>
      <c r="D376"/>
      <c r="E376"/>
      <c r="F376"/>
      <c r="G376"/>
      <c r="H376"/>
      <c r="I376"/>
      <c r="J376"/>
      <c r="K376"/>
      <c r="L376"/>
      <c r="M376"/>
      <c r="N376"/>
      <c r="O376"/>
    </row>
    <row r="377" spans="2:15">
      <c r="B377"/>
      <c r="C377"/>
      <c r="D377"/>
      <c r="E377"/>
      <c r="F377"/>
      <c r="G377"/>
      <c r="H377"/>
      <c r="I377"/>
      <c r="J377"/>
      <c r="K377"/>
      <c r="L377"/>
      <c r="M377"/>
      <c r="N377"/>
      <c r="O377"/>
    </row>
    <row r="378" spans="2:15">
      <c r="B378"/>
      <c r="C378"/>
      <c r="D378"/>
      <c r="E378"/>
      <c r="F378"/>
      <c r="G378"/>
      <c r="H378"/>
      <c r="I378"/>
      <c r="J378"/>
      <c r="K378"/>
      <c r="L378"/>
      <c r="M378"/>
      <c r="N378"/>
      <c r="O378"/>
    </row>
    <row r="379" spans="2:15">
      <c r="B379"/>
      <c r="C379"/>
      <c r="D379"/>
      <c r="E379"/>
      <c r="F379"/>
      <c r="G379"/>
      <c r="H379"/>
      <c r="I379"/>
      <c r="J379"/>
      <c r="K379"/>
      <c r="L379"/>
      <c r="M379"/>
      <c r="N379"/>
      <c r="O379"/>
    </row>
    <row r="380" spans="2:15">
      <c r="B380"/>
      <c r="C380"/>
      <c r="D380"/>
      <c r="E380"/>
      <c r="F380"/>
      <c r="G380"/>
      <c r="H380"/>
      <c r="I380"/>
      <c r="J380"/>
      <c r="K380"/>
      <c r="L380"/>
      <c r="M380"/>
      <c r="N380"/>
      <c r="O380"/>
    </row>
    <row r="381" spans="2:15">
      <c r="B381"/>
      <c r="C381"/>
      <c r="D381"/>
      <c r="E381"/>
      <c r="F381"/>
      <c r="G381"/>
      <c r="H381"/>
      <c r="I381"/>
      <c r="J381"/>
      <c r="K381"/>
      <c r="L381"/>
      <c r="M381"/>
      <c r="N381"/>
      <c r="O381"/>
    </row>
    <row r="382" spans="2:15">
      <c r="B382"/>
      <c r="C382"/>
      <c r="D382"/>
      <c r="E382"/>
      <c r="F382"/>
      <c r="G382"/>
      <c r="H382"/>
      <c r="I382"/>
      <c r="J382"/>
      <c r="K382"/>
      <c r="L382"/>
      <c r="M382"/>
      <c r="N382"/>
      <c r="O382"/>
    </row>
    <row r="383" spans="2:15">
      <c r="B383"/>
      <c r="C383"/>
      <c r="D383"/>
      <c r="E383"/>
      <c r="F383"/>
      <c r="G383"/>
      <c r="H383"/>
      <c r="I383"/>
      <c r="J383"/>
      <c r="K383"/>
      <c r="L383"/>
      <c r="M383"/>
      <c r="N383"/>
      <c r="O383"/>
    </row>
    <row r="384" spans="2:15">
      <c r="B384"/>
      <c r="C384"/>
      <c r="D384"/>
      <c r="E384"/>
      <c r="F384"/>
      <c r="G384"/>
      <c r="H384"/>
      <c r="I384"/>
      <c r="J384"/>
      <c r="K384"/>
      <c r="L384"/>
      <c r="M384"/>
      <c r="N384"/>
      <c r="O384"/>
    </row>
    <row r="385" spans="2:15">
      <c r="B385"/>
      <c r="C385"/>
      <c r="D385"/>
      <c r="E385"/>
      <c r="F385"/>
      <c r="G385"/>
      <c r="H385"/>
      <c r="I385"/>
      <c r="J385"/>
      <c r="K385"/>
      <c r="L385"/>
      <c r="M385"/>
      <c r="N385"/>
      <c r="O385"/>
    </row>
    <row r="386" spans="2:15">
      <c r="B386"/>
      <c r="C386"/>
      <c r="D386"/>
      <c r="E386"/>
      <c r="F386"/>
      <c r="G386"/>
      <c r="H386"/>
      <c r="I386"/>
      <c r="J386"/>
      <c r="K386"/>
      <c r="L386"/>
      <c r="M386"/>
      <c r="N386"/>
      <c r="O386"/>
    </row>
    <row r="387" spans="2:15">
      <c r="B387"/>
      <c r="C387"/>
      <c r="D387"/>
      <c r="E387"/>
      <c r="F387"/>
      <c r="G387"/>
      <c r="H387"/>
      <c r="I387"/>
      <c r="J387"/>
      <c r="K387"/>
      <c r="L387"/>
      <c r="M387"/>
      <c r="N387"/>
      <c r="O387"/>
    </row>
    <row r="388" spans="2:15">
      <c r="B388"/>
      <c r="C388"/>
      <c r="D388"/>
      <c r="E388"/>
      <c r="F388"/>
      <c r="G388"/>
      <c r="H388"/>
      <c r="I388"/>
      <c r="J388"/>
      <c r="K388"/>
      <c r="L388"/>
      <c r="M388"/>
      <c r="N388"/>
      <c r="O388"/>
    </row>
    <row r="389" spans="2:15">
      <c r="B389"/>
      <c r="C389"/>
      <c r="D389"/>
      <c r="E389"/>
      <c r="F389"/>
      <c r="G389"/>
      <c r="H389"/>
      <c r="I389"/>
      <c r="J389"/>
      <c r="K389"/>
      <c r="L389"/>
      <c r="M389"/>
      <c r="N389"/>
      <c r="O389"/>
    </row>
    <row r="390" spans="2:15">
      <c r="B390"/>
      <c r="C390"/>
      <c r="D390"/>
      <c r="E390"/>
      <c r="F390"/>
      <c r="G390"/>
      <c r="H390"/>
      <c r="I390"/>
      <c r="J390"/>
      <c r="K390"/>
      <c r="L390"/>
      <c r="M390"/>
      <c r="N390"/>
      <c r="O390"/>
    </row>
    <row r="391" spans="2:15">
      <c r="B391"/>
      <c r="C391"/>
      <c r="D391"/>
      <c r="E391"/>
      <c r="F391"/>
      <c r="G391"/>
      <c r="H391"/>
      <c r="I391"/>
      <c r="J391"/>
      <c r="K391"/>
      <c r="L391"/>
      <c r="M391"/>
      <c r="N391"/>
      <c r="O391"/>
    </row>
    <row r="392" spans="2:15">
      <c r="B392"/>
      <c r="C392"/>
      <c r="D392"/>
      <c r="E392"/>
      <c r="F392"/>
      <c r="G392"/>
      <c r="H392"/>
      <c r="I392"/>
      <c r="J392"/>
      <c r="K392"/>
      <c r="L392"/>
      <c r="M392"/>
      <c r="N392"/>
      <c r="O392"/>
    </row>
    <row r="393" spans="2:15">
      <c r="B393"/>
      <c r="C393"/>
      <c r="D393"/>
      <c r="E393"/>
      <c r="F393"/>
      <c r="G393"/>
      <c r="H393"/>
      <c r="I393"/>
      <c r="J393"/>
      <c r="K393"/>
      <c r="L393"/>
      <c r="M393"/>
      <c r="N393"/>
      <c r="O393"/>
    </row>
    <row r="394" spans="2:15">
      <c r="B394"/>
      <c r="C394"/>
      <c r="D394"/>
      <c r="E394"/>
      <c r="F394"/>
      <c r="G394"/>
      <c r="H394"/>
      <c r="I394"/>
      <c r="J394"/>
      <c r="K394"/>
      <c r="L394"/>
      <c r="M394"/>
      <c r="N394"/>
      <c r="O394"/>
    </row>
    <row r="395" spans="2:15">
      <c r="B395"/>
      <c r="C395"/>
      <c r="D395"/>
      <c r="E395"/>
      <c r="F395"/>
      <c r="G395"/>
      <c r="H395"/>
      <c r="I395"/>
      <c r="J395"/>
      <c r="K395"/>
      <c r="L395"/>
      <c r="M395"/>
      <c r="N395"/>
      <c r="O395"/>
    </row>
    <row r="396" spans="2:15">
      <c r="B396"/>
      <c r="C396"/>
      <c r="D396"/>
      <c r="E396"/>
      <c r="F396"/>
      <c r="G396"/>
      <c r="H396"/>
      <c r="I396"/>
      <c r="J396"/>
      <c r="K396"/>
      <c r="L396"/>
      <c r="M396"/>
      <c r="N396"/>
      <c r="O396"/>
    </row>
    <row r="397" spans="2:15">
      <c r="B397"/>
      <c r="C397"/>
      <c r="D397"/>
      <c r="E397"/>
      <c r="F397"/>
      <c r="G397"/>
      <c r="H397"/>
      <c r="I397"/>
      <c r="J397"/>
      <c r="K397"/>
      <c r="L397"/>
      <c r="M397"/>
      <c r="N397"/>
      <c r="O397"/>
    </row>
    <row r="398" spans="2:15">
      <c r="B398"/>
      <c r="C398"/>
      <c r="D398"/>
      <c r="E398"/>
      <c r="F398"/>
      <c r="G398"/>
      <c r="H398"/>
      <c r="I398"/>
      <c r="J398"/>
      <c r="K398"/>
      <c r="L398"/>
      <c r="M398"/>
      <c r="N398"/>
      <c r="O398"/>
    </row>
    <row r="399" spans="2:15">
      <c r="B399"/>
      <c r="C399"/>
      <c r="D399"/>
      <c r="E399"/>
      <c r="F399"/>
      <c r="G399"/>
      <c r="H399"/>
      <c r="I399"/>
      <c r="J399"/>
      <c r="K399"/>
      <c r="L399"/>
      <c r="M399"/>
      <c r="N399"/>
      <c r="O399"/>
    </row>
    <row r="400" spans="2:15">
      <c r="B400"/>
      <c r="C400"/>
      <c r="D400"/>
      <c r="E400"/>
      <c r="F400"/>
      <c r="G400"/>
      <c r="H400"/>
      <c r="I400"/>
      <c r="J400"/>
      <c r="K400"/>
      <c r="L400"/>
      <c r="M400"/>
      <c r="N400"/>
      <c r="O400"/>
    </row>
    <row r="401" spans="2:15">
      <c r="B401"/>
      <c r="C401"/>
      <c r="D401"/>
      <c r="E401"/>
      <c r="F401"/>
      <c r="G401"/>
      <c r="H401"/>
      <c r="I401"/>
      <c r="J401"/>
      <c r="K401"/>
      <c r="L401"/>
      <c r="M401"/>
      <c r="N401"/>
      <c r="O401"/>
    </row>
    <row r="402" spans="2:15">
      <c r="B402"/>
      <c r="C402"/>
      <c r="D402"/>
      <c r="E402"/>
      <c r="F402"/>
      <c r="G402"/>
      <c r="H402"/>
      <c r="I402"/>
      <c r="J402"/>
      <c r="K402"/>
      <c r="L402"/>
      <c r="M402"/>
      <c r="N402"/>
      <c r="O402"/>
    </row>
    <row r="403" spans="2:15">
      <c r="B403"/>
      <c r="C403"/>
      <c r="D403"/>
      <c r="E403"/>
      <c r="F403"/>
      <c r="G403"/>
      <c r="H403"/>
      <c r="I403"/>
      <c r="J403"/>
      <c r="K403"/>
      <c r="L403"/>
      <c r="M403"/>
      <c r="N403"/>
      <c r="O403"/>
    </row>
    <row r="404" spans="2:15">
      <c r="B404"/>
      <c r="C404"/>
      <c r="D404"/>
      <c r="E404"/>
      <c r="F404"/>
      <c r="G404"/>
      <c r="H404"/>
      <c r="I404"/>
      <c r="J404"/>
      <c r="K404"/>
      <c r="L404"/>
      <c r="M404"/>
      <c r="N404"/>
      <c r="O404"/>
    </row>
    <row r="405" spans="2:15">
      <c r="B405"/>
      <c r="C405"/>
      <c r="D405"/>
      <c r="E405"/>
      <c r="F405"/>
      <c r="G405"/>
      <c r="H405"/>
      <c r="I405"/>
      <c r="J405"/>
      <c r="K405"/>
      <c r="L405"/>
      <c r="M405"/>
      <c r="N405"/>
      <c r="O405"/>
    </row>
    <row r="406" spans="2:15">
      <c r="B406"/>
      <c r="C406"/>
      <c r="D406"/>
      <c r="E406"/>
      <c r="F406"/>
      <c r="G406"/>
      <c r="H406"/>
      <c r="I406"/>
      <c r="J406"/>
      <c r="K406"/>
      <c r="L406"/>
      <c r="M406"/>
      <c r="N406"/>
      <c r="O406"/>
    </row>
    <row r="407" spans="2:15">
      <c r="B407"/>
      <c r="C407"/>
      <c r="D407"/>
      <c r="E407"/>
      <c r="F407"/>
      <c r="G407"/>
      <c r="H407"/>
      <c r="I407"/>
      <c r="J407"/>
      <c r="K407"/>
      <c r="L407"/>
      <c r="M407"/>
      <c r="N407"/>
      <c r="O407"/>
    </row>
    <row r="408" spans="2:15">
      <c r="B408"/>
      <c r="C408"/>
      <c r="D408"/>
      <c r="E408"/>
      <c r="F408"/>
      <c r="G408"/>
      <c r="H408"/>
      <c r="I408"/>
      <c r="J408"/>
      <c r="K408"/>
      <c r="L408"/>
      <c r="M408"/>
      <c r="N408"/>
      <c r="O408"/>
    </row>
    <row r="409" spans="2:15">
      <c r="B409"/>
      <c r="C409"/>
      <c r="D409"/>
      <c r="E409"/>
      <c r="F409"/>
      <c r="G409"/>
      <c r="H409"/>
      <c r="I409"/>
      <c r="J409"/>
      <c r="K409"/>
      <c r="L409"/>
      <c r="M409"/>
      <c r="N409"/>
      <c r="O409"/>
    </row>
    <row r="410" spans="2:15">
      <c r="B410"/>
      <c r="C410"/>
      <c r="D410"/>
      <c r="E410"/>
      <c r="F410"/>
      <c r="G410"/>
      <c r="H410"/>
      <c r="I410"/>
      <c r="J410"/>
      <c r="K410"/>
      <c r="L410"/>
      <c r="M410"/>
      <c r="N410"/>
      <c r="O410"/>
    </row>
    <row r="411" spans="2:15">
      <c r="B411"/>
      <c r="C411"/>
      <c r="D411"/>
      <c r="E411"/>
      <c r="F411"/>
      <c r="G411"/>
      <c r="H411"/>
      <c r="I411"/>
      <c r="J411"/>
      <c r="K411"/>
      <c r="L411"/>
      <c r="M411"/>
      <c r="N411"/>
      <c r="O411"/>
    </row>
    <row r="412" spans="2:15">
      <c r="B412"/>
      <c r="C412"/>
      <c r="D412"/>
      <c r="E412"/>
      <c r="F412"/>
      <c r="G412"/>
      <c r="H412"/>
      <c r="I412"/>
      <c r="J412"/>
      <c r="K412"/>
      <c r="L412"/>
      <c r="M412"/>
      <c r="N412"/>
      <c r="O412"/>
    </row>
    <row r="413" spans="2:15">
      <c r="B413"/>
      <c r="C413"/>
      <c r="D413"/>
      <c r="E413"/>
      <c r="F413"/>
      <c r="G413"/>
      <c r="H413"/>
      <c r="I413"/>
      <c r="J413"/>
      <c r="K413"/>
      <c r="L413"/>
      <c r="M413"/>
      <c r="N413"/>
      <c r="O413"/>
    </row>
    <row r="414" spans="2:15">
      <c r="B414"/>
      <c r="C414"/>
      <c r="D414"/>
      <c r="E414"/>
      <c r="F414"/>
      <c r="G414"/>
      <c r="H414"/>
      <c r="I414"/>
      <c r="J414"/>
      <c r="K414"/>
      <c r="L414"/>
      <c r="M414"/>
      <c r="N414"/>
      <c r="O414"/>
    </row>
    <row r="415" spans="2:15">
      <c r="B415"/>
      <c r="C415"/>
      <c r="D415"/>
      <c r="E415"/>
      <c r="F415"/>
      <c r="G415"/>
      <c r="H415"/>
      <c r="I415"/>
      <c r="J415"/>
      <c r="K415"/>
      <c r="L415"/>
      <c r="M415"/>
      <c r="N415"/>
      <c r="O415"/>
    </row>
    <row r="416" spans="2:15">
      <c r="B416"/>
      <c r="C416"/>
      <c r="D416"/>
      <c r="E416"/>
      <c r="F416"/>
      <c r="G416"/>
      <c r="H416"/>
      <c r="I416"/>
      <c r="J416"/>
      <c r="K416"/>
      <c r="L416"/>
      <c r="M416"/>
      <c r="N416"/>
      <c r="O416"/>
    </row>
    <row r="417" spans="2:15">
      <c r="B417"/>
      <c r="C417"/>
      <c r="D417"/>
      <c r="E417"/>
      <c r="F417"/>
      <c r="G417"/>
      <c r="H417"/>
      <c r="I417"/>
      <c r="J417"/>
      <c r="K417"/>
      <c r="L417"/>
      <c r="M417"/>
      <c r="N417"/>
      <c r="O417"/>
    </row>
    <row r="418" spans="2:15">
      <c r="B418"/>
      <c r="C418"/>
      <c r="D418"/>
      <c r="E418"/>
      <c r="F418"/>
      <c r="G418"/>
      <c r="H418"/>
      <c r="I418"/>
      <c r="J418"/>
      <c r="K418"/>
      <c r="L418"/>
      <c r="M418"/>
      <c r="N418"/>
      <c r="O418"/>
    </row>
    <row r="419" spans="2:15">
      <c r="B419"/>
      <c r="C419"/>
      <c r="D419"/>
      <c r="E419"/>
      <c r="F419"/>
      <c r="G419"/>
      <c r="H419"/>
      <c r="I419"/>
      <c r="J419"/>
      <c r="K419"/>
      <c r="L419"/>
      <c r="M419"/>
      <c r="N419"/>
      <c r="O419"/>
    </row>
    <row r="420" spans="2:15">
      <c r="B420"/>
      <c r="C420"/>
      <c r="D420"/>
      <c r="E420"/>
      <c r="F420"/>
      <c r="G420"/>
      <c r="H420"/>
      <c r="I420"/>
      <c r="J420"/>
      <c r="K420"/>
      <c r="L420"/>
      <c r="M420"/>
      <c r="N420"/>
      <c r="O420"/>
    </row>
    <row r="421" spans="2:15">
      <c r="B421"/>
      <c r="C421"/>
      <c r="D421"/>
      <c r="E421"/>
      <c r="F421"/>
      <c r="G421"/>
      <c r="H421"/>
      <c r="I421"/>
      <c r="J421"/>
      <c r="K421"/>
      <c r="L421"/>
      <c r="M421"/>
      <c r="N421"/>
      <c r="O421"/>
    </row>
    <row r="422" spans="2:15">
      <c r="B422"/>
      <c r="C422"/>
      <c r="D422"/>
      <c r="E422"/>
      <c r="F422"/>
      <c r="G422"/>
      <c r="H422"/>
      <c r="I422"/>
      <c r="J422"/>
      <c r="K422"/>
      <c r="L422"/>
      <c r="M422"/>
      <c r="N422"/>
      <c r="O422"/>
    </row>
    <row r="423" spans="2:15">
      <c r="B423"/>
      <c r="C423"/>
      <c r="D423"/>
      <c r="E423"/>
      <c r="F423"/>
      <c r="G423"/>
      <c r="H423"/>
      <c r="I423"/>
      <c r="J423"/>
      <c r="K423"/>
      <c r="L423"/>
      <c r="M423"/>
      <c r="N423"/>
      <c r="O423"/>
    </row>
    <row r="424" spans="2:15">
      <c r="B424"/>
      <c r="C424"/>
      <c r="D424"/>
      <c r="E424"/>
      <c r="F424"/>
      <c r="G424"/>
      <c r="H424"/>
      <c r="I424"/>
      <c r="J424"/>
      <c r="K424"/>
      <c r="L424"/>
      <c r="M424"/>
      <c r="N424"/>
      <c r="O424"/>
    </row>
    <row r="425" spans="2:15">
      <c r="B425"/>
      <c r="C425"/>
      <c r="D425"/>
      <c r="E425"/>
      <c r="F425"/>
      <c r="G425"/>
      <c r="H425"/>
      <c r="I425"/>
      <c r="J425"/>
      <c r="K425"/>
      <c r="L425"/>
      <c r="M425"/>
      <c r="N425"/>
      <c r="O425"/>
    </row>
    <row r="426" spans="2:15">
      <c r="B426"/>
      <c r="C426"/>
      <c r="D426"/>
      <c r="E426"/>
      <c r="F426"/>
      <c r="G426"/>
      <c r="H426"/>
      <c r="I426"/>
      <c r="J426"/>
      <c r="K426"/>
      <c r="L426"/>
      <c r="M426"/>
      <c r="N426"/>
      <c r="O426"/>
    </row>
    <row r="427" spans="2:15">
      <c r="B427"/>
      <c r="C427"/>
      <c r="D427"/>
      <c r="E427"/>
      <c r="F427"/>
      <c r="G427"/>
      <c r="H427"/>
      <c r="I427"/>
      <c r="J427"/>
      <c r="K427"/>
      <c r="L427"/>
      <c r="M427"/>
      <c r="N427"/>
      <c r="O427"/>
    </row>
    <row r="428" spans="2:15">
      <c r="B428"/>
      <c r="C428"/>
      <c r="D428"/>
      <c r="E428"/>
      <c r="F428"/>
      <c r="G428"/>
      <c r="H428"/>
      <c r="I428"/>
      <c r="J428"/>
      <c r="K428"/>
      <c r="L428"/>
      <c r="M428"/>
      <c r="N428"/>
      <c r="O428"/>
    </row>
    <row r="429" spans="2:15">
      <c r="B429"/>
      <c r="C429"/>
      <c r="D429"/>
      <c r="E429"/>
      <c r="F429"/>
      <c r="G429"/>
      <c r="H429"/>
      <c r="I429"/>
      <c r="J429"/>
      <c r="K429"/>
      <c r="L429"/>
      <c r="M429"/>
      <c r="N429"/>
      <c r="O429"/>
    </row>
    <row r="430" spans="2:15">
      <c r="B430"/>
      <c r="C430"/>
      <c r="D430"/>
      <c r="E430"/>
      <c r="F430"/>
      <c r="G430"/>
      <c r="H430"/>
      <c r="I430"/>
      <c r="J430"/>
      <c r="K430"/>
      <c r="L430"/>
      <c r="M430"/>
      <c r="N430"/>
      <c r="O430"/>
    </row>
    <row r="431" spans="2:15">
      <c r="B431"/>
      <c r="C431"/>
      <c r="D431"/>
      <c r="E431"/>
      <c r="F431"/>
      <c r="G431"/>
      <c r="H431"/>
      <c r="I431"/>
      <c r="J431"/>
      <c r="K431"/>
      <c r="L431"/>
      <c r="M431"/>
      <c r="N431"/>
      <c r="O431"/>
    </row>
    <row r="432" spans="2:15">
      <c r="B432"/>
      <c r="C432"/>
      <c r="D432"/>
      <c r="E432"/>
      <c r="F432"/>
      <c r="G432"/>
      <c r="H432"/>
      <c r="I432"/>
      <c r="J432"/>
      <c r="K432"/>
      <c r="L432"/>
      <c r="M432"/>
      <c r="N432"/>
      <c r="O432"/>
    </row>
    <row r="433" spans="2:15">
      <c r="B433"/>
      <c r="C433"/>
      <c r="D433"/>
      <c r="E433"/>
      <c r="F433"/>
      <c r="G433"/>
      <c r="H433"/>
      <c r="I433"/>
      <c r="J433"/>
      <c r="K433"/>
      <c r="L433"/>
      <c r="M433"/>
      <c r="N433"/>
      <c r="O433"/>
    </row>
    <row r="434" spans="2:15">
      <c r="B434"/>
      <c r="C434"/>
      <c r="D434"/>
      <c r="E434"/>
      <c r="F434"/>
      <c r="G434"/>
      <c r="H434"/>
      <c r="I434"/>
      <c r="J434"/>
      <c r="K434"/>
      <c r="L434"/>
      <c r="M434"/>
      <c r="N434"/>
      <c r="O434"/>
    </row>
    <row r="435" spans="2:15">
      <c r="B435"/>
      <c r="C435"/>
      <c r="D435"/>
      <c r="E435"/>
      <c r="F435"/>
      <c r="G435"/>
      <c r="H435"/>
      <c r="I435"/>
      <c r="J435"/>
      <c r="K435"/>
      <c r="L435"/>
      <c r="M435"/>
      <c r="N435"/>
      <c r="O435"/>
    </row>
    <row r="436" spans="2:15">
      <c r="B436"/>
      <c r="C436"/>
      <c r="D436"/>
      <c r="E436"/>
      <c r="F436"/>
      <c r="G436"/>
      <c r="H436"/>
      <c r="I436"/>
      <c r="J436"/>
      <c r="K436"/>
      <c r="L436"/>
      <c r="M436"/>
      <c r="N436"/>
      <c r="O436"/>
    </row>
    <row r="437" spans="2:15">
      <c r="B437"/>
      <c r="C437"/>
      <c r="D437"/>
      <c r="E437"/>
      <c r="F437"/>
      <c r="G437"/>
      <c r="H437"/>
      <c r="I437"/>
      <c r="J437"/>
      <c r="K437"/>
      <c r="L437"/>
      <c r="M437"/>
      <c r="N437"/>
      <c r="O437"/>
    </row>
    <row r="438" spans="2:15">
      <c r="B438"/>
      <c r="C438"/>
      <c r="D438"/>
      <c r="E438"/>
      <c r="F438"/>
      <c r="G438"/>
      <c r="H438"/>
      <c r="I438"/>
      <c r="J438"/>
      <c r="K438"/>
      <c r="L438"/>
      <c r="M438"/>
      <c r="N438"/>
      <c r="O438"/>
    </row>
    <row r="439" spans="2:15">
      <c r="B439"/>
      <c r="C439"/>
      <c r="D439"/>
      <c r="E439"/>
      <c r="F439"/>
      <c r="G439"/>
      <c r="H439"/>
      <c r="I439"/>
      <c r="J439"/>
      <c r="K439"/>
      <c r="L439"/>
      <c r="M439"/>
      <c r="N439"/>
      <c r="O439"/>
    </row>
    <row r="440" spans="2:15">
      <c r="B440"/>
      <c r="C440"/>
      <c r="D440"/>
      <c r="E440"/>
      <c r="F440"/>
      <c r="G440"/>
      <c r="H440"/>
      <c r="I440"/>
      <c r="J440"/>
      <c r="K440"/>
      <c r="L440"/>
      <c r="M440"/>
      <c r="N440"/>
      <c r="O440"/>
    </row>
    <row r="441" spans="2:15">
      <c r="B441"/>
      <c r="C441"/>
      <c r="D441"/>
      <c r="E441"/>
      <c r="F441"/>
      <c r="G441"/>
      <c r="H441"/>
      <c r="I441"/>
      <c r="J441"/>
      <c r="K441"/>
      <c r="L441"/>
      <c r="M441"/>
      <c r="N441"/>
      <c r="O441"/>
    </row>
    <row r="442" spans="2:15">
      <c r="B442"/>
      <c r="C442"/>
      <c r="D442"/>
      <c r="E442"/>
      <c r="F442"/>
      <c r="G442"/>
      <c r="H442"/>
      <c r="I442"/>
      <c r="J442"/>
      <c r="K442"/>
      <c r="L442"/>
      <c r="M442"/>
      <c r="N442"/>
      <c r="O442"/>
    </row>
    <row r="443" spans="2:15">
      <c r="B443"/>
      <c r="C443"/>
      <c r="D443"/>
      <c r="E443"/>
      <c r="F443"/>
      <c r="G443"/>
      <c r="H443"/>
      <c r="I443"/>
      <c r="J443"/>
      <c r="K443"/>
      <c r="L443"/>
      <c r="M443"/>
      <c r="N443"/>
      <c r="O443"/>
    </row>
    <row r="444" spans="2:15">
      <c r="B444"/>
      <c r="C444"/>
      <c r="D444"/>
      <c r="E444"/>
      <c r="F444"/>
      <c r="G444"/>
      <c r="H444"/>
      <c r="I444"/>
      <c r="J444"/>
      <c r="K444"/>
      <c r="L444"/>
      <c r="M444"/>
      <c r="N444"/>
      <c r="O444"/>
    </row>
    <row r="445" spans="2:15">
      <c r="B445"/>
      <c r="C445"/>
      <c r="D445"/>
      <c r="E445"/>
      <c r="F445"/>
      <c r="G445"/>
      <c r="H445"/>
      <c r="I445"/>
      <c r="J445"/>
      <c r="K445"/>
      <c r="L445"/>
      <c r="M445"/>
      <c r="N445"/>
      <c r="O445"/>
    </row>
    <row r="446" spans="2:15">
      <c r="B446"/>
      <c r="C446"/>
      <c r="D446"/>
      <c r="E446"/>
      <c r="F446"/>
      <c r="G446"/>
      <c r="H446"/>
      <c r="I446"/>
      <c r="J446"/>
      <c r="K446"/>
      <c r="L446"/>
      <c r="M446"/>
      <c r="N446"/>
      <c r="O446"/>
    </row>
    <row r="447" spans="2:15">
      <c r="B447"/>
      <c r="C447"/>
      <c r="D447"/>
      <c r="E447"/>
      <c r="F447"/>
      <c r="G447"/>
      <c r="H447"/>
      <c r="I447"/>
      <c r="J447"/>
      <c r="K447"/>
      <c r="L447"/>
      <c r="M447"/>
      <c r="N447"/>
      <c r="O447"/>
    </row>
    <row r="448" spans="2:15">
      <c r="B448"/>
      <c r="C448"/>
      <c r="D448"/>
      <c r="E448"/>
      <c r="F448"/>
      <c r="G448"/>
      <c r="H448"/>
      <c r="I448"/>
      <c r="J448"/>
      <c r="K448"/>
      <c r="L448"/>
      <c r="M448"/>
      <c r="N448"/>
      <c r="O448"/>
    </row>
    <row r="449" spans="2:15">
      <c r="B449"/>
      <c r="C449"/>
      <c r="D449"/>
      <c r="E449"/>
      <c r="F449"/>
      <c r="G449"/>
      <c r="H449"/>
      <c r="I449"/>
      <c r="J449"/>
      <c r="K449"/>
      <c r="L449"/>
      <c r="M449"/>
      <c r="N449"/>
      <c r="O449"/>
    </row>
    <row r="450" spans="2:15">
      <c r="B450"/>
      <c r="C450"/>
      <c r="D450"/>
      <c r="E450"/>
      <c r="F450"/>
      <c r="G450"/>
      <c r="H450"/>
      <c r="I450"/>
      <c r="J450"/>
      <c r="K450"/>
      <c r="L450"/>
      <c r="M450"/>
      <c r="N450"/>
      <c r="O450"/>
    </row>
    <row r="451" spans="2:15">
      <c r="B451"/>
      <c r="C451"/>
      <c r="D451"/>
      <c r="E451"/>
      <c r="F451"/>
      <c r="G451"/>
      <c r="H451"/>
      <c r="I451"/>
      <c r="J451"/>
      <c r="K451"/>
      <c r="L451"/>
      <c r="M451"/>
      <c r="N451"/>
      <c r="O451"/>
    </row>
    <row r="452" spans="2:15">
      <c r="B452"/>
      <c r="C452"/>
      <c r="D452"/>
      <c r="E452"/>
      <c r="F452"/>
      <c r="G452"/>
      <c r="H452"/>
      <c r="I452"/>
      <c r="J452"/>
      <c r="K452"/>
      <c r="L452"/>
      <c r="M452"/>
      <c r="N452"/>
      <c r="O452"/>
    </row>
    <row r="453" spans="2:15">
      <c r="B453"/>
      <c r="C453"/>
      <c r="D453"/>
      <c r="E453"/>
      <c r="F453"/>
      <c r="G453"/>
      <c r="H453"/>
      <c r="I453"/>
      <c r="J453"/>
      <c r="K453"/>
      <c r="L453"/>
      <c r="M453"/>
      <c r="N453"/>
      <c r="O453"/>
    </row>
    <row r="454" spans="2:15">
      <c r="B454"/>
      <c r="C454"/>
      <c r="D454"/>
      <c r="E454"/>
      <c r="F454"/>
      <c r="G454"/>
      <c r="H454"/>
      <c r="I454"/>
      <c r="J454"/>
      <c r="K454"/>
      <c r="L454"/>
      <c r="M454"/>
      <c r="N454"/>
      <c r="O454"/>
    </row>
    <row r="455" spans="2:15">
      <c r="B455"/>
      <c r="C455"/>
      <c r="D455"/>
      <c r="E455"/>
      <c r="F455"/>
      <c r="G455"/>
      <c r="H455"/>
      <c r="I455"/>
      <c r="J455"/>
      <c r="K455"/>
      <c r="L455"/>
      <c r="M455"/>
      <c r="N455"/>
      <c r="O455"/>
    </row>
    <row r="456" spans="2:15">
      <c r="B456"/>
      <c r="C456"/>
      <c r="D456"/>
      <c r="E456"/>
      <c r="F456"/>
      <c r="G456"/>
      <c r="H456"/>
      <c r="I456"/>
      <c r="J456"/>
      <c r="K456"/>
      <c r="L456"/>
      <c r="M456"/>
      <c r="N456"/>
      <c r="O456"/>
    </row>
    <row r="457" spans="2:15">
      <c r="B457"/>
      <c r="C457"/>
      <c r="D457"/>
      <c r="E457"/>
      <c r="F457"/>
      <c r="G457"/>
      <c r="H457"/>
      <c r="I457"/>
      <c r="J457"/>
      <c r="K457"/>
      <c r="L457"/>
      <c r="M457"/>
      <c r="N457"/>
      <c r="O457"/>
    </row>
    <row r="458" spans="2:15">
      <c r="B458"/>
      <c r="C458"/>
      <c r="D458"/>
      <c r="E458"/>
      <c r="F458"/>
      <c r="G458"/>
      <c r="H458"/>
      <c r="I458"/>
      <c r="J458"/>
      <c r="K458"/>
      <c r="L458"/>
      <c r="M458"/>
      <c r="N458"/>
      <c r="O458"/>
    </row>
    <row r="459" spans="2:15">
      <c r="B459"/>
      <c r="C459"/>
      <c r="D459"/>
      <c r="E459"/>
      <c r="F459"/>
      <c r="G459"/>
      <c r="H459"/>
      <c r="I459"/>
      <c r="J459"/>
      <c r="K459"/>
      <c r="L459"/>
      <c r="M459"/>
      <c r="N459"/>
      <c r="O459"/>
    </row>
    <row r="460" spans="2:15">
      <c r="B460"/>
      <c r="C460"/>
      <c r="D460"/>
      <c r="E460"/>
      <c r="F460"/>
      <c r="G460"/>
      <c r="H460"/>
      <c r="I460"/>
      <c r="J460"/>
      <c r="K460"/>
      <c r="L460"/>
      <c r="M460"/>
      <c r="N460"/>
      <c r="O460"/>
    </row>
    <row r="461" spans="2:15">
      <c r="B461"/>
      <c r="C461"/>
      <c r="D461"/>
      <c r="E461"/>
      <c r="F461"/>
      <c r="G461"/>
      <c r="H461"/>
      <c r="I461"/>
      <c r="J461"/>
      <c r="K461"/>
      <c r="L461"/>
      <c r="M461"/>
      <c r="N461"/>
      <c r="O461"/>
    </row>
    <row r="462" spans="2:15">
      <c r="B462"/>
      <c r="C462"/>
      <c r="D462"/>
      <c r="E462"/>
      <c r="F462"/>
      <c r="G462"/>
      <c r="H462"/>
      <c r="I462"/>
      <c r="J462"/>
      <c r="K462"/>
      <c r="L462"/>
      <c r="M462"/>
      <c r="N462"/>
      <c r="O462"/>
    </row>
    <row r="463" spans="2:15">
      <c r="B463"/>
      <c r="C463"/>
      <c r="D463"/>
      <c r="E463"/>
      <c r="F463"/>
      <c r="G463"/>
      <c r="H463"/>
      <c r="I463"/>
      <c r="J463"/>
      <c r="K463"/>
      <c r="L463"/>
      <c r="M463"/>
      <c r="N463"/>
      <c r="O463"/>
    </row>
    <row r="464" spans="2:15">
      <c r="B464"/>
      <c r="C464"/>
      <c r="D464"/>
      <c r="E464"/>
      <c r="F464"/>
      <c r="G464"/>
      <c r="H464"/>
      <c r="I464"/>
      <c r="J464"/>
      <c r="K464"/>
      <c r="L464"/>
      <c r="M464"/>
      <c r="N464"/>
      <c r="O464"/>
    </row>
    <row r="465" spans="2:15">
      <c r="B465"/>
      <c r="C465"/>
      <c r="D465"/>
      <c r="E465"/>
      <c r="F465"/>
      <c r="G465"/>
      <c r="H465"/>
      <c r="I465"/>
      <c r="J465"/>
      <c r="K465"/>
      <c r="L465"/>
      <c r="M465"/>
      <c r="N465"/>
      <c r="O465"/>
    </row>
    <row r="466" spans="2:15">
      <c r="B466"/>
      <c r="C466"/>
      <c r="D466"/>
      <c r="E466"/>
      <c r="F466"/>
      <c r="G466"/>
      <c r="H466"/>
      <c r="I466"/>
      <c r="J466"/>
      <c r="K466"/>
      <c r="L466"/>
      <c r="M466"/>
      <c r="N466"/>
      <c r="O466"/>
    </row>
    <row r="467" spans="2:15">
      <c r="B467"/>
      <c r="C467"/>
      <c r="D467"/>
      <c r="E467"/>
      <c r="F467"/>
      <c r="G467"/>
      <c r="H467"/>
      <c r="I467"/>
      <c r="J467"/>
      <c r="K467"/>
      <c r="L467"/>
      <c r="M467"/>
      <c r="N467"/>
      <c r="O467"/>
    </row>
    <row r="468" spans="2:15">
      <c r="B468"/>
      <c r="C468"/>
      <c r="D468"/>
      <c r="E468"/>
      <c r="F468"/>
      <c r="G468"/>
      <c r="H468"/>
      <c r="I468"/>
      <c r="J468"/>
      <c r="K468"/>
      <c r="L468"/>
      <c r="M468"/>
      <c r="N468"/>
      <c r="O468"/>
    </row>
    <row r="469" spans="2:15">
      <c r="B469"/>
      <c r="C469"/>
      <c r="D469"/>
      <c r="E469"/>
      <c r="F469"/>
      <c r="G469"/>
      <c r="H469"/>
      <c r="I469"/>
      <c r="J469"/>
      <c r="K469"/>
      <c r="L469"/>
      <c r="M469"/>
      <c r="N469"/>
      <c r="O469"/>
    </row>
    <row r="470" spans="2:15">
      <c r="B470"/>
      <c r="C470"/>
      <c r="D470"/>
      <c r="E470"/>
      <c r="F470"/>
      <c r="G470"/>
      <c r="H470"/>
      <c r="I470"/>
      <c r="J470"/>
      <c r="K470"/>
      <c r="L470"/>
      <c r="M470"/>
      <c r="N470"/>
      <c r="O470"/>
    </row>
    <row r="471" spans="2:15">
      <c r="B471"/>
      <c r="C471"/>
      <c r="D471"/>
      <c r="E471"/>
      <c r="F471"/>
      <c r="G471"/>
      <c r="H471"/>
      <c r="I471"/>
      <c r="J471"/>
      <c r="K471"/>
      <c r="L471"/>
      <c r="M471"/>
      <c r="N471"/>
      <c r="O471"/>
    </row>
    <row r="472" spans="2:15">
      <c r="B472"/>
      <c r="C472"/>
      <c r="D472"/>
      <c r="E472"/>
      <c r="F472"/>
      <c r="G472"/>
      <c r="H472"/>
      <c r="I472"/>
      <c r="J472"/>
      <c r="K472"/>
      <c r="L472"/>
      <c r="M472"/>
      <c r="N472"/>
      <c r="O472"/>
    </row>
    <row r="473" spans="2:15">
      <c r="B473"/>
      <c r="C473"/>
      <c r="D473"/>
      <c r="E473"/>
      <c r="F473"/>
      <c r="G473"/>
      <c r="H473"/>
      <c r="I473"/>
      <c r="J473"/>
      <c r="K473"/>
      <c r="L473"/>
      <c r="M473"/>
      <c r="N473"/>
      <c r="O473"/>
    </row>
    <row r="474" spans="2:15">
      <c r="B474"/>
      <c r="C474"/>
      <c r="D474"/>
      <c r="E474"/>
      <c r="F474"/>
      <c r="G474"/>
      <c r="H474"/>
      <c r="I474"/>
      <c r="J474"/>
      <c r="K474"/>
      <c r="L474"/>
      <c r="M474"/>
      <c r="N474"/>
      <c r="O474"/>
    </row>
    <row r="475" spans="2:15">
      <c r="B475"/>
      <c r="C475"/>
      <c r="D475"/>
      <c r="E475"/>
      <c r="F475"/>
      <c r="G475"/>
      <c r="H475"/>
      <c r="I475"/>
      <c r="J475"/>
      <c r="K475"/>
      <c r="L475"/>
      <c r="M475"/>
      <c r="N475"/>
      <c r="O475"/>
    </row>
    <row r="476" spans="2:15">
      <c r="B476"/>
      <c r="C476"/>
      <c r="D476"/>
      <c r="E476"/>
      <c r="F476"/>
      <c r="G476"/>
      <c r="H476"/>
      <c r="I476"/>
      <c r="J476"/>
      <c r="K476"/>
      <c r="L476"/>
      <c r="M476"/>
      <c r="N476"/>
      <c r="O476"/>
    </row>
    <row r="477" spans="2:15">
      <c r="B477"/>
      <c r="C477"/>
      <c r="D477"/>
      <c r="E477"/>
      <c r="F477"/>
      <c r="G477"/>
      <c r="H477"/>
      <c r="I477"/>
      <c r="J477"/>
      <c r="K477"/>
      <c r="L477"/>
      <c r="M477"/>
      <c r="N477"/>
      <c r="O477"/>
    </row>
    <row r="478" spans="2:15">
      <c r="B478"/>
      <c r="C478"/>
      <c r="D478"/>
      <c r="E478"/>
      <c r="F478"/>
      <c r="G478"/>
      <c r="H478"/>
      <c r="I478"/>
      <c r="J478"/>
      <c r="K478"/>
      <c r="L478"/>
      <c r="M478"/>
      <c r="N478"/>
      <c r="O478"/>
    </row>
    <row r="479" spans="2:15">
      <c r="B479"/>
      <c r="C479"/>
      <c r="D479"/>
      <c r="E479"/>
      <c r="F479"/>
      <c r="G479"/>
      <c r="H479"/>
      <c r="I479"/>
      <c r="J479"/>
      <c r="K479"/>
      <c r="L479"/>
      <c r="M479"/>
      <c r="N479"/>
      <c r="O479"/>
    </row>
    <row r="480" spans="2:15">
      <c r="B480"/>
      <c r="C480"/>
      <c r="D480"/>
      <c r="E480"/>
      <c r="F480"/>
      <c r="G480"/>
      <c r="H480"/>
      <c r="I480"/>
      <c r="J480"/>
      <c r="K480"/>
      <c r="L480"/>
      <c r="M480"/>
      <c r="N480"/>
      <c r="O480"/>
    </row>
    <row r="481" spans="2:15">
      <c r="B481"/>
      <c r="C481"/>
      <c r="D481"/>
      <c r="E481"/>
      <c r="F481"/>
      <c r="G481"/>
      <c r="H481"/>
      <c r="I481"/>
      <c r="J481"/>
      <c r="K481"/>
      <c r="L481"/>
      <c r="M481"/>
      <c r="N481"/>
      <c r="O481"/>
    </row>
    <row r="482" spans="2:15">
      <c r="B482"/>
      <c r="C482"/>
      <c r="D482"/>
      <c r="E482"/>
      <c r="F482"/>
      <c r="G482"/>
      <c r="H482"/>
      <c r="I482"/>
      <c r="J482"/>
      <c r="K482"/>
      <c r="L482"/>
      <c r="M482"/>
      <c r="N482"/>
      <c r="O482"/>
    </row>
    <row r="483" spans="2:15">
      <c r="B483"/>
      <c r="C483"/>
      <c r="D483"/>
      <c r="E483"/>
      <c r="F483"/>
      <c r="G483"/>
      <c r="H483"/>
      <c r="I483"/>
      <c r="J483"/>
      <c r="K483"/>
      <c r="L483"/>
      <c r="M483"/>
      <c r="N483"/>
      <c r="O483"/>
    </row>
    <row r="484" spans="2:15">
      <c r="B484"/>
      <c r="C484"/>
      <c r="D484"/>
      <c r="E484"/>
      <c r="F484"/>
      <c r="G484"/>
      <c r="H484"/>
      <c r="I484"/>
      <c r="J484"/>
      <c r="K484"/>
      <c r="L484"/>
      <c r="M484"/>
      <c r="N484"/>
      <c r="O484"/>
    </row>
    <row r="485" spans="2:15">
      <c r="B485"/>
      <c r="C485"/>
      <c r="D485"/>
      <c r="E485"/>
      <c r="F485"/>
      <c r="G485"/>
      <c r="H485"/>
      <c r="I485"/>
      <c r="J485"/>
      <c r="K485"/>
      <c r="L485"/>
      <c r="M485"/>
      <c r="N485"/>
      <c r="O485"/>
    </row>
    <row r="486" spans="2:15">
      <c r="B486"/>
      <c r="C486"/>
      <c r="D486"/>
      <c r="E486"/>
      <c r="F486"/>
      <c r="G486"/>
      <c r="H486"/>
      <c r="I486"/>
      <c r="J486"/>
      <c r="K486"/>
      <c r="L486"/>
      <c r="M486"/>
      <c r="N486"/>
      <c r="O486"/>
    </row>
    <row r="487" spans="2:15">
      <c r="B487"/>
      <c r="C487"/>
      <c r="D487"/>
      <c r="E487"/>
      <c r="F487"/>
      <c r="G487"/>
      <c r="H487"/>
      <c r="I487"/>
      <c r="J487"/>
      <c r="K487"/>
      <c r="L487"/>
      <c r="M487"/>
      <c r="N487"/>
      <c r="O487"/>
    </row>
    <row r="488" spans="2:15">
      <c r="B488"/>
      <c r="C488"/>
      <c r="D488"/>
      <c r="E488"/>
      <c r="F488"/>
      <c r="G488"/>
      <c r="H488"/>
      <c r="I488"/>
      <c r="J488"/>
      <c r="K488"/>
      <c r="L488"/>
      <c r="M488"/>
      <c r="N488"/>
      <c r="O488"/>
    </row>
    <row r="489" spans="2:15">
      <c r="B489"/>
      <c r="C489"/>
      <c r="D489"/>
      <c r="E489"/>
      <c r="F489"/>
      <c r="G489"/>
      <c r="H489"/>
      <c r="I489"/>
      <c r="J489"/>
      <c r="K489"/>
      <c r="L489"/>
      <c r="M489"/>
      <c r="N489"/>
      <c r="O489"/>
    </row>
    <row r="490" spans="2:15">
      <c r="B490"/>
      <c r="C490"/>
      <c r="D490"/>
      <c r="E490"/>
      <c r="F490"/>
      <c r="G490"/>
      <c r="H490"/>
      <c r="I490"/>
      <c r="J490"/>
      <c r="K490"/>
      <c r="L490"/>
      <c r="M490"/>
      <c r="N490"/>
      <c r="O490"/>
    </row>
    <row r="491" spans="2:15">
      <c r="B491"/>
      <c r="C491"/>
      <c r="D491"/>
      <c r="E491"/>
      <c r="F491"/>
      <c r="G491"/>
      <c r="H491"/>
      <c r="I491"/>
      <c r="J491"/>
      <c r="K491"/>
      <c r="L491"/>
      <c r="M491"/>
      <c r="N491"/>
      <c r="O491"/>
    </row>
    <row r="492" spans="2:15">
      <c r="B492"/>
      <c r="C492"/>
      <c r="D492"/>
      <c r="E492"/>
      <c r="F492"/>
      <c r="G492"/>
      <c r="H492"/>
      <c r="I492"/>
      <c r="J492"/>
      <c r="K492"/>
      <c r="L492"/>
      <c r="M492"/>
      <c r="N492"/>
      <c r="O492"/>
    </row>
    <row r="493" spans="2:15">
      <c r="B493"/>
      <c r="C493"/>
      <c r="D493"/>
      <c r="E493"/>
      <c r="F493"/>
      <c r="G493"/>
      <c r="H493"/>
      <c r="I493"/>
      <c r="J493"/>
      <c r="K493"/>
      <c r="L493"/>
      <c r="M493"/>
      <c r="N493"/>
      <c r="O493"/>
    </row>
    <row r="494" spans="2:15">
      <c r="B494"/>
      <c r="C494"/>
      <c r="D494"/>
      <c r="E494"/>
      <c r="F494"/>
      <c r="G494"/>
      <c r="H494"/>
      <c r="I494"/>
      <c r="J494"/>
      <c r="K494"/>
      <c r="L494"/>
      <c r="M494"/>
      <c r="N494"/>
      <c r="O494"/>
    </row>
    <row r="495" spans="2:15">
      <c r="B495"/>
      <c r="C495"/>
      <c r="D495"/>
      <c r="E495"/>
      <c r="F495"/>
      <c r="G495"/>
      <c r="H495"/>
      <c r="I495"/>
      <c r="J495"/>
      <c r="K495"/>
      <c r="L495"/>
      <c r="M495"/>
      <c r="N495"/>
      <c r="O495"/>
    </row>
    <row r="496" spans="2:15">
      <c r="B496"/>
      <c r="C496"/>
      <c r="D496"/>
      <c r="E496"/>
      <c r="F496"/>
      <c r="G496"/>
      <c r="H496"/>
      <c r="I496"/>
      <c r="J496"/>
      <c r="K496"/>
      <c r="L496"/>
      <c r="M496"/>
      <c r="N496"/>
      <c r="O496"/>
    </row>
    <row r="497" spans="2:15">
      <c r="B497"/>
      <c r="C497"/>
      <c r="D497"/>
      <c r="E497"/>
      <c r="F497"/>
      <c r="G497"/>
      <c r="H497"/>
      <c r="I497"/>
      <c r="J497"/>
      <c r="K497"/>
      <c r="L497"/>
      <c r="M497"/>
      <c r="N497"/>
      <c r="O497"/>
    </row>
    <row r="498" spans="2:15">
      <c r="B498"/>
      <c r="C498"/>
      <c r="D498"/>
      <c r="E498"/>
      <c r="F498"/>
      <c r="G498"/>
      <c r="H498"/>
      <c r="I498"/>
      <c r="J498"/>
      <c r="K498"/>
      <c r="L498"/>
      <c r="M498"/>
      <c r="N498"/>
      <c r="O498"/>
    </row>
    <row r="499" spans="2:15">
      <c r="B499"/>
      <c r="C499"/>
      <c r="D499"/>
      <c r="E499"/>
      <c r="F499"/>
      <c r="G499"/>
      <c r="H499"/>
      <c r="I499"/>
      <c r="J499"/>
      <c r="K499"/>
      <c r="L499"/>
      <c r="M499"/>
      <c r="N499"/>
      <c r="O499"/>
    </row>
    <row r="500" spans="2:15">
      <c r="B500"/>
      <c r="C500"/>
      <c r="D500"/>
      <c r="E500"/>
      <c r="F500"/>
      <c r="G500"/>
      <c r="H500"/>
      <c r="I500"/>
      <c r="J500"/>
      <c r="K500"/>
      <c r="L500"/>
      <c r="M500"/>
      <c r="N500"/>
      <c r="O500"/>
    </row>
    <row r="501" spans="2:15">
      <c r="B501"/>
      <c r="C501"/>
      <c r="D501"/>
      <c r="E501"/>
      <c r="F501"/>
      <c r="G501"/>
      <c r="H501"/>
      <c r="I501"/>
      <c r="J501"/>
      <c r="K501"/>
      <c r="L501"/>
      <c r="M501"/>
      <c r="N501"/>
      <c r="O501"/>
    </row>
    <row r="502" spans="2:15">
      <c r="B502"/>
      <c r="C502"/>
      <c r="D502"/>
      <c r="E502"/>
      <c r="F502"/>
      <c r="G502"/>
      <c r="H502"/>
      <c r="I502"/>
      <c r="J502"/>
      <c r="K502"/>
      <c r="L502"/>
      <c r="M502"/>
      <c r="N502"/>
      <c r="O502"/>
    </row>
    <row r="503" spans="2:15">
      <c r="B503"/>
      <c r="C503"/>
      <c r="D503"/>
      <c r="E503"/>
      <c r="F503"/>
      <c r="G503"/>
      <c r="H503"/>
      <c r="I503"/>
      <c r="J503"/>
      <c r="K503"/>
      <c r="L503"/>
      <c r="M503"/>
      <c r="N503"/>
      <c r="O503"/>
    </row>
    <row r="504" spans="2:15">
      <c r="B504"/>
      <c r="C504"/>
      <c r="D504"/>
      <c r="E504"/>
      <c r="F504"/>
      <c r="G504"/>
      <c r="H504"/>
      <c r="I504"/>
      <c r="J504"/>
      <c r="K504"/>
      <c r="L504"/>
      <c r="M504"/>
      <c r="N504"/>
      <c r="O504"/>
    </row>
    <row r="505" spans="2:15">
      <c r="B505"/>
      <c r="C505"/>
      <c r="D505"/>
      <c r="E505"/>
      <c r="F505"/>
      <c r="G505"/>
      <c r="H505"/>
      <c r="I505"/>
      <c r="J505"/>
      <c r="K505"/>
      <c r="L505"/>
      <c r="M505"/>
      <c r="N505"/>
      <c r="O505"/>
    </row>
    <row r="506" spans="2:15">
      <c r="B506"/>
      <c r="C506"/>
      <c r="D506"/>
      <c r="E506"/>
      <c r="F506"/>
      <c r="G506"/>
      <c r="H506"/>
      <c r="I506"/>
      <c r="J506"/>
      <c r="K506"/>
      <c r="L506"/>
      <c r="M506"/>
      <c r="N506"/>
      <c r="O506"/>
    </row>
    <row r="507" spans="2:15">
      <c r="B507"/>
      <c r="C507"/>
      <c r="D507"/>
      <c r="E507"/>
      <c r="F507"/>
      <c r="G507"/>
      <c r="H507"/>
      <c r="I507"/>
      <c r="J507"/>
      <c r="K507"/>
      <c r="L507"/>
      <c r="M507"/>
      <c r="N507"/>
      <c r="O507"/>
    </row>
    <row r="508" spans="2:15">
      <c r="B508"/>
      <c r="C508"/>
      <c r="D508"/>
      <c r="E508"/>
      <c r="F508"/>
      <c r="G508"/>
      <c r="H508"/>
      <c r="I508"/>
      <c r="J508"/>
      <c r="K508"/>
      <c r="L508"/>
      <c r="M508"/>
      <c r="N508"/>
      <c r="O508"/>
    </row>
    <row r="509" spans="2:15">
      <c r="B509"/>
      <c r="C509"/>
      <c r="D509"/>
      <c r="E509"/>
      <c r="F509"/>
      <c r="G509"/>
      <c r="H509"/>
      <c r="I509"/>
      <c r="J509"/>
      <c r="K509"/>
      <c r="L509"/>
      <c r="M509"/>
      <c r="N509"/>
      <c r="O509"/>
    </row>
    <row r="510" spans="2:15">
      <c r="B510"/>
      <c r="C510"/>
      <c r="D510"/>
      <c r="E510"/>
      <c r="F510"/>
      <c r="G510"/>
      <c r="H510"/>
      <c r="I510"/>
      <c r="J510"/>
      <c r="K510"/>
      <c r="L510"/>
      <c r="M510"/>
      <c r="N510"/>
      <c r="O510"/>
    </row>
    <row r="511" spans="2:15">
      <c r="B511"/>
      <c r="C511"/>
      <c r="D511"/>
      <c r="E511"/>
      <c r="F511"/>
      <c r="G511"/>
      <c r="H511"/>
      <c r="I511"/>
      <c r="J511"/>
      <c r="K511"/>
      <c r="L511"/>
      <c r="M511"/>
      <c r="N511"/>
      <c r="O511"/>
    </row>
    <row r="512" spans="2:15">
      <c r="B512"/>
      <c r="C512"/>
      <c r="D512"/>
      <c r="E512"/>
      <c r="F512"/>
      <c r="G512"/>
      <c r="H512"/>
      <c r="I512"/>
      <c r="J512"/>
      <c r="K512"/>
      <c r="L512"/>
      <c r="M512"/>
      <c r="N512"/>
      <c r="O512"/>
    </row>
    <row r="513" spans="2:15">
      <c r="B513"/>
      <c r="C513"/>
      <c r="D513"/>
      <c r="E513"/>
      <c r="F513"/>
      <c r="G513"/>
      <c r="H513"/>
      <c r="I513"/>
      <c r="J513"/>
      <c r="K513"/>
      <c r="L513"/>
      <c r="M513"/>
      <c r="N513"/>
      <c r="O513"/>
    </row>
    <row r="514" spans="2:15">
      <c r="B514"/>
      <c r="C514"/>
      <c r="D514"/>
      <c r="E514"/>
      <c r="F514"/>
      <c r="G514"/>
      <c r="H514"/>
      <c r="I514"/>
      <c r="J514"/>
      <c r="K514"/>
      <c r="L514"/>
      <c r="M514"/>
      <c r="N514"/>
      <c r="O514"/>
    </row>
    <row r="515" spans="2:15">
      <c r="B515"/>
      <c r="C515"/>
      <c r="D515"/>
      <c r="E515"/>
      <c r="F515"/>
      <c r="G515"/>
      <c r="H515"/>
      <c r="I515"/>
      <c r="J515"/>
      <c r="K515"/>
      <c r="L515"/>
      <c r="M515"/>
      <c r="N515"/>
      <c r="O515"/>
    </row>
    <row r="516" spans="2:15">
      <c r="B516"/>
      <c r="C516"/>
      <c r="D516"/>
      <c r="E516"/>
      <c r="F516"/>
      <c r="G516"/>
      <c r="H516"/>
      <c r="I516"/>
      <c r="J516"/>
      <c r="K516"/>
      <c r="L516"/>
      <c r="M516"/>
      <c r="N516"/>
      <c r="O516"/>
    </row>
    <row r="517" spans="2:15">
      <c r="B517"/>
      <c r="C517"/>
      <c r="D517"/>
      <c r="E517"/>
      <c r="F517"/>
      <c r="G517"/>
      <c r="H517"/>
      <c r="I517"/>
      <c r="J517"/>
      <c r="K517"/>
      <c r="L517"/>
      <c r="M517"/>
      <c r="N517"/>
      <c r="O517"/>
    </row>
    <row r="518" spans="2:15">
      <c r="B518"/>
      <c r="C518"/>
      <c r="D518"/>
      <c r="E518"/>
      <c r="F518"/>
      <c r="G518"/>
      <c r="H518"/>
      <c r="I518"/>
      <c r="J518"/>
      <c r="K518"/>
      <c r="L518"/>
      <c r="M518"/>
      <c r="N518"/>
      <c r="O518"/>
    </row>
    <row r="519" spans="2:15">
      <c r="B519"/>
      <c r="C519"/>
      <c r="D519"/>
      <c r="E519"/>
      <c r="F519"/>
      <c r="G519"/>
      <c r="H519"/>
      <c r="I519"/>
      <c r="J519"/>
      <c r="K519"/>
      <c r="L519"/>
      <c r="M519"/>
      <c r="N519"/>
      <c r="O519"/>
    </row>
    <row r="520" spans="2:15">
      <c r="B520"/>
      <c r="C520"/>
      <c r="D520"/>
      <c r="E520"/>
      <c r="F520"/>
      <c r="G520"/>
      <c r="H520"/>
      <c r="I520"/>
      <c r="J520"/>
      <c r="K520"/>
      <c r="L520"/>
      <c r="M520"/>
      <c r="N520"/>
      <c r="O520"/>
    </row>
    <row r="521" spans="2:15">
      <c r="B521"/>
      <c r="C521"/>
      <c r="D521"/>
      <c r="E521"/>
      <c r="F521"/>
      <c r="G521"/>
      <c r="H521"/>
      <c r="I521"/>
      <c r="J521"/>
      <c r="K521"/>
      <c r="L521"/>
      <c r="M521"/>
      <c r="N521"/>
      <c r="O521"/>
    </row>
    <row r="522" spans="2:15">
      <c r="B522"/>
      <c r="C522"/>
      <c r="D522"/>
      <c r="E522"/>
      <c r="F522"/>
      <c r="G522"/>
      <c r="H522"/>
      <c r="I522"/>
      <c r="J522"/>
      <c r="K522"/>
      <c r="L522"/>
      <c r="M522"/>
      <c r="N522"/>
      <c r="O522"/>
    </row>
    <row r="523" spans="2:15">
      <c r="B523"/>
      <c r="C523"/>
      <c r="D523"/>
      <c r="E523"/>
      <c r="F523"/>
      <c r="G523"/>
      <c r="H523"/>
      <c r="I523"/>
      <c r="J523"/>
      <c r="K523"/>
      <c r="L523"/>
      <c r="M523"/>
      <c r="N523"/>
      <c r="O523"/>
    </row>
    <row r="524" spans="2:15">
      <c r="B524"/>
      <c r="C524"/>
      <c r="D524"/>
      <c r="E524"/>
      <c r="F524"/>
      <c r="G524"/>
      <c r="H524"/>
      <c r="I524"/>
      <c r="J524"/>
      <c r="K524"/>
      <c r="L524"/>
      <c r="M524"/>
      <c r="N524"/>
      <c r="O524"/>
    </row>
    <row r="525" spans="2:15">
      <c r="B525"/>
      <c r="C525"/>
      <c r="D525"/>
      <c r="E525"/>
      <c r="F525"/>
      <c r="G525"/>
      <c r="H525"/>
      <c r="I525"/>
      <c r="J525"/>
      <c r="K525"/>
      <c r="L525"/>
      <c r="M525"/>
      <c r="N525"/>
      <c r="O525"/>
    </row>
    <row r="526" spans="2:15">
      <c r="B526"/>
      <c r="C526"/>
      <c r="D526"/>
      <c r="E526"/>
      <c r="F526"/>
      <c r="G526"/>
      <c r="H526"/>
      <c r="I526"/>
      <c r="J526"/>
      <c r="K526"/>
      <c r="L526"/>
      <c r="M526"/>
      <c r="N526"/>
      <c r="O526"/>
    </row>
    <row r="527" spans="2:15">
      <c r="B527"/>
      <c r="C527"/>
      <c r="D527"/>
      <c r="E527"/>
      <c r="F527"/>
      <c r="G527"/>
      <c r="H527"/>
      <c r="I527"/>
      <c r="J527"/>
      <c r="K527"/>
      <c r="L527"/>
      <c r="M527"/>
      <c r="N527"/>
      <c r="O527"/>
    </row>
    <row r="528" spans="2:15">
      <c r="B528"/>
      <c r="C528"/>
      <c r="D528"/>
      <c r="E528"/>
      <c r="F528"/>
      <c r="G528"/>
      <c r="H528"/>
      <c r="I528"/>
      <c r="J528"/>
      <c r="K528"/>
      <c r="L528"/>
      <c r="M528"/>
      <c r="N528"/>
      <c r="O528"/>
    </row>
    <row r="529" spans="2:15">
      <c r="B529"/>
      <c r="C529"/>
      <c r="D529"/>
      <c r="E529"/>
      <c r="F529"/>
      <c r="G529"/>
      <c r="H529"/>
      <c r="I529"/>
      <c r="J529"/>
      <c r="K529"/>
      <c r="L529"/>
      <c r="M529"/>
      <c r="N529"/>
      <c r="O529"/>
    </row>
    <row r="530" spans="2:15">
      <c r="B530"/>
      <c r="C530"/>
      <c r="D530"/>
      <c r="E530"/>
      <c r="F530"/>
      <c r="G530"/>
      <c r="H530"/>
      <c r="I530"/>
      <c r="J530"/>
      <c r="K530"/>
      <c r="L530"/>
      <c r="M530"/>
      <c r="N530"/>
      <c r="O530"/>
    </row>
    <row r="531" spans="2:15">
      <c r="B531"/>
      <c r="C531"/>
      <c r="D531"/>
      <c r="E531"/>
      <c r="F531"/>
      <c r="G531"/>
      <c r="H531"/>
      <c r="I531"/>
      <c r="J531"/>
      <c r="K531"/>
      <c r="L531"/>
      <c r="M531"/>
      <c r="N531"/>
      <c r="O531"/>
    </row>
    <row r="532" spans="2:15">
      <c r="B532"/>
      <c r="C532"/>
      <c r="D532"/>
      <c r="E532"/>
      <c r="F532"/>
      <c r="G532"/>
      <c r="H532"/>
      <c r="I532"/>
      <c r="J532"/>
      <c r="K532"/>
      <c r="L532"/>
      <c r="M532"/>
      <c r="N532"/>
      <c r="O532"/>
    </row>
    <row r="533" spans="2:15">
      <c r="B533"/>
      <c r="C533"/>
      <c r="D533"/>
      <c r="E533"/>
      <c r="F533"/>
      <c r="G533"/>
      <c r="H533"/>
      <c r="I533"/>
      <c r="J533"/>
      <c r="K533"/>
      <c r="L533"/>
      <c r="M533"/>
      <c r="N533"/>
      <c r="O533"/>
    </row>
    <row r="534" spans="2:15">
      <c r="B534"/>
      <c r="C534"/>
      <c r="D534"/>
      <c r="E534"/>
      <c r="F534"/>
      <c r="G534"/>
      <c r="H534"/>
      <c r="I534"/>
      <c r="J534"/>
      <c r="K534"/>
      <c r="L534"/>
      <c r="M534"/>
      <c r="N534"/>
      <c r="O534"/>
    </row>
    <row r="535" spans="2:15">
      <c r="B535"/>
      <c r="C535"/>
      <c r="D535"/>
      <c r="E535"/>
      <c r="F535"/>
      <c r="G535"/>
      <c r="H535"/>
      <c r="I535"/>
      <c r="J535"/>
      <c r="K535"/>
      <c r="L535"/>
      <c r="M535"/>
      <c r="N535"/>
      <c r="O535"/>
    </row>
    <row r="536" spans="2:15">
      <c r="B536"/>
      <c r="C536"/>
      <c r="D536"/>
      <c r="E536"/>
      <c r="F536"/>
      <c r="G536"/>
      <c r="H536"/>
      <c r="I536"/>
      <c r="J536"/>
      <c r="K536"/>
      <c r="L536"/>
      <c r="M536"/>
      <c r="N536"/>
      <c r="O536"/>
    </row>
    <row r="537" spans="2:15">
      <c r="B537"/>
      <c r="C537"/>
      <c r="D537"/>
      <c r="E537"/>
      <c r="F537"/>
      <c r="G537"/>
      <c r="H537"/>
      <c r="I537"/>
      <c r="J537"/>
      <c r="K537"/>
      <c r="L537"/>
      <c r="M537"/>
      <c r="N537"/>
      <c r="O537"/>
    </row>
    <row r="538" spans="2:15">
      <c r="B538"/>
      <c r="C538"/>
      <c r="D538"/>
      <c r="E538"/>
      <c r="F538"/>
      <c r="G538"/>
      <c r="H538"/>
      <c r="I538"/>
      <c r="J538"/>
      <c r="K538"/>
      <c r="L538"/>
      <c r="M538"/>
      <c r="N538"/>
      <c r="O538"/>
    </row>
    <row r="539" spans="2:15">
      <c r="B539"/>
      <c r="C539"/>
      <c r="D539"/>
      <c r="E539"/>
      <c r="F539"/>
      <c r="G539"/>
      <c r="H539"/>
      <c r="I539"/>
      <c r="J539"/>
      <c r="K539"/>
      <c r="L539"/>
      <c r="M539"/>
      <c r="N539"/>
      <c r="O539"/>
    </row>
    <row r="540" spans="2:15">
      <c r="B540"/>
      <c r="C540"/>
      <c r="D540"/>
      <c r="E540"/>
      <c r="F540"/>
      <c r="G540"/>
      <c r="H540"/>
      <c r="I540"/>
      <c r="J540"/>
      <c r="K540"/>
      <c r="L540"/>
      <c r="M540"/>
      <c r="N540"/>
      <c r="O540"/>
    </row>
    <row r="541" spans="2:15">
      <c r="B541"/>
      <c r="C541"/>
      <c r="D541"/>
      <c r="E541"/>
      <c r="F541"/>
      <c r="G541"/>
      <c r="H541"/>
      <c r="I541"/>
      <c r="J541"/>
      <c r="K541"/>
      <c r="L541"/>
      <c r="M541"/>
      <c r="N541"/>
      <c r="O541"/>
    </row>
    <row r="542" spans="2:15">
      <c r="B542"/>
      <c r="C542"/>
      <c r="D542"/>
      <c r="E542"/>
      <c r="F542"/>
      <c r="G542"/>
      <c r="H542"/>
      <c r="I542"/>
      <c r="J542"/>
      <c r="K542"/>
      <c r="L542"/>
      <c r="M542"/>
      <c r="N542"/>
      <c r="O542"/>
    </row>
    <row r="543" spans="2:15">
      <c r="B543"/>
      <c r="C543"/>
      <c r="D543"/>
      <c r="E543"/>
      <c r="F543"/>
      <c r="G543"/>
      <c r="H543"/>
      <c r="I543"/>
      <c r="J543"/>
      <c r="K543"/>
      <c r="L543"/>
      <c r="M543"/>
      <c r="N543"/>
      <c r="O543"/>
    </row>
    <row r="544" spans="2:15">
      <c r="B544"/>
      <c r="C544"/>
      <c r="D544"/>
      <c r="E544"/>
      <c r="F544"/>
      <c r="G544"/>
      <c r="H544"/>
      <c r="I544"/>
      <c r="J544"/>
      <c r="K544"/>
      <c r="L544"/>
      <c r="M544"/>
      <c r="N544"/>
      <c r="O544"/>
    </row>
    <row r="545" spans="2:15">
      <c r="B545"/>
      <c r="C545"/>
      <c r="D545"/>
      <c r="E545"/>
      <c r="F545"/>
      <c r="G545"/>
      <c r="H545"/>
      <c r="I545"/>
      <c r="J545"/>
      <c r="K545"/>
      <c r="L545"/>
      <c r="M545"/>
      <c r="N545"/>
      <c r="O545"/>
    </row>
    <row r="546" spans="2:15">
      <c r="B546"/>
      <c r="C546"/>
      <c r="D546"/>
      <c r="E546"/>
      <c r="F546"/>
      <c r="G546"/>
      <c r="H546"/>
      <c r="I546"/>
      <c r="J546"/>
      <c r="K546"/>
      <c r="L546"/>
      <c r="M546"/>
      <c r="N546"/>
      <c r="O546"/>
    </row>
    <row r="547" spans="2:15">
      <c r="B547"/>
      <c r="C547"/>
      <c r="D547"/>
      <c r="E547"/>
      <c r="F547"/>
      <c r="G547"/>
      <c r="H547"/>
      <c r="I547"/>
      <c r="J547"/>
      <c r="K547"/>
      <c r="L547"/>
      <c r="M547"/>
      <c r="N547"/>
      <c r="O547"/>
    </row>
    <row r="548" spans="2:15">
      <c r="B548"/>
      <c r="C548"/>
      <c r="D548"/>
      <c r="E548"/>
      <c r="F548"/>
      <c r="G548"/>
      <c r="H548"/>
      <c r="I548"/>
      <c r="J548"/>
      <c r="K548"/>
      <c r="L548"/>
      <c r="M548"/>
      <c r="N548"/>
      <c r="O548"/>
    </row>
    <row r="549" spans="2:15">
      <c r="B549"/>
      <c r="C549"/>
      <c r="D549"/>
      <c r="E549"/>
      <c r="F549"/>
      <c r="G549"/>
      <c r="H549"/>
      <c r="I549"/>
      <c r="J549"/>
      <c r="K549"/>
      <c r="L549"/>
      <c r="M549"/>
      <c r="N549"/>
      <c r="O549"/>
    </row>
    <row r="550" spans="2:15">
      <c r="B550"/>
      <c r="C550"/>
      <c r="D550"/>
      <c r="E550"/>
      <c r="F550"/>
      <c r="G550"/>
      <c r="H550"/>
      <c r="I550"/>
      <c r="J550"/>
      <c r="K550"/>
      <c r="L550"/>
      <c r="M550"/>
      <c r="N550"/>
      <c r="O550"/>
    </row>
    <row r="551" spans="2:15">
      <c r="B551"/>
      <c r="C551"/>
      <c r="D551"/>
      <c r="E551"/>
      <c r="F551"/>
      <c r="G551"/>
      <c r="H551"/>
      <c r="I551"/>
      <c r="J551"/>
      <c r="K551"/>
      <c r="L551"/>
      <c r="M551"/>
      <c r="N551"/>
      <c r="O551"/>
    </row>
    <row r="552" spans="2:15">
      <c r="B552"/>
      <c r="C552"/>
      <c r="D552"/>
      <c r="E552"/>
      <c r="F552"/>
      <c r="G552"/>
      <c r="H552"/>
      <c r="I552"/>
      <c r="J552"/>
      <c r="K552"/>
      <c r="L552"/>
      <c r="M552"/>
      <c r="N552"/>
      <c r="O552"/>
    </row>
    <row r="553" spans="2:15">
      <c r="B553"/>
      <c r="C553"/>
      <c r="D553"/>
      <c r="E553"/>
      <c r="F553"/>
      <c r="G553"/>
      <c r="H553"/>
      <c r="I553"/>
      <c r="J553"/>
      <c r="K553"/>
      <c r="L553"/>
      <c r="M553"/>
      <c r="N553"/>
      <c r="O553"/>
    </row>
    <row r="554" spans="2:15">
      <c r="B554"/>
      <c r="C554"/>
      <c r="D554"/>
      <c r="E554"/>
      <c r="F554"/>
      <c r="G554"/>
      <c r="H554"/>
      <c r="I554"/>
      <c r="J554"/>
      <c r="K554"/>
      <c r="L554"/>
      <c r="M554"/>
      <c r="N554"/>
      <c r="O554"/>
    </row>
    <row r="555" spans="2:15">
      <c r="B555"/>
      <c r="C555"/>
      <c r="D555"/>
      <c r="E555"/>
      <c r="F555"/>
      <c r="G555"/>
      <c r="H555"/>
      <c r="I555"/>
      <c r="J555"/>
      <c r="K555"/>
      <c r="L555"/>
      <c r="M555"/>
      <c r="N555"/>
      <c r="O555"/>
    </row>
    <row r="556" spans="2:15">
      <c r="B556"/>
      <c r="C556"/>
      <c r="D556"/>
      <c r="E556"/>
      <c r="F556"/>
      <c r="G556"/>
      <c r="H556"/>
      <c r="I556"/>
      <c r="J556"/>
      <c r="K556"/>
      <c r="L556"/>
      <c r="M556"/>
      <c r="N556"/>
      <c r="O556"/>
    </row>
    <row r="557" spans="2:15">
      <c r="B557"/>
      <c r="C557"/>
      <c r="D557"/>
      <c r="E557"/>
      <c r="F557"/>
      <c r="G557"/>
      <c r="H557"/>
      <c r="I557"/>
      <c r="J557"/>
      <c r="K557"/>
      <c r="L557"/>
      <c r="M557"/>
      <c r="N557"/>
      <c r="O557"/>
    </row>
    <row r="558" spans="2:15">
      <c r="B558"/>
      <c r="C558"/>
      <c r="D558"/>
      <c r="E558"/>
      <c r="F558"/>
      <c r="G558"/>
      <c r="H558"/>
      <c r="I558"/>
      <c r="J558"/>
      <c r="K558"/>
      <c r="L558"/>
      <c r="M558"/>
      <c r="N558"/>
      <c r="O558"/>
    </row>
    <row r="559" spans="2:15">
      <c r="B559"/>
      <c r="C559"/>
      <c r="D559"/>
      <c r="E559"/>
      <c r="F559"/>
      <c r="G559"/>
      <c r="H559"/>
      <c r="I559"/>
      <c r="J559"/>
      <c r="K559"/>
      <c r="L559"/>
      <c r="M559"/>
      <c r="N559"/>
      <c r="O559"/>
    </row>
    <row r="560" spans="2:15">
      <c r="B560"/>
      <c r="C560"/>
      <c r="D560"/>
      <c r="E560"/>
      <c r="F560"/>
      <c r="G560"/>
      <c r="H560"/>
      <c r="I560"/>
      <c r="J560"/>
      <c r="K560"/>
      <c r="L560"/>
      <c r="M560"/>
      <c r="N560"/>
      <c r="O560"/>
    </row>
    <row r="561" spans="2:15">
      <c r="B561"/>
      <c r="C561"/>
      <c r="D561"/>
      <c r="E561"/>
      <c r="F561"/>
      <c r="G561"/>
      <c r="H561"/>
      <c r="I561"/>
      <c r="J561"/>
      <c r="K561"/>
      <c r="L561"/>
      <c r="M561"/>
      <c r="N561"/>
      <c r="O561"/>
    </row>
    <row r="562" spans="2:15">
      <c r="B562"/>
      <c r="C562"/>
      <c r="D562"/>
      <c r="E562"/>
      <c r="F562"/>
      <c r="G562"/>
      <c r="H562"/>
      <c r="I562"/>
      <c r="J562"/>
      <c r="K562"/>
      <c r="L562"/>
      <c r="M562"/>
      <c r="N562"/>
      <c r="O562"/>
    </row>
    <row r="563" spans="2:15">
      <c r="B563"/>
      <c r="C563"/>
      <c r="D563"/>
      <c r="E563"/>
      <c r="F563"/>
      <c r="G563"/>
      <c r="H563"/>
      <c r="I563"/>
      <c r="J563"/>
      <c r="K563"/>
      <c r="L563"/>
      <c r="M563"/>
      <c r="N563"/>
      <c r="O563"/>
    </row>
    <row r="564" spans="2:15">
      <c r="B564"/>
      <c r="C564"/>
      <c r="D564"/>
      <c r="E564"/>
      <c r="F564"/>
      <c r="G564"/>
      <c r="H564"/>
      <c r="I564"/>
      <c r="J564"/>
      <c r="K564"/>
      <c r="L564"/>
      <c r="M564"/>
      <c r="N564"/>
      <c r="O564"/>
    </row>
    <row r="565" spans="2:15">
      <c r="B565"/>
      <c r="C565"/>
      <c r="D565"/>
      <c r="E565"/>
      <c r="F565"/>
      <c r="G565"/>
      <c r="H565"/>
      <c r="I565"/>
      <c r="J565"/>
      <c r="K565"/>
      <c r="L565"/>
      <c r="M565"/>
      <c r="N565"/>
      <c r="O565"/>
    </row>
    <row r="566" spans="2:15">
      <c r="B566"/>
      <c r="C566"/>
      <c r="D566"/>
      <c r="E566"/>
      <c r="F566"/>
      <c r="G566"/>
      <c r="H566"/>
      <c r="I566"/>
      <c r="J566"/>
      <c r="K566"/>
      <c r="L566"/>
      <c r="M566"/>
      <c r="N566"/>
      <c r="O566"/>
    </row>
    <row r="567" spans="2:15">
      <c r="B567"/>
      <c r="C567"/>
      <c r="D567"/>
      <c r="E567"/>
      <c r="F567"/>
      <c r="G567"/>
      <c r="H567"/>
      <c r="I567"/>
      <c r="J567"/>
      <c r="K567"/>
      <c r="L567"/>
      <c r="M567"/>
      <c r="N567"/>
      <c r="O567"/>
    </row>
    <row r="568" spans="2:15">
      <c r="B568"/>
      <c r="C568"/>
      <c r="D568"/>
      <c r="E568"/>
      <c r="F568"/>
      <c r="G568"/>
      <c r="H568"/>
      <c r="I568"/>
      <c r="J568"/>
      <c r="K568"/>
      <c r="L568"/>
      <c r="M568"/>
      <c r="N568"/>
      <c r="O568"/>
    </row>
    <row r="569" spans="2:15">
      <c r="B569"/>
      <c r="C569"/>
      <c r="D569"/>
      <c r="E569"/>
      <c r="F569"/>
      <c r="G569"/>
      <c r="H569"/>
      <c r="I569"/>
      <c r="J569"/>
      <c r="K569"/>
      <c r="L569"/>
      <c r="M569"/>
      <c r="N569"/>
      <c r="O569"/>
    </row>
    <row r="570" spans="2:15">
      <c r="B570"/>
      <c r="C570"/>
      <c r="D570"/>
      <c r="E570"/>
      <c r="F570"/>
      <c r="G570"/>
      <c r="H570"/>
      <c r="I570"/>
      <c r="J570"/>
      <c r="K570"/>
      <c r="L570"/>
      <c r="M570"/>
      <c r="N570"/>
      <c r="O570"/>
    </row>
    <row r="571" spans="2:15">
      <c r="B571"/>
      <c r="C571"/>
      <c r="D571"/>
      <c r="E571"/>
      <c r="F571"/>
      <c r="G571"/>
      <c r="H571"/>
      <c r="I571"/>
      <c r="J571"/>
      <c r="K571"/>
      <c r="L571"/>
      <c r="M571"/>
      <c r="N571"/>
      <c r="O571"/>
    </row>
    <row r="572" spans="2:15">
      <c r="B572"/>
      <c r="C572"/>
      <c r="D572"/>
      <c r="E572"/>
      <c r="F572"/>
      <c r="G572"/>
      <c r="H572"/>
      <c r="I572"/>
      <c r="J572"/>
      <c r="K572"/>
      <c r="L572"/>
      <c r="M572"/>
      <c r="N572"/>
      <c r="O572"/>
    </row>
    <row r="573" spans="2:15">
      <c r="B573"/>
      <c r="C573"/>
      <c r="D573"/>
      <c r="E573"/>
      <c r="F573"/>
      <c r="G573"/>
      <c r="H573"/>
      <c r="I573"/>
      <c r="J573"/>
      <c r="K573"/>
      <c r="L573"/>
      <c r="M573"/>
      <c r="N573"/>
      <c r="O573"/>
    </row>
    <row r="574" spans="2:15">
      <c r="B574"/>
      <c r="C574"/>
      <c r="D574"/>
      <c r="E574"/>
      <c r="F574"/>
      <c r="G574"/>
      <c r="H574"/>
      <c r="I574"/>
      <c r="J574"/>
      <c r="K574"/>
      <c r="L574"/>
      <c r="M574"/>
      <c r="N574"/>
      <c r="O574"/>
    </row>
    <row r="575" spans="2:15">
      <c r="B575"/>
      <c r="C575"/>
      <c r="D575"/>
      <c r="E575"/>
      <c r="F575"/>
      <c r="G575"/>
      <c r="H575"/>
      <c r="I575"/>
      <c r="J575"/>
      <c r="K575"/>
      <c r="L575"/>
      <c r="M575"/>
      <c r="N575"/>
      <c r="O575"/>
    </row>
    <row r="576" spans="2:15">
      <c r="B576"/>
      <c r="C576"/>
      <c r="D576"/>
      <c r="E576"/>
      <c r="F576"/>
      <c r="G576"/>
      <c r="H576"/>
      <c r="I576"/>
      <c r="J576"/>
      <c r="K576"/>
      <c r="L576"/>
      <c r="M576"/>
      <c r="N576"/>
      <c r="O576"/>
    </row>
    <row r="577" spans="2:15">
      <c r="B577"/>
      <c r="C577"/>
      <c r="D577"/>
      <c r="E577"/>
      <c r="F577"/>
      <c r="G577"/>
      <c r="H577"/>
      <c r="I577"/>
      <c r="J577"/>
      <c r="K577"/>
      <c r="L577"/>
      <c r="M577"/>
      <c r="N577"/>
      <c r="O577"/>
    </row>
    <row r="578" spans="2:15">
      <c r="B578"/>
      <c r="C578"/>
      <c r="D578"/>
      <c r="E578"/>
      <c r="F578"/>
      <c r="G578"/>
      <c r="H578"/>
      <c r="I578"/>
      <c r="J578"/>
      <c r="K578"/>
      <c r="L578"/>
      <c r="M578"/>
      <c r="N578"/>
      <c r="O578"/>
    </row>
    <row r="579" spans="2:15">
      <c r="B579"/>
      <c r="C579"/>
      <c r="D579"/>
      <c r="E579"/>
      <c r="F579"/>
      <c r="G579"/>
      <c r="H579"/>
      <c r="I579"/>
      <c r="J579"/>
      <c r="K579"/>
      <c r="L579"/>
      <c r="M579"/>
      <c r="N579"/>
      <c r="O579"/>
    </row>
    <row r="580" spans="2:15">
      <c r="B580"/>
      <c r="C580"/>
      <c r="D580"/>
      <c r="E580"/>
      <c r="F580"/>
      <c r="G580"/>
      <c r="H580"/>
      <c r="I580"/>
      <c r="J580"/>
      <c r="K580"/>
      <c r="L580"/>
      <c r="M580"/>
      <c r="N580"/>
      <c r="O580"/>
    </row>
    <row r="581" spans="2:15">
      <c r="B581"/>
      <c r="C581"/>
      <c r="D581"/>
      <c r="E581"/>
      <c r="F581"/>
      <c r="G581"/>
      <c r="H581"/>
      <c r="I581"/>
      <c r="J581"/>
      <c r="K581"/>
      <c r="L581"/>
      <c r="M581"/>
      <c r="N581"/>
      <c r="O581"/>
    </row>
    <row r="582" spans="2:15">
      <c r="B582"/>
      <c r="C582"/>
      <c r="D582"/>
      <c r="E582"/>
      <c r="F582"/>
      <c r="G582"/>
      <c r="H582"/>
      <c r="I582"/>
      <c r="J582"/>
      <c r="K582"/>
      <c r="L582"/>
      <c r="M582"/>
      <c r="N582"/>
      <c r="O582"/>
    </row>
    <row r="583" spans="2:15">
      <c r="B583"/>
      <c r="C583"/>
      <c r="D583"/>
      <c r="E583"/>
      <c r="F583"/>
      <c r="G583"/>
      <c r="H583"/>
      <c r="I583"/>
      <c r="J583"/>
      <c r="K583"/>
      <c r="L583"/>
      <c r="M583"/>
      <c r="N583"/>
      <c r="O583"/>
    </row>
    <row r="584" spans="2:15">
      <c r="B584"/>
      <c r="C584"/>
      <c r="D584"/>
      <c r="E584"/>
      <c r="F584"/>
      <c r="G584"/>
      <c r="H584"/>
      <c r="I584"/>
      <c r="J584"/>
      <c r="K584"/>
      <c r="L584"/>
      <c r="M584"/>
      <c r="N584"/>
      <c r="O584"/>
    </row>
    <row r="585" spans="2:15">
      <c r="B585"/>
      <c r="C585"/>
      <c r="D585"/>
      <c r="E585"/>
      <c r="F585"/>
      <c r="G585"/>
      <c r="H585"/>
      <c r="I585"/>
      <c r="J585"/>
      <c r="K585"/>
      <c r="L585"/>
      <c r="M585"/>
      <c r="N585"/>
      <c r="O585"/>
    </row>
    <row r="586" spans="2:15">
      <c r="B586"/>
      <c r="C586"/>
      <c r="D586"/>
      <c r="E586"/>
      <c r="F586"/>
      <c r="G586"/>
      <c r="H586"/>
      <c r="I586"/>
      <c r="J586"/>
      <c r="K586"/>
      <c r="L586"/>
      <c r="M586"/>
      <c r="N586"/>
      <c r="O586"/>
    </row>
    <row r="587" spans="2:15">
      <c r="B587"/>
      <c r="C587"/>
      <c r="D587"/>
      <c r="E587"/>
      <c r="F587"/>
      <c r="G587"/>
      <c r="H587"/>
      <c r="I587"/>
      <c r="J587"/>
      <c r="K587"/>
      <c r="L587"/>
      <c r="M587"/>
      <c r="N587"/>
      <c r="O587"/>
    </row>
    <row r="588" spans="2:15">
      <c r="B588"/>
      <c r="C588"/>
      <c r="D588"/>
      <c r="E588"/>
      <c r="F588"/>
      <c r="G588"/>
      <c r="H588"/>
      <c r="I588"/>
      <c r="J588"/>
      <c r="K588"/>
      <c r="L588"/>
      <c r="M588"/>
      <c r="N588"/>
      <c r="O588"/>
    </row>
    <row r="589" spans="2:15">
      <c r="B589"/>
      <c r="C589"/>
      <c r="D589"/>
      <c r="E589"/>
      <c r="F589"/>
      <c r="G589"/>
      <c r="H589"/>
      <c r="I589"/>
      <c r="J589"/>
      <c r="K589"/>
      <c r="L589"/>
      <c r="M589"/>
      <c r="N589"/>
      <c r="O589"/>
    </row>
    <row r="590" spans="2:15">
      <c r="B590"/>
      <c r="C590"/>
      <c r="D590"/>
      <c r="E590"/>
      <c r="F590"/>
      <c r="G590"/>
      <c r="H590"/>
      <c r="I590"/>
      <c r="J590"/>
      <c r="K590"/>
      <c r="L590"/>
      <c r="M590"/>
      <c r="N590"/>
      <c r="O590"/>
    </row>
    <row r="591" spans="2:15">
      <c r="B591"/>
      <c r="C591"/>
      <c r="D591"/>
      <c r="E591"/>
      <c r="F591"/>
      <c r="G591"/>
      <c r="H591"/>
      <c r="I591"/>
      <c r="J591"/>
      <c r="K591"/>
      <c r="L591"/>
      <c r="M591"/>
      <c r="N591"/>
      <c r="O591"/>
    </row>
    <row r="592" spans="2:15">
      <c r="B592"/>
      <c r="C592"/>
      <c r="D592"/>
      <c r="E592"/>
      <c r="F592"/>
      <c r="G592"/>
      <c r="H592"/>
      <c r="I592"/>
      <c r="J592"/>
      <c r="K592"/>
      <c r="L592"/>
      <c r="M592"/>
      <c r="N592"/>
      <c r="O592"/>
    </row>
    <row r="593" spans="2:15">
      <c r="B593"/>
      <c r="C593"/>
      <c r="D593"/>
      <c r="E593"/>
      <c r="F593"/>
      <c r="G593"/>
      <c r="H593"/>
      <c r="I593"/>
      <c r="J593"/>
      <c r="K593"/>
      <c r="L593"/>
      <c r="M593"/>
      <c r="N593"/>
      <c r="O593"/>
    </row>
    <row r="594" spans="2:15">
      <c r="B594"/>
      <c r="C594"/>
      <c r="D594"/>
      <c r="E594"/>
      <c r="F594"/>
      <c r="G594"/>
      <c r="H594"/>
      <c r="I594"/>
      <c r="J594"/>
      <c r="K594"/>
      <c r="L594"/>
      <c r="M594"/>
      <c r="N594"/>
      <c r="O594"/>
    </row>
    <row r="595" spans="2:15">
      <c r="B595"/>
      <c r="C595"/>
      <c r="D595"/>
      <c r="E595"/>
      <c r="F595"/>
      <c r="G595"/>
      <c r="H595"/>
      <c r="I595"/>
      <c r="J595"/>
      <c r="K595"/>
      <c r="L595"/>
      <c r="M595"/>
      <c r="N595"/>
      <c r="O595"/>
    </row>
    <row r="596" spans="2:15">
      <c r="B596"/>
      <c r="C596"/>
      <c r="D596"/>
      <c r="E596"/>
      <c r="F596"/>
      <c r="G596"/>
      <c r="H596"/>
      <c r="I596"/>
      <c r="J596"/>
      <c r="K596"/>
      <c r="L596"/>
      <c r="M596"/>
      <c r="N596"/>
      <c r="O596"/>
    </row>
    <row r="597" spans="2:15">
      <c r="B597"/>
      <c r="C597"/>
      <c r="D597"/>
      <c r="E597"/>
      <c r="F597"/>
      <c r="G597"/>
      <c r="H597"/>
      <c r="I597"/>
      <c r="J597"/>
      <c r="K597"/>
      <c r="L597"/>
      <c r="M597"/>
      <c r="N597"/>
      <c r="O597"/>
    </row>
    <row r="598" spans="2:15">
      <c r="B598"/>
      <c r="C598"/>
      <c r="D598"/>
      <c r="E598"/>
      <c r="F598"/>
      <c r="G598"/>
      <c r="H598"/>
      <c r="I598"/>
      <c r="J598"/>
      <c r="K598"/>
      <c r="L598"/>
      <c r="M598"/>
      <c r="N598"/>
      <c r="O598"/>
    </row>
    <row r="599" spans="2:15">
      <c r="B599"/>
      <c r="C599"/>
      <c r="D599"/>
      <c r="E599"/>
      <c r="F599"/>
      <c r="G599"/>
      <c r="H599"/>
      <c r="I599"/>
      <c r="J599"/>
      <c r="K599"/>
      <c r="L599"/>
      <c r="M599"/>
      <c r="N599"/>
      <c r="O599"/>
    </row>
    <row r="600" spans="2:15">
      <c r="B600"/>
      <c r="C600"/>
      <c r="D600"/>
      <c r="E600"/>
      <c r="F600"/>
      <c r="G600"/>
      <c r="H600"/>
      <c r="I600"/>
      <c r="J600"/>
      <c r="K600"/>
      <c r="L600"/>
      <c r="M600"/>
      <c r="N600"/>
      <c r="O600"/>
    </row>
    <row r="601" spans="2:15">
      <c r="B601"/>
      <c r="C601"/>
      <c r="D601"/>
      <c r="E601"/>
      <c r="F601"/>
      <c r="G601"/>
      <c r="H601"/>
      <c r="I601"/>
      <c r="J601"/>
      <c r="K601"/>
      <c r="L601"/>
      <c r="M601"/>
      <c r="N601"/>
      <c r="O601"/>
    </row>
    <row r="602" spans="2:15">
      <c r="B602"/>
      <c r="C602"/>
      <c r="D602"/>
      <c r="E602"/>
      <c r="F602"/>
      <c r="G602"/>
      <c r="H602"/>
      <c r="I602"/>
      <c r="J602"/>
      <c r="K602"/>
      <c r="L602"/>
      <c r="M602"/>
      <c r="N602"/>
      <c r="O602"/>
    </row>
    <row r="603" spans="2:15">
      <c r="B603"/>
      <c r="C603"/>
      <c r="D603"/>
      <c r="E603"/>
      <c r="F603"/>
      <c r="G603"/>
      <c r="H603"/>
      <c r="I603"/>
      <c r="J603"/>
      <c r="K603"/>
      <c r="L603"/>
      <c r="M603"/>
      <c r="N603"/>
      <c r="O603"/>
    </row>
    <row r="604" spans="2:15">
      <c r="B604"/>
      <c r="C604"/>
      <c r="D604"/>
      <c r="E604"/>
      <c r="F604"/>
      <c r="G604"/>
      <c r="H604"/>
      <c r="I604"/>
      <c r="J604"/>
      <c r="K604"/>
      <c r="L604"/>
      <c r="M604"/>
      <c r="N604"/>
      <c r="O604"/>
    </row>
    <row r="605" spans="2:15">
      <c r="B605"/>
      <c r="C605"/>
      <c r="D605"/>
      <c r="E605"/>
      <c r="F605"/>
      <c r="G605"/>
      <c r="H605"/>
      <c r="I605"/>
      <c r="J605"/>
      <c r="K605"/>
      <c r="L605"/>
      <c r="M605"/>
      <c r="N605"/>
      <c r="O605"/>
    </row>
    <row r="606" spans="2:15">
      <c r="B606"/>
      <c r="C606"/>
      <c r="D606"/>
      <c r="E606"/>
      <c r="F606"/>
      <c r="G606"/>
      <c r="H606"/>
      <c r="I606"/>
      <c r="J606"/>
      <c r="K606"/>
      <c r="L606"/>
      <c r="M606"/>
      <c r="N606"/>
      <c r="O606"/>
    </row>
    <row r="607" spans="2:15">
      <c r="B607"/>
      <c r="C607"/>
      <c r="D607"/>
      <c r="E607"/>
      <c r="F607"/>
      <c r="G607"/>
      <c r="H607"/>
      <c r="I607"/>
      <c r="J607"/>
      <c r="K607"/>
      <c r="L607"/>
      <c r="M607"/>
      <c r="N607"/>
      <c r="O607"/>
    </row>
    <row r="608" spans="2:15">
      <c r="B608"/>
      <c r="C608"/>
      <c r="D608"/>
      <c r="E608"/>
      <c r="F608"/>
      <c r="G608"/>
      <c r="H608"/>
      <c r="I608"/>
      <c r="J608"/>
      <c r="K608"/>
      <c r="L608"/>
      <c r="M608"/>
      <c r="N608"/>
      <c r="O608"/>
    </row>
    <row r="609" spans="2:15">
      <c r="B609"/>
      <c r="C609"/>
      <c r="D609"/>
      <c r="E609"/>
      <c r="F609"/>
      <c r="G609"/>
      <c r="H609"/>
      <c r="I609"/>
      <c r="J609"/>
      <c r="K609"/>
      <c r="L609"/>
      <c r="M609"/>
      <c r="N609"/>
      <c r="O609"/>
    </row>
    <row r="610" spans="2:15">
      <c r="B610"/>
      <c r="C610"/>
      <c r="D610"/>
      <c r="E610"/>
      <c r="F610"/>
      <c r="G610"/>
      <c r="H610"/>
      <c r="I610"/>
      <c r="J610"/>
      <c r="K610"/>
      <c r="L610"/>
      <c r="M610"/>
      <c r="N610"/>
      <c r="O610"/>
    </row>
    <row r="611" spans="2:15">
      <c r="B611"/>
      <c r="C611"/>
      <c r="D611"/>
      <c r="E611"/>
      <c r="F611"/>
      <c r="G611"/>
      <c r="H611"/>
      <c r="I611"/>
      <c r="J611"/>
      <c r="K611"/>
      <c r="L611"/>
      <c r="M611"/>
      <c r="N611"/>
      <c r="O611"/>
    </row>
    <row r="612" spans="2:15">
      <c r="B612"/>
      <c r="C612"/>
      <c r="D612"/>
      <c r="E612"/>
      <c r="F612"/>
      <c r="G612"/>
      <c r="H612"/>
      <c r="I612"/>
      <c r="J612"/>
      <c r="K612"/>
      <c r="L612"/>
      <c r="M612"/>
      <c r="N612"/>
      <c r="O612"/>
    </row>
    <row r="613" spans="2:15">
      <c r="B613"/>
      <c r="C613"/>
      <c r="D613"/>
      <c r="E613"/>
      <c r="F613"/>
      <c r="G613"/>
      <c r="H613"/>
      <c r="I613"/>
      <c r="J613"/>
      <c r="K613"/>
      <c r="L613"/>
      <c r="M613"/>
      <c r="N613"/>
      <c r="O613"/>
    </row>
    <row r="614" spans="2:15">
      <c r="B614"/>
      <c r="C614"/>
      <c r="D614"/>
      <c r="E614"/>
      <c r="F614"/>
      <c r="G614"/>
      <c r="H614"/>
      <c r="I614"/>
      <c r="J614"/>
      <c r="K614"/>
      <c r="L614"/>
      <c r="M614"/>
      <c r="N614"/>
      <c r="O614"/>
    </row>
    <row r="615" spans="2:15">
      <c r="B615"/>
      <c r="C615"/>
      <c r="D615"/>
      <c r="E615"/>
      <c r="F615"/>
      <c r="G615"/>
      <c r="H615"/>
      <c r="I615"/>
      <c r="J615"/>
      <c r="K615"/>
      <c r="L615"/>
      <c r="M615"/>
      <c r="N615"/>
      <c r="O615"/>
    </row>
    <row r="616" spans="2:15">
      <c r="B616"/>
      <c r="C616"/>
      <c r="D616"/>
      <c r="E616"/>
      <c r="F616"/>
      <c r="G616"/>
      <c r="H616"/>
      <c r="I616"/>
      <c r="J616"/>
      <c r="K616"/>
      <c r="L616"/>
      <c r="M616"/>
      <c r="N616"/>
      <c r="O616"/>
    </row>
    <row r="617" spans="2:15">
      <c r="B617"/>
      <c r="C617"/>
      <c r="D617"/>
      <c r="E617"/>
      <c r="F617"/>
      <c r="G617"/>
      <c r="H617"/>
      <c r="I617"/>
      <c r="J617"/>
      <c r="K617"/>
      <c r="L617"/>
      <c r="M617"/>
      <c r="N617"/>
      <c r="O617"/>
    </row>
    <row r="618" spans="2:15">
      <c r="B618"/>
      <c r="C618"/>
      <c r="D618"/>
      <c r="E618"/>
      <c r="F618"/>
      <c r="G618"/>
      <c r="H618"/>
      <c r="I618"/>
      <c r="J618"/>
      <c r="K618"/>
      <c r="L618"/>
      <c r="M618"/>
      <c r="N618"/>
      <c r="O618"/>
    </row>
    <row r="619" spans="2:15">
      <c r="B619"/>
      <c r="C619"/>
      <c r="D619"/>
      <c r="E619"/>
      <c r="F619"/>
      <c r="G619"/>
      <c r="H619"/>
      <c r="I619"/>
      <c r="J619"/>
      <c r="K619"/>
      <c r="L619"/>
      <c r="M619"/>
      <c r="N619"/>
      <c r="O619"/>
    </row>
    <row r="620" spans="2:15">
      <c r="B620"/>
      <c r="C620"/>
      <c r="D620"/>
      <c r="E620"/>
      <c r="F620"/>
      <c r="G620"/>
      <c r="H620"/>
      <c r="I620"/>
      <c r="J620"/>
      <c r="K620"/>
      <c r="L620"/>
      <c r="M620"/>
      <c r="N620"/>
      <c r="O620"/>
    </row>
    <row r="621" spans="2:15">
      <c r="B621"/>
      <c r="C621"/>
      <c r="D621"/>
      <c r="E621"/>
      <c r="F621"/>
      <c r="G621"/>
      <c r="H621"/>
      <c r="I621"/>
      <c r="J621"/>
      <c r="K621"/>
      <c r="L621"/>
      <c r="M621"/>
      <c r="N621"/>
      <c r="O621"/>
    </row>
    <row r="622" spans="2:15">
      <c r="B622"/>
      <c r="C622"/>
      <c r="D622"/>
      <c r="E622"/>
      <c r="F622"/>
      <c r="G622"/>
      <c r="H622"/>
      <c r="I622"/>
      <c r="J622"/>
      <c r="K622"/>
      <c r="L622"/>
      <c r="M622"/>
      <c r="N622"/>
      <c r="O622"/>
    </row>
    <row r="623" spans="2:15">
      <c r="B623"/>
      <c r="C623"/>
      <c r="D623"/>
      <c r="E623"/>
      <c r="F623"/>
      <c r="G623"/>
      <c r="H623"/>
      <c r="I623"/>
      <c r="J623"/>
      <c r="K623"/>
      <c r="L623"/>
      <c r="M623"/>
      <c r="N623"/>
      <c r="O623"/>
    </row>
    <row r="624" spans="2:15">
      <c r="B624"/>
      <c r="C624"/>
      <c r="D624"/>
      <c r="E624"/>
      <c r="F624"/>
      <c r="G624"/>
      <c r="H624"/>
      <c r="I624"/>
      <c r="J624"/>
      <c r="K624"/>
      <c r="L624"/>
      <c r="M624"/>
      <c r="N624"/>
      <c r="O624"/>
    </row>
    <row r="625" spans="2:15">
      <c r="B625"/>
      <c r="C625"/>
      <c r="D625"/>
      <c r="E625"/>
      <c r="F625"/>
      <c r="G625"/>
      <c r="H625"/>
      <c r="I625"/>
      <c r="J625"/>
      <c r="K625"/>
      <c r="L625"/>
      <c r="M625"/>
      <c r="N625"/>
      <c r="O625"/>
    </row>
    <row r="626" spans="2:15">
      <c r="B626"/>
      <c r="C626"/>
      <c r="D626"/>
      <c r="E626"/>
      <c r="F626"/>
      <c r="G626"/>
      <c r="H626"/>
      <c r="I626"/>
      <c r="J626"/>
      <c r="K626"/>
      <c r="L626"/>
      <c r="M626"/>
      <c r="N626"/>
      <c r="O626"/>
    </row>
    <row r="627" spans="2:15">
      <c r="B627"/>
      <c r="C627"/>
      <c r="D627"/>
      <c r="E627"/>
      <c r="F627"/>
      <c r="G627"/>
      <c r="H627"/>
      <c r="I627"/>
      <c r="J627"/>
      <c r="K627"/>
      <c r="L627"/>
      <c r="M627"/>
      <c r="N627"/>
      <c r="O627"/>
    </row>
    <row r="628" spans="2:15">
      <c r="B628"/>
      <c r="C628"/>
      <c r="D628"/>
      <c r="E628"/>
      <c r="F628"/>
      <c r="G628"/>
      <c r="H628"/>
      <c r="I628"/>
      <c r="J628"/>
      <c r="K628"/>
      <c r="L628"/>
      <c r="M628"/>
      <c r="N628"/>
      <c r="O628"/>
    </row>
    <row r="629" spans="2:15">
      <c r="B629"/>
      <c r="C629"/>
      <c r="D629"/>
      <c r="E629"/>
      <c r="F629"/>
      <c r="G629"/>
      <c r="H629"/>
      <c r="I629"/>
      <c r="J629"/>
      <c r="K629"/>
      <c r="L629"/>
      <c r="M629"/>
      <c r="N629"/>
      <c r="O629"/>
    </row>
    <row r="630" spans="2:15">
      <c r="B630"/>
      <c r="C630"/>
      <c r="D630"/>
      <c r="E630"/>
      <c r="F630"/>
      <c r="G630"/>
      <c r="H630"/>
      <c r="I630"/>
      <c r="J630"/>
      <c r="K630"/>
      <c r="L630"/>
      <c r="M630"/>
      <c r="N630"/>
      <c r="O630"/>
    </row>
    <row r="631" spans="2:15">
      <c r="B631"/>
      <c r="C631"/>
      <c r="D631"/>
      <c r="E631"/>
      <c r="F631"/>
      <c r="G631"/>
      <c r="H631"/>
      <c r="I631"/>
      <c r="J631"/>
      <c r="K631"/>
      <c r="L631"/>
      <c r="M631"/>
      <c r="N631"/>
      <c r="O631"/>
    </row>
    <row r="632" spans="2:15">
      <c r="B632"/>
      <c r="C632"/>
      <c r="D632"/>
      <c r="E632"/>
      <c r="F632"/>
      <c r="G632"/>
      <c r="H632"/>
      <c r="I632"/>
      <c r="J632"/>
      <c r="K632"/>
      <c r="L632"/>
      <c r="M632"/>
      <c r="N632"/>
      <c r="O632"/>
    </row>
    <row r="633" spans="2:15">
      <c r="B633"/>
      <c r="C633"/>
      <c r="D633"/>
      <c r="E633"/>
      <c r="F633"/>
      <c r="G633"/>
      <c r="H633"/>
      <c r="I633"/>
      <c r="J633"/>
      <c r="K633"/>
      <c r="L633"/>
      <c r="M633"/>
      <c r="N633"/>
      <c r="O633"/>
    </row>
    <row r="634" spans="2:15">
      <c r="B634"/>
      <c r="C634"/>
      <c r="D634"/>
      <c r="E634"/>
      <c r="F634"/>
      <c r="G634"/>
      <c r="H634"/>
      <c r="I634"/>
      <c r="J634"/>
      <c r="K634"/>
      <c r="L634"/>
      <c r="M634"/>
      <c r="N634"/>
      <c r="O634"/>
    </row>
    <row r="635" spans="2:15">
      <c r="B635"/>
      <c r="C635"/>
      <c r="D635"/>
      <c r="E635"/>
      <c r="F635"/>
      <c r="G635"/>
      <c r="H635"/>
      <c r="I635"/>
      <c r="J635"/>
      <c r="K635"/>
      <c r="L635"/>
      <c r="M635"/>
      <c r="N635"/>
      <c r="O635"/>
    </row>
    <row r="636" spans="2:15">
      <c r="B636"/>
      <c r="C636"/>
      <c r="D636"/>
      <c r="E636"/>
      <c r="F636"/>
      <c r="G636"/>
      <c r="H636"/>
      <c r="I636"/>
      <c r="J636"/>
      <c r="K636"/>
      <c r="L636"/>
      <c r="M636"/>
      <c r="N636"/>
      <c r="O636"/>
    </row>
    <row r="637" spans="2:15">
      <c r="B637"/>
      <c r="C637"/>
      <c r="D637"/>
      <c r="E637"/>
      <c r="F637"/>
      <c r="G637"/>
      <c r="H637"/>
      <c r="I637"/>
      <c r="J637"/>
      <c r="K637"/>
      <c r="L637"/>
      <c r="M637"/>
      <c r="N637"/>
      <c r="O637"/>
    </row>
    <row r="638" spans="2:15">
      <c r="B638"/>
      <c r="C638"/>
      <c r="D638"/>
      <c r="E638"/>
      <c r="F638"/>
      <c r="G638"/>
      <c r="H638"/>
      <c r="I638"/>
      <c r="J638"/>
      <c r="K638"/>
      <c r="L638"/>
      <c r="M638"/>
      <c r="N638"/>
      <c r="O638"/>
    </row>
    <row r="639" spans="2:15">
      <c r="B639"/>
      <c r="C639"/>
      <c r="D639"/>
      <c r="E639"/>
      <c r="F639"/>
      <c r="G639"/>
      <c r="H639"/>
      <c r="I639"/>
      <c r="J639"/>
      <c r="K639"/>
      <c r="L639"/>
      <c r="M639"/>
      <c r="N639"/>
      <c r="O639"/>
    </row>
    <row r="640" spans="2:15">
      <c r="B640"/>
      <c r="C640"/>
      <c r="D640"/>
      <c r="E640"/>
      <c r="F640"/>
      <c r="G640"/>
      <c r="H640"/>
      <c r="I640"/>
      <c r="J640"/>
      <c r="K640"/>
      <c r="L640"/>
      <c r="M640"/>
      <c r="N640"/>
      <c r="O640"/>
    </row>
    <row r="641" spans="2:15">
      <c r="B641"/>
      <c r="C641"/>
      <c r="D641"/>
      <c r="E641"/>
      <c r="F641"/>
      <c r="G641"/>
      <c r="H641"/>
      <c r="I641"/>
      <c r="J641"/>
      <c r="K641"/>
      <c r="L641"/>
      <c r="M641"/>
      <c r="N641"/>
      <c r="O641"/>
    </row>
    <row r="642" spans="2:15">
      <c r="B642"/>
      <c r="C642"/>
      <c r="D642"/>
      <c r="E642"/>
      <c r="F642"/>
      <c r="G642"/>
      <c r="H642"/>
      <c r="I642"/>
      <c r="J642"/>
      <c r="K642"/>
      <c r="L642"/>
      <c r="M642"/>
      <c r="N642"/>
      <c r="O642"/>
    </row>
    <row r="643" spans="2:15">
      <c r="B643"/>
      <c r="C643"/>
      <c r="D643"/>
      <c r="E643"/>
      <c r="F643"/>
      <c r="G643"/>
      <c r="H643"/>
      <c r="I643"/>
      <c r="J643"/>
      <c r="K643"/>
      <c r="L643"/>
      <c r="M643"/>
      <c r="N643"/>
      <c r="O643"/>
    </row>
    <row r="644" spans="2:15">
      <c r="B644"/>
      <c r="C644"/>
      <c r="D644"/>
      <c r="E644"/>
      <c r="F644"/>
      <c r="G644"/>
      <c r="H644"/>
      <c r="I644"/>
      <c r="J644"/>
      <c r="K644"/>
      <c r="L644"/>
      <c r="M644"/>
      <c r="N644"/>
      <c r="O644"/>
    </row>
    <row r="645" spans="2:15">
      <c r="B645"/>
      <c r="C645"/>
      <c r="D645"/>
      <c r="E645"/>
      <c r="F645"/>
      <c r="G645"/>
      <c r="H645"/>
      <c r="I645"/>
      <c r="J645"/>
      <c r="K645"/>
      <c r="L645"/>
      <c r="M645"/>
      <c r="N645"/>
      <c r="O645"/>
    </row>
    <row r="646" spans="2:15">
      <c r="B646"/>
      <c r="C646"/>
      <c r="D646"/>
      <c r="E646"/>
      <c r="F646"/>
      <c r="G646"/>
      <c r="H646"/>
      <c r="I646"/>
      <c r="J646"/>
      <c r="K646"/>
      <c r="L646"/>
      <c r="M646"/>
      <c r="N646"/>
      <c r="O646"/>
    </row>
    <row r="647" spans="2:15">
      <c r="B647"/>
      <c r="C647"/>
      <c r="D647"/>
      <c r="E647"/>
      <c r="F647"/>
      <c r="G647"/>
      <c r="H647"/>
      <c r="I647"/>
      <c r="J647"/>
      <c r="K647"/>
      <c r="L647"/>
      <c r="M647"/>
      <c r="N647"/>
      <c r="O647"/>
    </row>
    <row r="648" spans="2:15">
      <c r="B648"/>
      <c r="C648"/>
      <c r="D648"/>
      <c r="E648"/>
      <c r="F648"/>
      <c r="G648"/>
      <c r="H648"/>
      <c r="I648"/>
      <c r="J648"/>
      <c r="K648"/>
      <c r="L648"/>
      <c r="M648"/>
      <c r="N648"/>
      <c r="O648"/>
    </row>
    <row r="649" spans="2:15">
      <c r="B649"/>
      <c r="C649"/>
      <c r="D649"/>
      <c r="E649"/>
      <c r="F649"/>
      <c r="G649"/>
      <c r="H649"/>
      <c r="I649"/>
      <c r="J649"/>
      <c r="K649"/>
      <c r="L649"/>
      <c r="M649"/>
      <c r="N649"/>
      <c r="O649"/>
    </row>
    <row r="650" spans="2:15">
      <c r="B650"/>
      <c r="C650"/>
      <c r="D650"/>
      <c r="E650"/>
      <c r="F650"/>
      <c r="G650"/>
      <c r="H650"/>
      <c r="I650"/>
      <c r="J650"/>
      <c r="K650"/>
      <c r="L650"/>
      <c r="M650"/>
      <c r="N650"/>
      <c r="O650"/>
    </row>
    <row r="651" spans="2:15">
      <c r="B651"/>
      <c r="C651"/>
      <c r="D651"/>
      <c r="E651"/>
      <c r="F651"/>
      <c r="G651"/>
      <c r="H651"/>
      <c r="I651"/>
      <c r="J651"/>
      <c r="K651"/>
      <c r="L651"/>
      <c r="M651"/>
      <c r="N651"/>
      <c r="O651"/>
    </row>
    <row r="652" spans="2:15">
      <c r="B652"/>
      <c r="C652"/>
      <c r="D652"/>
      <c r="E652"/>
      <c r="F652"/>
      <c r="G652"/>
      <c r="H652"/>
      <c r="I652"/>
      <c r="J652"/>
      <c r="K652"/>
      <c r="L652"/>
      <c r="M652"/>
      <c r="N652"/>
      <c r="O652"/>
    </row>
    <row r="653" spans="2:15">
      <c r="B653"/>
      <c r="C653"/>
      <c r="D653"/>
      <c r="E653"/>
      <c r="F653"/>
      <c r="G653"/>
      <c r="H653"/>
      <c r="I653"/>
      <c r="J653"/>
      <c r="K653"/>
      <c r="L653"/>
      <c r="M653"/>
      <c r="N653"/>
      <c r="O653"/>
    </row>
    <row r="654" spans="2:15">
      <c r="B654"/>
      <c r="C654"/>
      <c r="D654"/>
      <c r="E654"/>
      <c r="F654"/>
      <c r="G654"/>
      <c r="H654"/>
      <c r="I654"/>
      <c r="J654"/>
      <c r="K654"/>
      <c r="L654"/>
      <c r="M654"/>
      <c r="N654"/>
      <c r="O654"/>
    </row>
    <row r="655" spans="2:15">
      <c r="B655"/>
      <c r="C655"/>
      <c r="D655"/>
      <c r="E655"/>
      <c r="F655"/>
      <c r="G655"/>
      <c r="H655"/>
      <c r="I655"/>
      <c r="J655"/>
      <c r="K655"/>
      <c r="L655"/>
      <c r="M655"/>
      <c r="N655"/>
      <c r="O655"/>
    </row>
    <row r="656" spans="2:15">
      <c r="B656"/>
      <c r="C656"/>
      <c r="D656"/>
      <c r="E656"/>
      <c r="F656"/>
      <c r="G656"/>
      <c r="H656"/>
      <c r="I656"/>
      <c r="J656"/>
      <c r="K656"/>
      <c r="L656"/>
      <c r="M656"/>
      <c r="N656"/>
      <c r="O656"/>
    </row>
    <row r="657" spans="2:15">
      <c r="B657"/>
      <c r="C657"/>
      <c r="D657"/>
      <c r="E657"/>
      <c r="F657"/>
      <c r="G657"/>
      <c r="H657"/>
      <c r="I657"/>
      <c r="J657"/>
      <c r="K657"/>
      <c r="L657"/>
      <c r="M657"/>
      <c r="N657"/>
      <c r="O657"/>
    </row>
    <row r="658" spans="2:15">
      <c r="B658"/>
      <c r="C658"/>
      <c r="D658"/>
      <c r="E658"/>
      <c r="F658"/>
      <c r="G658"/>
      <c r="H658"/>
      <c r="I658"/>
      <c r="J658"/>
      <c r="K658"/>
      <c r="L658"/>
      <c r="M658"/>
      <c r="N658"/>
      <c r="O658"/>
    </row>
    <row r="659" spans="2:15">
      <c r="B659"/>
      <c r="C659"/>
      <c r="D659"/>
      <c r="E659"/>
      <c r="F659"/>
      <c r="G659"/>
      <c r="H659"/>
      <c r="I659"/>
      <c r="J659"/>
      <c r="K659"/>
      <c r="L659"/>
      <c r="M659"/>
      <c r="N659"/>
      <c r="O659"/>
    </row>
    <row r="660" spans="2:15">
      <c r="B660"/>
      <c r="C660"/>
      <c r="D660"/>
      <c r="E660"/>
      <c r="F660"/>
      <c r="G660"/>
      <c r="H660"/>
      <c r="I660"/>
      <c r="J660"/>
      <c r="K660"/>
      <c r="L660"/>
      <c r="M660"/>
      <c r="N660"/>
      <c r="O660"/>
    </row>
    <row r="661" spans="2:15">
      <c r="B661"/>
      <c r="C661"/>
      <c r="D661"/>
      <c r="E661"/>
      <c r="F661"/>
      <c r="G661"/>
      <c r="H661"/>
      <c r="I661"/>
      <c r="J661"/>
      <c r="K661"/>
      <c r="L661"/>
      <c r="M661"/>
      <c r="N661"/>
      <c r="O661"/>
    </row>
    <row r="662" spans="2:15">
      <c r="B662"/>
      <c r="C662"/>
      <c r="D662"/>
      <c r="E662"/>
      <c r="F662"/>
      <c r="G662"/>
      <c r="H662"/>
      <c r="I662"/>
      <c r="J662"/>
      <c r="K662"/>
      <c r="L662"/>
      <c r="M662"/>
      <c r="N662"/>
      <c r="O662"/>
    </row>
    <row r="663" spans="2:15">
      <c r="B663"/>
      <c r="C663"/>
      <c r="D663"/>
      <c r="E663"/>
      <c r="F663"/>
      <c r="G663"/>
      <c r="H663"/>
      <c r="I663"/>
      <c r="J663"/>
      <c r="K663"/>
      <c r="L663"/>
      <c r="M663"/>
      <c r="N663"/>
      <c r="O663"/>
    </row>
    <row r="664" spans="2:15">
      <c r="B664"/>
      <c r="C664"/>
      <c r="D664"/>
      <c r="E664"/>
      <c r="F664"/>
      <c r="G664"/>
      <c r="H664"/>
      <c r="I664"/>
      <c r="J664"/>
      <c r="K664"/>
      <c r="L664"/>
      <c r="M664"/>
      <c r="N664"/>
      <c r="O664"/>
    </row>
    <row r="665" spans="2:15">
      <c r="B665"/>
      <c r="C665"/>
      <c r="D665"/>
      <c r="E665"/>
      <c r="F665"/>
      <c r="G665"/>
      <c r="H665"/>
      <c r="I665"/>
      <c r="J665"/>
      <c r="K665"/>
      <c r="L665"/>
      <c r="M665"/>
      <c r="N665"/>
      <c r="O665"/>
    </row>
    <row r="666" spans="2:15">
      <c r="B666"/>
      <c r="C666"/>
      <c r="D666"/>
      <c r="E666"/>
      <c r="F666"/>
      <c r="G666"/>
      <c r="H666"/>
      <c r="I666"/>
      <c r="J666"/>
      <c r="K666"/>
      <c r="L666"/>
      <c r="M666"/>
      <c r="N666"/>
      <c r="O666"/>
    </row>
    <row r="667" spans="2:15">
      <c r="B667"/>
      <c r="C667"/>
      <c r="D667"/>
      <c r="E667"/>
      <c r="F667"/>
      <c r="G667"/>
      <c r="H667"/>
      <c r="I667"/>
      <c r="J667"/>
      <c r="K667"/>
      <c r="L667"/>
      <c r="M667"/>
      <c r="N667"/>
      <c r="O667"/>
    </row>
    <row r="668" spans="2:15">
      <c r="B668"/>
      <c r="C668"/>
      <c r="D668"/>
      <c r="E668"/>
      <c r="F668"/>
      <c r="G668"/>
      <c r="H668"/>
      <c r="I668"/>
      <c r="J668"/>
      <c r="K668"/>
      <c r="L668"/>
      <c r="M668"/>
      <c r="N668"/>
      <c r="O668"/>
    </row>
    <row r="669" spans="2:15">
      <c r="B669"/>
      <c r="C669"/>
      <c r="D669"/>
      <c r="E669"/>
      <c r="F669"/>
      <c r="G669"/>
      <c r="H669"/>
      <c r="I669"/>
      <c r="J669"/>
      <c r="K669"/>
      <c r="L669"/>
      <c r="M669"/>
      <c r="N669"/>
      <c r="O669"/>
    </row>
    <row r="670" spans="2:15">
      <c r="B670"/>
      <c r="C670"/>
      <c r="D670"/>
      <c r="E670"/>
      <c r="F670"/>
      <c r="G670"/>
      <c r="H670"/>
      <c r="I670"/>
      <c r="J670"/>
      <c r="K670"/>
      <c r="L670"/>
      <c r="M670"/>
      <c r="N670"/>
      <c r="O670"/>
    </row>
    <row r="671" spans="2:15">
      <c r="B671"/>
      <c r="C671"/>
      <c r="D671"/>
      <c r="E671"/>
      <c r="F671"/>
      <c r="G671"/>
      <c r="H671"/>
      <c r="I671"/>
      <c r="J671"/>
      <c r="K671"/>
      <c r="L671"/>
      <c r="M671"/>
      <c r="N671"/>
      <c r="O671"/>
    </row>
    <row r="672" spans="2:15">
      <c r="B672"/>
      <c r="C672"/>
      <c r="D672"/>
      <c r="E672"/>
      <c r="F672"/>
      <c r="G672"/>
      <c r="H672"/>
      <c r="I672"/>
      <c r="J672"/>
      <c r="K672"/>
      <c r="L672"/>
      <c r="M672"/>
      <c r="N672"/>
      <c r="O672"/>
    </row>
    <row r="673" spans="2:15">
      <c r="B673"/>
      <c r="C673"/>
      <c r="D673"/>
      <c r="E673"/>
      <c r="F673"/>
      <c r="G673"/>
      <c r="H673"/>
      <c r="I673"/>
      <c r="J673"/>
      <c r="K673"/>
      <c r="L673"/>
      <c r="M673"/>
      <c r="N673"/>
      <c r="O673"/>
    </row>
    <row r="674" spans="2:15">
      <c r="B674"/>
      <c r="C674"/>
      <c r="D674"/>
      <c r="E674"/>
      <c r="F674"/>
      <c r="G674"/>
      <c r="H674"/>
      <c r="I674"/>
      <c r="J674"/>
      <c r="K674"/>
      <c r="L674"/>
      <c r="M674"/>
      <c r="N674"/>
      <c r="O674"/>
    </row>
    <row r="675" spans="2:15">
      <c r="B675"/>
      <c r="C675"/>
      <c r="D675"/>
      <c r="E675"/>
      <c r="F675"/>
      <c r="G675"/>
      <c r="H675"/>
      <c r="I675"/>
      <c r="J675"/>
      <c r="K675"/>
      <c r="L675"/>
      <c r="M675"/>
      <c r="N675"/>
      <c r="O675"/>
    </row>
    <row r="676" spans="2:15">
      <c r="B676"/>
      <c r="C676"/>
      <c r="D676"/>
      <c r="E676"/>
      <c r="F676"/>
      <c r="G676"/>
      <c r="H676"/>
      <c r="I676"/>
      <c r="J676"/>
      <c r="K676"/>
      <c r="L676"/>
      <c r="M676"/>
      <c r="N676"/>
      <c r="O676"/>
    </row>
    <row r="677" spans="2:15">
      <c r="B677"/>
      <c r="C677"/>
      <c r="D677"/>
      <c r="E677"/>
      <c r="F677"/>
      <c r="G677"/>
      <c r="H677"/>
      <c r="I677"/>
      <c r="J677"/>
      <c r="K677"/>
      <c r="L677"/>
      <c r="M677"/>
      <c r="N677"/>
      <c r="O677"/>
    </row>
    <row r="678" spans="2:15">
      <c r="B678"/>
      <c r="C678"/>
      <c r="D678"/>
      <c r="E678"/>
      <c r="F678"/>
      <c r="G678"/>
      <c r="H678"/>
      <c r="I678"/>
      <c r="J678"/>
      <c r="K678"/>
      <c r="L678"/>
      <c r="M678"/>
      <c r="N678"/>
      <c r="O678"/>
    </row>
    <row r="679" spans="2:15">
      <c r="B679"/>
      <c r="C679"/>
      <c r="D679"/>
      <c r="E679"/>
      <c r="F679"/>
      <c r="G679"/>
      <c r="H679"/>
      <c r="I679"/>
      <c r="J679"/>
      <c r="K679"/>
      <c r="L679"/>
      <c r="M679"/>
      <c r="N679"/>
      <c r="O679"/>
    </row>
    <row r="680" spans="2:15">
      <c r="B680"/>
      <c r="C680"/>
      <c r="D680"/>
      <c r="E680"/>
      <c r="F680"/>
      <c r="G680"/>
      <c r="H680"/>
      <c r="I680"/>
      <c r="J680"/>
      <c r="K680"/>
      <c r="L680"/>
      <c r="M680"/>
      <c r="N680"/>
      <c r="O680"/>
    </row>
    <row r="681" spans="2:15">
      <c r="B681"/>
      <c r="C681"/>
      <c r="D681"/>
      <c r="E681"/>
      <c r="F681"/>
      <c r="G681"/>
      <c r="H681"/>
      <c r="I681"/>
      <c r="J681"/>
      <c r="K681"/>
      <c r="L681"/>
      <c r="M681"/>
      <c r="N681"/>
      <c r="O681"/>
    </row>
    <row r="682" spans="2:15">
      <c r="B682"/>
      <c r="C682"/>
      <c r="D682"/>
      <c r="E682"/>
      <c r="F682"/>
      <c r="G682"/>
      <c r="H682"/>
      <c r="I682"/>
      <c r="J682"/>
      <c r="K682"/>
      <c r="L682"/>
      <c r="M682"/>
      <c r="N682"/>
      <c r="O682"/>
    </row>
    <row r="683" spans="2:15">
      <c r="B683"/>
      <c r="C683"/>
      <c r="D683"/>
      <c r="E683"/>
      <c r="F683"/>
      <c r="G683"/>
      <c r="H683"/>
      <c r="I683"/>
      <c r="J683"/>
      <c r="K683"/>
      <c r="L683"/>
      <c r="M683"/>
      <c r="N683"/>
      <c r="O683"/>
    </row>
    <row r="684" spans="2:15">
      <c r="B684"/>
      <c r="C684"/>
      <c r="D684"/>
      <c r="E684"/>
      <c r="F684"/>
      <c r="G684"/>
      <c r="H684"/>
      <c r="I684"/>
      <c r="J684"/>
      <c r="K684"/>
      <c r="L684"/>
      <c r="M684"/>
      <c r="N684"/>
      <c r="O684"/>
    </row>
    <row r="685" spans="2:15">
      <c r="B685"/>
      <c r="C685"/>
      <c r="D685"/>
      <c r="E685"/>
      <c r="F685"/>
      <c r="G685"/>
      <c r="H685"/>
      <c r="I685"/>
      <c r="J685"/>
      <c r="K685"/>
      <c r="L685"/>
      <c r="M685"/>
      <c r="N685"/>
      <c r="O685"/>
    </row>
    <row r="686" spans="2:15">
      <c r="B686"/>
      <c r="C686"/>
      <c r="D686"/>
      <c r="E686"/>
      <c r="F686"/>
      <c r="G686"/>
      <c r="H686"/>
      <c r="I686"/>
      <c r="J686"/>
      <c r="K686"/>
      <c r="L686"/>
      <c r="M686"/>
      <c r="N686"/>
      <c r="O686"/>
    </row>
    <row r="687" spans="2:15">
      <c r="B687"/>
      <c r="C687"/>
      <c r="D687"/>
      <c r="E687"/>
      <c r="F687"/>
      <c r="G687"/>
      <c r="H687"/>
      <c r="I687"/>
      <c r="J687"/>
      <c r="K687"/>
      <c r="L687"/>
      <c r="M687"/>
      <c r="N687"/>
      <c r="O687"/>
    </row>
    <row r="688" spans="2:15">
      <c r="B688"/>
      <c r="C688"/>
      <c r="D688"/>
      <c r="E688"/>
      <c r="F688"/>
      <c r="G688"/>
      <c r="H688"/>
      <c r="I688"/>
      <c r="J688"/>
      <c r="K688"/>
      <c r="L688"/>
      <c r="M688"/>
      <c r="N688"/>
      <c r="O688"/>
    </row>
    <row r="689" spans="2:15">
      <c r="B689"/>
      <c r="C689"/>
      <c r="D689"/>
      <c r="E689"/>
      <c r="F689"/>
      <c r="G689"/>
      <c r="H689"/>
      <c r="I689"/>
      <c r="J689"/>
      <c r="K689"/>
      <c r="L689"/>
      <c r="M689"/>
      <c r="N689"/>
      <c r="O689"/>
    </row>
    <row r="690" spans="2:15">
      <c r="B690"/>
      <c r="C690"/>
      <c r="D690"/>
      <c r="E690"/>
      <c r="F690"/>
      <c r="G690"/>
      <c r="H690"/>
      <c r="I690"/>
      <c r="J690"/>
      <c r="K690"/>
      <c r="L690"/>
      <c r="M690"/>
      <c r="N690"/>
      <c r="O690"/>
    </row>
    <row r="691" spans="2:15">
      <c r="B691"/>
      <c r="C691"/>
      <c r="D691"/>
      <c r="E691"/>
      <c r="F691"/>
      <c r="G691"/>
      <c r="H691"/>
      <c r="I691"/>
      <c r="J691"/>
      <c r="K691"/>
      <c r="L691"/>
      <c r="M691"/>
      <c r="N691"/>
      <c r="O691"/>
    </row>
    <row r="692" spans="2:15">
      <c r="B692"/>
      <c r="C692"/>
      <c r="D692"/>
      <c r="E692"/>
      <c r="F692"/>
      <c r="G692"/>
      <c r="H692"/>
      <c r="I692"/>
      <c r="J692"/>
      <c r="K692"/>
      <c r="L692"/>
      <c r="M692"/>
      <c r="N692"/>
      <c r="O692"/>
    </row>
    <row r="693" spans="2:15">
      <c r="B693"/>
      <c r="C693"/>
      <c r="D693"/>
      <c r="E693"/>
      <c r="F693"/>
      <c r="G693"/>
      <c r="H693"/>
      <c r="I693"/>
      <c r="J693"/>
      <c r="K693"/>
      <c r="L693"/>
      <c r="M693"/>
      <c r="N693"/>
      <c r="O693"/>
    </row>
    <row r="694" spans="2:15">
      <c r="B694"/>
      <c r="C694"/>
      <c r="D694"/>
      <c r="E694"/>
      <c r="F694"/>
      <c r="G694"/>
      <c r="H694"/>
      <c r="I694"/>
      <c r="J694"/>
      <c r="K694"/>
      <c r="L694"/>
      <c r="M694"/>
      <c r="N694"/>
      <c r="O694"/>
    </row>
    <row r="695" spans="2:15">
      <c r="B695"/>
      <c r="C695"/>
      <c r="D695"/>
      <c r="E695"/>
      <c r="F695"/>
      <c r="G695"/>
      <c r="H695"/>
      <c r="I695"/>
      <c r="J695"/>
      <c r="K695"/>
      <c r="L695"/>
      <c r="M695"/>
      <c r="N695"/>
      <c r="O695"/>
    </row>
    <row r="696" spans="2:15">
      <c r="B696"/>
      <c r="C696"/>
      <c r="D696"/>
      <c r="E696"/>
      <c r="F696"/>
      <c r="G696"/>
      <c r="H696"/>
      <c r="I696"/>
      <c r="J696"/>
      <c r="K696"/>
      <c r="L696"/>
      <c r="M696"/>
      <c r="N696"/>
      <c r="O696"/>
    </row>
    <row r="697" spans="2:15">
      <c r="B697"/>
      <c r="C697"/>
      <c r="D697"/>
      <c r="E697"/>
      <c r="F697"/>
      <c r="G697"/>
      <c r="H697"/>
      <c r="I697"/>
      <c r="J697"/>
      <c r="K697"/>
      <c r="L697"/>
      <c r="M697"/>
      <c r="N697"/>
      <c r="O697"/>
    </row>
    <row r="698" spans="2:15">
      <c r="B698"/>
      <c r="C698"/>
      <c r="D698"/>
      <c r="E698"/>
      <c r="F698"/>
      <c r="G698"/>
      <c r="H698"/>
      <c r="I698"/>
      <c r="J698"/>
      <c r="K698"/>
      <c r="L698"/>
      <c r="M698"/>
      <c r="N698"/>
      <c r="O698"/>
    </row>
    <row r="699" spans="2:15">
      <c r="B699"/>
      <c r="C699"/>
      <c r="D699"/>
      <c r="E699"/>
      <c r="F699"/>
      <c r="G699"/>
      <c r="H699"/>
      <c r="I699"/>
      <c r="J699"/>
      <c r="K699"/>
      <c r="L699"/>
      <c r="M699"/>
      <c r="N699"/>
      <c r="O699"/>
    </row>
    <row r="700" spans="2:15">
      <c r="B700"/>
      <c r="C700"/>
      <c r="D700"/>
      <c r="E700"/>
      <c r="F700"/>
      <c r="G700"/>
      <c r="H700"/>
      <c r="I700"/>
      <c r="J700"/>
      <c r="K700"/>
      <c r="L700"/>
      <c r="M700"/>
      <c r="N700"/>
      <c r="O700"/>
    </row>
    <row r="701" spans="2:15">
      <c r="B701"/>
      <c r="C701"/>
      <c r="D701"/>
      <c r="E701"/>
      <c r="F701"/>
      <c r="G701"/>
      <c r="H701"/>
      <c r="I701"/>
      <c r="J701"/>
      <c r="K701"/>
      <c r="L701"/>
      <c r="M701"/>
      <c r="N701"/>
      <c r="O701"/>
    </row>
    <row r="702" spans="2:15">
      <c r="B702"/>
      <c r="C702"/>
      <c r="D702"/>
      <c r="E702"/>
      <c r="F702"/>
      <c r="G702"/>
      <c r="H702"/>
      <c r="I702"/>
      <c r="J702"/>
      <c r="K702"/>
      <c r="L702"/>
      <c r="M702"/>
      <c r="N702"/>
      <c r="O702"/>
    </row>
    <row r="703" spans="2:15">
      <c r="B703"/>
      <c r="C703"/>
      <c r="D703"/>
      <c r="E703"/>
      <c r="F703"/>
      <c r="G703"/>
      <c r="H703"/>
      <c r="I703"/>
      <c r="J703"/>
      <c r="K703"/>
      <c r="L703"/>
      <c r="M703"/>
      <c r="N703"/>
      <c r="O703"/>
    </row>
    <row r="704" spans="2:15">
      <c r="B704"/>
      <c r="C704"/>
      <c r="D704"/>
      <c r="E704"/>
      <c r="F704"/>
      <c r="G704"/>
      <c r="H704"/>
      <c r="I704"/>
      <c r="J704"/>
      <c r="K704"/>
      <c r="L704"/>
      <c r="M704"/>
      <c r="N704"/>
      <c r="O704"/>
    </row>
    <row r="705" spans="2:15">
      <c r="B705"/>
      <c r="C705"/>
      <c r="D705"/>
      <c r="E705"/>
      <c r="F705"/>
      <c r="G705"/>
      <c r="H705"/>
      <c r="I705"/>
      <c r="J705"/>
      <c r="K705"/>
      <c r="L705"/>
      <c r="M705"/>
      <c r="N705"/>
      <c r="O705"/>
    </row>
    <row r="706" spans="2:15">
      <c r="B706"/>
      <c r="C706"/>
      <c r="D706"/>
      <c r="E706"/>
      <c r="F706"/>
      <c r="G706"/>
      <c r="H706"/>
      <c r="I706"/>
      <c r="J706"/>
      <c r="K706"/>
      <c r="L706"/>
      <c r="M706"/>
      <c r="N706"/>
      <c r="O706"/>
    </row>
    <row r="707" spans="2:15">
      <c r="B707"/>
      <c r="C707"/>
      <c r="D707"/>
      <c r="E707"/>
      <c r="F707"/>
      <c r="G707"/>
      <c r="H707"/>
      <c r="I707"/>
      <c r="J707"/>
      <c r="K707"/>
      <c r="L707"/>
      <c r="M707"/>
      <c r="N707"/>
      <c r="O707"/>
    </row>
    <row r="708" spans="2:15">
      <c r="B708"/>
      <c r="C708"/>
      <c r="D708"/>
      <c r="E708"/>
      <c r="F708"/>
      <c r="G708"/>
      <c r="H708"/>
      <c r="I708"/>
      <c r="J708"/>
      <c r="K708"/>
      <c r="L708"/>
      <c r="M708"/>
      <c r="N708"/>
      <c r="O708"/>
    </row>
    <row r="709" spans="2:15">
      <c r="B709"/>
      <c r="C709"/>
      <c r="D709"/>
      <c r="E709"/>
      <c r="F709"/>
      <c r="G709"/>
      <c r="H709"/>
      <c r="I709"/>
      <c r="J709"/>
      <c r="K709"/>
      <c r="L709"/>
      <c r="M709"/>
      <c r="N709"/>
      <c r="O709"/>
    </row>
    <row r="710" spans="2:15">
      <c r="B710"/>
      <c r="C710"/>
      <c r="D710"/>
      <c r="E710"/>
      <c r="F710"/>
      <c r="G710"/>
      <c r="H710"/>
      <c r="I710"/>
      <c r="J710"/>
      <c r="K710"/>
      <c r="L710"/>
      <c r="M710"/>
      <c r="N710"/>
      <c r="O710"/>
    </row>
    <row r="711" spans="2:15">
      <c r="B711"/>
      <c r="C711"/>
      <c r="D711"/>
      <c r="E711"/>
      <c r="F711"/>
      <c r="G711"/>
      <c r="H711"/>
      <c r="I711"/>
      <c r="J711"/>
      <c r="K711"/>
      <c r="L711"/>
      <c r="M711"/>
      <c r="N711"/>
      <c r="O711"/>
    </row>
    <row r="712" spans="2:15">
      <c r="B712"/>
      <c r="C712"/>
      <c r="D712"/>
      <c r="E712"/>
      <c r="F712"/>
      <c r="G712"/>
      <c r="H712"/>
      <c r="I712"/>
      <c r="J712"/>
      <c r="K712"/>
      <c r="L712"/>
      <c r="M712"/>
      <c r="N712"/>
      <c r="O712"/>
    </row>
    <row r="713" spans="2:15">
      <c r="B713"/>
      <c r="C713"/>
      <c r="D713"/>
      <c r="E713"/>
      <c r="F713"/>
      <c r="G713"/>
      <c r="H713"/>
      <c r="I713"/>
      <c r="J713"/>
      <c r="K713"/>
      <c r="L713"/>
      <c r="M713"/>
      <c r="N713"/>
      <c r="O713"/>
    </row>
    <row r="714" spans="2:15">
      <c r="B714"/>
      <c r="C714"/>
      <c r="D714"/>
      <c r="E714"/>
      <c r="F714"/>
      <c r="G714"/>
      <c r="H714"/>
      <c r="I714"/>
      <c r="J714"/>
      <c r="K714"/>
      <c r="L714"/>
      <c r="M714"/>
      <c r="N714"/>
      <c r="O714"/>
    </row>
    <row r="715" spans="2:15">
      <c r="B715"/>
      <c r="C715"/>
      <c r="D715"/>
      <c r="E715"/>
      <c r="F715"/>
      <c r="G715"/>
      <c r="H715"/>
      <c r="I715"/>
      <c r="J715"/>
      <c r="K715"/>
      <c r="L715"/>
      <c r="M715"/>
      <c r="N715"/>
      <c r="O715"/>
    </row>
    <row r="716" spans="2:15">
      <c r="B716"/>
      <c r="C716"/>
      <c r="D716"/>
      <c r="E716"/>
      <c r="F716"/>
      <c r="G716"/>
      <c r="H716"/>
      <c r="I716"/>
      <c r="J716"/>
      <c r="K716"/>
      <c r="L716"/>
      <c r="M716"/>
      <c r="N716"/>
      <c r="O716"/>
    </row>
    <row r="717" spans="2:15">
      <c r="B717"/>
      <c r="C717"/>
      <c r="D717"/>
      <c r="E717"/>
      <c r="F717"/>
      <c r="G717"/>
      <c r="H717"/>
      <c r="I717"/>
      <c r="J717"/>
      <c r="K717"/>
      <c r="L717"/>
      <c r="M717"/>
      <c r="N717"/>
      <c r="O717"/>
    </row>
    <row r="718" spans="2:15">
      <c r="B718"/>
      <c r="C718"/>
      <c r="D718"/>
      <c r="E718"/>
      <c r="F718"/>
      <c r="G718"/>
      <c r="H718"/>
      <c r="I718"/>
      <c r="J718"/>
      <c r="K718"/>
      <c r="L718"/>
      <c r="M718"/>
      <c r="N718"/>
      <c r="O718"/>
    </row>
    <row r="719" spans="2:15">
      <c r="B719"/>
      <c r="C719"/>
      <c r="D719"/>
      <c r="E719"/>
      <c r="F719"/>
      <c r="G719"/>
      <c r="H719"/>
      <c r="I719"/>
      <c r="J719"/>
      <c r="K719"/>
      <c r="L719"/>
      <c r="M719"/>
      <c r="N719"/>
      <c r="O719"/>
    </row>
    <row r="720" spans="2:15">
      <c r="B720"/>
      <c r="C720"/>
      <c r="D720"/>
      <c r="E720"/>
      <c r="F720"/>
      <c r="G720"/>
      <c r="H720"/>
      <c r="I720"/>
      <c r="J720"/>
      <c r="K720"/>
      <c r="L720"/>
      <c r="M720"/>
      <c r="N720"/>
      <c r="O720"/>
    </row>
    <row r="721" spans="2:15">
      <c r="B721"/>
      <c r="C721"/>
      <c r="D721"/>
      <c r="E721"/>
      <c r="F721"/>
      <c r="G721"/>
      <c r="H721"/>
      <c r="I721"/>
      <c r="J721"/>
      <c r="K721"/>
      <c r="L721"/>
      <c r="M721"/>
      <c r="N721"/>
      <c r="O721"/>
    </row>
    <row r="722" spans="2:15">
      <c r="B722"/>
      <c r="C722"/>
      <c r="D722"/>
      <c r="E722"/>
      <c r="F722"/>
      <c r="G722"/>
      <c r="H722"/>
      <c r="I722"/>
      <c r="J722"/>
      <c r="K722"/>
      <c r="L722"/>
      <c r="M722"/>
      <c r="N722"/>
      <c r="O722"/>
    </row>
    <row r="723" spans="2:15">
      <c r="B723"/>
      <c r="C723"/>
      <c r="D723"/>
      <c r="E723"/>
      <c r="F723"/>
      <c r="G723"/>
      <c r="H723"/>
      <c r="I723"/>
      <c r="J723"/>
      <c r="K723"/>
      <c r="L723"/>
      <c r="M723"/>
      <c r="N723"/>
      <c r="O723"/>
    </row>
    <row r="724" spans="2:15">
      <c r="B724"/>
      <c r="C724"/>
      <c r="D724"/>
      <c r="E724"/>
      <c r="F724"/>
      <c r="G724"/>
      <c r="H724"/>
      <c r="I724"/>
      <c r="J724"/>
      <c r="K724"/>
      <c r="L724"/>
      <c r="M724"/>
      <c r="N724"/>
      <c r="O724"/>
    </row>
    <row r="725" spans="2:15">
      <c r="B725"/>
      <c r="C725"/>
      <c r="D725"/>
      <c r="E725"/>
      <c r="F725"/>
      <c r="G725"/>
      <c r="H725"/>
      <c r="I725"/>
      <c r="J725"/>
      <c r="K725"/>
      <c r="L725"/>
      <c r="M725"/>
      <c r="N725"/>
      <c r="O725"/>
    </row>
    <row r="726" spans="2:15">
      <c r="B726"/>
      <c r="C726"/>
      <c r="D726"/>
      <c r="E726"/>
      <c r="F726"/>
      <c r="G726"/>
      <c r="H726"/>
      <c r="I726"/>
      <c r="J726"/>
      <c r="K726"/>
      <c r="L726"/>
      <c r="M726"/>
      <c r="N726"/>
      <c r="O726"/>
    </row>
    <row r="727" spans="2:15">
      <c r="B727"/>
      <c r="C727"/>
      <c r="D727"/>
      <c r="E727"/>
      <c r="F727"/>
      <c r="G727"/>
      <c r="H727"/>
      <c r="I727"/>
      <c r="J727"/>
      <c r="K727"/>
      <c r="L727"/>
      <c r="M727"/>
      <c r="N727"/>
      <c r="O727"/>
    </row>
    <row r="728" spans="2:15">
      <c r="B728"/>
      <c r="C728"/>
      <c r="D728"/>
      <c r="E728"/>
      <c r="F728"/>
      <c r="G728"/>
      <c r="H728"/>
      <c r="I728"/>
      <c r="J728"/>
      <c r="K728"/>
      <c r="L728"/>
      <c r="M728"/>
      <c r="N728"/>
      <c r="O728"/>
    </row>
    <row r="729" spans="2:15">
      <c r="B729"/>
      <c r="C729"/>
      <c r="D729"/>
      <c r="E729"/>
      <c r="F729"/>
      <c r="G729"/>
      <c r="H729"/>
      <c r="I729"/>
      <c r="J729"/>
      <c r="K729"/>
      <c r="L729"/>
      <c r="M729"/>
      <c r="N729"/>
      <c r="O729"/>
    </row>
    <row r="730" spans="2:15">
      <c r="B730"/>
      <c r="C730"/>
      <c r="D730"/>
      <c r="E730"/>
      <c r="F730"/>
      <c r="G730"/>
      <c r="H730"/>
      <c r="I730"/>
      <c r="J730"/>
      <c r="K730"/>
      <c r="L730"/>
      <c r="M730"/>
      <c r="N730"/>
      <c r="O730"/>
    </row>
    <row r="731" spans="2:15">
      <c r="B731"/>
      <c r="C731"/>
      <c r="D731"/>
      <c r="E731"/>
      <c r="F731"/>
      <c r="G731"/>
      <c r="H731"/>
      <c r="I731"/>
      <c r="J731"/>
      <c r="K731"/>
      <c r="L731"/>
      <c r="M731"/>
      <c r="N731"/>
      <c r="O731"/>
    </row>
    <row r="732" spans="2:15">
      <c r="B732"/>
      <c r="C732"/>
      <c r="D732"/>
      <c r="E732"/>
      <c r="F732"/>
      <c r="G732"/>
      <c r="H732"/>
      <c r="I732"/>
      <c r="J732"/>
      <c r="K732"/>
      <c r="L732"/>
      <c r="M732"/>
      <c r="N732"/>
      <c r="O732"/>
    </row>
    <row r="733" spans="2:15">
      <c r="B733"/>
      <c r="C733"/>
      <c r="D733"/>
      <c r="E733"/>
      <c r="F733"/>
      <c r="G733"/>
      <c r="H733"/>
      <c r="I733"/>
      <c r="J733"/>
      <c r="K733"/>
      <c r="L733"/>
      <c r="M733"/>
      <c r="N733"/>
      <c r="O733"/>
    </row>
    <row r="734" spans="2:15">
      <c r="B734"/>
      <c r="C734"/>
      <c r="D734"/>
      <c r="E734"/>
      <c r="F734"/>
      <c r="G734"/>
      <c r="H734"/>
      <c r="I734"/>
      <c r="J734"/>
      <c r="K734"/>
      <c r="L734"/>
      <c r="M734"/>
      <c r="N734"/>
      <c r="O734"/>
    </row>
    <row r="735" spans="2:15">
      <c r="B735"/>
      <c r="C735"/>
      <c r="D735"/>
      <c r="E735"/>
      <c r="F735"/>
      <c r="G735"/>
      <c r="H735"/>
      <c r="I735"/>
      <c r="J735"/>
      <c r="K735"/>
      <c r="L735"/>
      <c r="M735"/>
      <c r="N735"/>
      <c r="O735"/>
    </row>
    <row r="736" spans="2:15">
      <c r="B736"/>
      <c r="C736"/>
      <c r="D736"/>
      <c r="E736"/>
      <c r="F736"/>
      <c r="G736"/>
      <c r="H736"/>
      <c r="I736"/>
      <c r="J736"/>
      <c r="K736"/>
      <c r="L736"/>
      <c r="M736"/>
      <c r="N736"/>
      <c r="O736"/>
    </row>
    <row r="737" spans="2:15">
      <c r="B737"/>
      <c r="C737"/>
      <c r="D737"/>
      <c r="E737"/>
      <c r="F737"/>
      <c r="G737"/>
      <c r="H737"/>
      <c r="I737"/>
      <c r="J737"/>
      <c r="K737"/>
      <c r="L737"/>
      <c r="M737"/>
      <c r="N737"/>
      <c r="O737"/>
    </row>
    <row r="738" spans="2:15">
      <c r="B738"/>
      <c r="C738"/>
      <c r="D738"/>
      <c r="E738"/>
      <c r="F738"/>
      <c r="G738"/>
      <c r="H738"/>
      <c r="I738"/>
      <c r="J738"/>
      <c r="K738"/>
      <c r="L738"/>
      <c r="M738"/>
      <c r="N738"/>
      <c r="O738"/>
    </row>
    <row r="739" spans="2:15">
      <c r="B739"/>
      <c r="C739"/>
      <c r="D739"/>
      <c r="E739"/>
      <c r="F739"/>
      <c r="G739"/>
      <c r="H739"/>
      <c r="I739"/>
      <c r="J739"/>
      <c r="K739"/>
      <c r="L739"/>
      <c r="M739"/>
      <c r="N739"/>
      <c r="O739"/>
    </row>
    <row r="740" spans="2:15">
      <c r="B740"/>
      <c r="C740"/>
      <c r="D740"/>
      <c r="E740"/>
      <c r="F740"/>
      <c r="G740"/>
      <c r="H740"/>
      <c r="I740"/>
      <c r="J740"/>
      <c r="K740"/>
      <c r="L740"/>
      <c r="M740"/>
      <c r="N740"/>
      <c r="O740"/>
    </row>
    <row r="741" spans="2:15">
      <c r="B741"/>
      <c r="C741"/>
      <c r="D741"/>
      <c r="E741"/>
      <c r="F741"/>
      <c r="G741"/>
      <c r="H741"/>
      <c r="I741"/>
      <c r="J741"/>
      <c r="K741"/>
      <c r="L741"/>
      <c r="M741"/>
      <c r="N741"/>
      <c r="O741"/>
    </row>
    <row r="742" spans="2:15">
      <c r="B742"/>
      <c r="C742"/>
      <c r="D742"/>
      <c r="E742"/>
      <c r="F742"/>
      <c r="G742"/>
      <c r="H742"/>
      <c r="I742"/>
      <c r="J742"/>
      <c r="K742"/>
      <c r="L742"/>
      <c r="M742"/>
      <c r="N742"/>
      <c r="O742"/>
    </row>
    <row r="743" spans="2:15">
      <c r="B743"/>
      <c r="C743"/>
      <c r="D743"/>
      <c r="E743"/>
      <c r="F743"/>
      <c r="G743"/>
      <c r="H743"/>
      <c r="I743"/>
      <c r="J743"/>
      <c r="K743"/>
      <c r="L743"/>
      <c r="M743"/>
      <c r="N743"/>
      <c r="O743"/>
    </row>
    <row r="744" spans="2:15">
      <c r="B744"/>
      <c r="C744"/>
      <c r="D744"/>
      <c r="E744"/>
      <c r="F744"/>
      <c r="G744"/>
      <c r="H744"/>
      <c r="I744"/>
      <c r="J744"/>
      <c r="K744"/>
      <c r="L744"/>
      <c r="M744"/>
      <c r="N744"/>
      <c r="O744"/>
    </row>
    <row r="745" spans="2:15">
      <c r="B745"/>
      <c r="C745"/>
      <c r="D745"/>
      <c r="E745"/>
      <c r="F745"/>
      <c r="G745"/>
      <c r="H745"/>
      <c r="I745"/>
      <c r="J745"/>
      <c r="K745"/>
      <c r="L745"/>
      <c r="M745"/>
      <c r="N745"/>
      <c r="O745"/>
    </row>
    <row r="746" spans="2:15">
      <c r="B746"/>
      <c r="C746"/>
      <c r="D746"/>
      <c r="E746"/>
      <c r="F746"/>
      <c r="G746"/>
      <c r="H746"/>
      <c r="I746"/>
      <c r="J746"/>
      <c r="K746"/>
      <c r="L746"/>
      <c r="M746"/>
      <c r="N746"/>
      <c r="O746"/>
    </row>
    <row r="747" spans="2:15">
      <c r="B747"/>
      <c r="C747"/>
      <c r="D747"/>
      <c r="E747"/>
      <c r="F747"/>
      <c r="G747"/>
      <c r="H747"/>
      <c r="I747"/>
      <c r="J747"/>
      <c r="K747"/>
      <c r="L747"/>
      <c r="M747"/>
      <c r="N747"/>
      <c r="O747"/>
    </row>
    <row r="748" spans="2:15">
      <c r="B748"/>
      <c r="C748"/>
      <c r="D748"/>
      <c r="E748"/>
      <c r="F748"/>
      <c r="G748"/>
      <c r="H748"/>
      <c r="I748"/>
      <c r="J748"/>
      <c r="K748"/>
      <c r="L748"/>
      <c r="M748"/>
      <c r="N748"/>
      <c r="O748"/>
    </row>
    <row r="749" spans="2:15">
      <c r="B749"/>
      <c r="C749"/>
      <c r="D749"/>
      <c r="E749"/>
      <c r="F749"/>
      <c r="G749"/>
      <c r="H749"/>
      <c r="I749"/>
      <c r="J749"/>
      <c r="K749"/>
      <c r="L749"/>
      <c r="M749"/>
      <c r="N749"/>
      <c r="O749"/>
    </row>
    <row r="750" spans="2:15">
      <c r="B750"/>
      <c r="C750"/>
      <c r="D750"/>
      <c r="E750"/>
      <c r="F750"/>
      <c r="G750"/>
      <c r="H750"/>
      <c r="I750"/>
      <c r="J750"/>
      <c r="K750"/>
      <c r="L750"/>
      <c r="M750"/>
      <c r="N750"/>
      <c r="O750"/>
    </row>
    <row r="751" spans="2:15">
      <c r="B751"/>
      <c r="C751"/>
      <c r="D751"/>
      <c r="E751"/>
      <c r="F751"/>
      <c r="G751"/>
      <c r="H751"/>
      <c r="I751"/>
      <c r="J751"/>
      <c r="K751"/>
      <c r="L751"/>
      <c r="M751"/>
      <c r="N751"/>
      <c r="O751"/>
    </row>
    <row r="752" spans="2:15">
      <c r="B752"/>
      <c r="C752"/>
      <c r="D752"/>
      <c r="E752"/>
      <c r="F752"/>
      <c r="G752"/>
      <c r="H752"/>
      <c r="I752"/>
      <c r="J752"/>
      <c r="K752"/>
      <c r="L752"/>
      <c r="M752"/>
      <c r="N752"/>
      <c r="O752"/>
    </row>
    <row r="753" spans="2:15">
      <c r="B753"/>
      <c r="C753"/>
      <c r="D753"/>
      <c r="E753"/>
      <c r="F753"/>
      <c r="G753"/>
      <c r="H753"/>
      <c r="I753"/>
      <c r="J753"/>
      <c r="K753"/>
      <c r="L753"/>
      <c r="M753"/>
      <c r="N753"/>
      <c r="O753"/>
    </row>
    <row r="754" spans="2:15">
      <c r="B754"/>
      <c r="C754"/>
      <c r="D754"/>
      <c r="E754"/>
      <c r="F754"/>
      <c r="G754"/>
      <c r="H754"/>
      <c r="I754"/>
      <c r="J754"/>
      <c r="K754"/>
      <c r="L754"/>
      <c r="M754"/>
      <c r="N754"/>
      <c r="O754"/>
    </row>
    <row r="755" spans="2:15">
      <c r="B755"/>
      <c r="C755"/>
      <c r="D755"/>
      <c r="E755"/>
      <c r="F755"/>
      <c r="G755"/>
      <c r="H755"/>
      <c r="I755"/>
      <c r="J755"/>
      <c r="K755"/>
      <c r="L755"/>
      <c r="M755"/>
      <c r="N755"/>
      <c r="O755"/>
    </row>
    <row r="756" spans="2:15">
      <c r="B756"/>
      <c r="C756"/>
      <c r="D756"/>
      <c r="E756"/>
      <c r="F756"/>
      <c r="G756"/>
      <c r="H756"/>
      <c r="I756"/>
      <c r="J756"/>
      <c r="K756"/>
      <c r="L756"/>
      <c r="M756"/>
      <c r="N756"/>
      <c r="O756"/>
    </row>
    <row r="757" spans="2:15">
      <c r="B757"/>
      <c r="C757"/>
      <c r="D757"/>
      <c r="E757"/>
      <c r="F757"/>
      <c r="G757"/>
      <c r="H757"/>
      <c r="I757"/>
      <c r="J757"/>
      <c r="K757"/>
      <c r="L757"/>
      <c r="M757"/>
      <c r="N757"/>
      <c r="O757"/>
    </row>
    <row r="758" spans="2:15">
      <c r="B758"/>
      <c r="C758"/>
      <c r="D758"/>
      <c r="E758"/>
      <c r="F758"/>
      <c r="G758"/>
      <c r="H758"/>
      <c r="I758"/>
      <c r="J758"/>
      <c r="K758"/>
      <c r="L758"/>
      <c r="M758"/>
      <c r="N758"/>
      <c r="O758"/>
    </row>
    <row r="759" spans="2:15">
      <c r="B759"/>
      <c r="C759"/>
      <c r="D759"/>
      <c r="E759"/>
      <c r="F759"/>
      <c r="G759"/>
      <c r="H759"/>
      <c r="I759"/>
      <c r="J759"/>
      <c r="K759"/>
      <c r="L759"/>
      <c r="M759"/>
      <c r="N759"/>
      <c r="O759"/>
    </row>
    <row r="760" spans="2:15">
      <c r="B760"/>
      <c r="C760"/>
      <c r="D760"/>
      <c r="E760"/>
      <c r="F760"/>
      <c r="G760"/>
      <c r="H760"/>
      <c r="I760"/>
      <c r="J760"/>
      <c r="K760"/>
      <c r="L760"/>
      <c r="M760"/>
      <c r="N760"/>
      <c r="O760"/>
    </row>
    <row r="761" spans="2:15">
      <c r="B761"/>
      <c r="C761"/>
      <c r="D761"/>
      <c r="E761"/>
      <c r="F761"/>
      <c r="G761"/>
      <c r="H761"/>
      <c r="I761"/>
      <c r="J761"/>
      <c r="K761"/>
      <c r="L761"/>
      <c r="M761"/>
      <c r="N761"/>
      <c r="O761"/>
    </row>
    <row r="762" spans="2:15">
      <c r="B762"/>
      <c r="C762"/>
      <c r="D762"/>
      <c r="E762"/>
      <c r="F762"/>
      <c r="G762"/>
      <c r="H762"/>
      <c r="I762"/>
      <c r="J762"/>
      <c r="K762"/>
      <c r="L762"/>
      <c r="M762"/>
      <c r="N762"/>
      <c r="O762"/>
    </row>
    <row r="763" spans="2:15">
      <c r="B763"/>
      <c r="C763"/>
      <c r="D763"/>
      <c r="E763"/>
      <c r="F763"/>
      <c r="G763"/>
      <c r="H763"/>
      <c r="I763"/>
      <c r="J763"/>
      <c r="K763"/>
      <c r="L763"/>
      <c r="M763"/>
      <c r="N763"/>
      <c r="O763"/>
    </row>
    <row r="764" spans="2:15">
      <c r="B764"/>
      <c r="C764"/>
      <c r="D764"/>
      <c r="E764"/>
      <c r="F764"/>
      <c r="G764"/>
      <c r="H764"/>
      <c r="I764"/>
      <c r="J764"/>
      <c r="K764"/>
      <c r="L764"/>
      <c r="M764"/>
      <c r="N764"/>
      <c r="O764"/>
    </row>
    <row r="765" spans="2:15">
      <c r="B765"/>
      <c r="C765"/>
      <c r="D765"/>
      <c r="E765"/>
      <c r="F765"/>
      <c r="G765"/>
      <c r="H765"/>
      <c r="I765"/>
      <c r="J765"/>
      <c r="K765"/>
      <c r="L765"/>
      <c r="M765"/>
      <c r="N765"/>
      <c r="O765"/>
    </row>
    <row r="766" spans="2:15">
      <c r="B766"/>
      <c r="C766"/>
      <c r="D766"/>
      <c r="E766"/>
      <c r="F766"/>
      <c r="G766"/>
      <c r="H766"/>
      <c r="I766"/>
      <c r="J766"/>
      <c r="K766"/>
      <c r="L766"/>
      <c r="M766"/>
      <c r="N766"/>
      <c r="O766"/>
    </row>
    <row r="767" spans="2:15">
      <c r="B767"/>
      <c r="C767"/>
      <c r="D767"/>
      <c r="E767"/>
      <c r="F767"/>
      <c r="G767"/>
      <c r="H767"/>
      <c r="I767"/>
      <c r="J767"/>
      <c r="K767"/>
      <c r="L767"/>
      <c r="M767"/>
      <c r="N767"/>
      <c r="O767"/>
    </row>
    <row r="768" spans="2:15">
      <c r="B768"/>
      <c r="C768"/>
      <c r="D768"/>
      <c r="E768"/>
      <c r="F768"/>
      <c r="G768"/>
      <c r="H768"/>
      <c r="I768"/>
      <c r="J768"/>
      <c r="K768"/>
      <c r="L768"/>
      <c r="M768"/>
      <c r="N768"/>
      <c r="O768"/>
    </row>
    <row r="769" spans="2:15">
      <c r="B769"/>
      <c r="C769"/>
      <c r="D769"/>
      <c r="E769"/>
      <c r="F769"/>
      <c r="G769"/>
      <c r="H769"/>
      <c r="I769"/>
      <c r="J769"/>
      <c r="K769"/>
      <c r="L769"/>
      <c r="M769"/>
      <c r="N769"/>
      <c r="O769"/>
    </row>
    <row r="770" spans="2:15">
      <c r="B770"/>
      <c r="C770"/>
      <c r="D770"/>
      <c r="E770"/>
      <c r="F770"/>
      <c r="G770"/>
      <c r="H770"/>
      <c r="I770"/>
      <c r="J770"/>
      <c r="K770"/>
      <c r="L770"/>
      <c r="M770"/>
      <c r="N770"/>
      <c r="O770"/>
    </row>
    <row r="771" spans="2:15">
      <c r="B771"/>
      <c r="C771"/>
      <c r="D771"/>
      <c r="E771"/>
      <c r="F771"/>
      <c r="G771"/>
      <c r="H771"/>
      <c r="I771"/>
      <c r="J771"/>
      <c r="K771"/>
      <c r="L771"/>
      <c r="M771"/>
      <c r="N771"/>
      <c r="O771"/>
    </row>
    <row r="772" spans="2:15">
      <c r="B772"/>
      <c r="C772"/>
      <c r="D772"/>
      <c r="E772"/>
      <c r="F772"/>
      <c r="G772"/>
      <c r="H772"/>
      <c r="I772"/>
      <c r="J772"/>
      <c r="K772"/>
      <c r="L772"/>
      <c r="M772"/>
      <c r="N772"/>
      <c r="O772"/>
    </row>
    <row r="773" spans="2:15">
      <c r="B773"/>
      <c r="C773"/>
      <c r="D773"/>
      <c r="E773"/>
      <c r="F773"/>
      <c r="G773"/>
      <c r="H773"/>
      <c r="I773"/>
      <c r="J773"/>
      <c r="K773"/>
      <c r="L773"/>
      <c r="M773"/>
      <c r="N773"/>
      <c r="O773"/>
    </row>
    <row r="774" spans="2:15">
      <c r="B774"/>
      <c r="C774"/>
      <c r="D774"/>
      <c r="E774"/>
      <c r="F774"/>
      <c r="G774"/>
      <c r="H774"/>
      <c r="I774"/>
      <c r="J774"/>
      <c r="K774"/>
      <c r="L774"/>
      <c r="M774"/>
      <c r="N774"/>
      <c r="O774"/>
    </row>
    <row r="775" spans="2:15">
      <c r="B775"/>
      <c r="C775"/>
      <c r="D775"/>
      <c r="E775"/>
      <c r="F775"/>
      <c r="G775"/>
      <c r="H775"/>
      <c r="I775"/>
      <c r="J775"/>
      <c r="K775"/>
      <c r="L775"/>
      <c r="M775"/>
      <c r="N775"/>
      <c r="O775"/>
    </row>
    <row r="776" spans="2:15">
      <c r="B776"/>
      <c r="C776"/>
      <c r="D776"/>
      <c r="E776"/>
      <c r="F776"/>
      <c r="G776"/>
      <c r="H776"/>
      <c r="I776"/>
      <c r="J776"/>
      <c r="K776"/>
      <c r="L776"/>
      <c r="M776"/>
      <c r="N776"/>
      <c r="O776"/>
    </row>
    <row r="777" spans="2:15">
      <c r="B777"/>
      <c r="C777"/>
      <c r="D777"/>
      <c r="E777"/>
      <c r="F777"/>
      <c r="G777"/>
      <c r="H777"/>
      <c r="I777"/>
      <c r="J777"/>
      <c r="K777"/>
      <c r="L777"/>
      <c r="M777"/>
      <c r="N777"/>
      <c r="O777"/>
    </row>
    <row r="778" spans="2:15">
      <c r="B778"/>
      <c r="C778"/>
      <c r="D778"/>
      <c r="E778"/>
      <c r="F778"/>
      <c r="G778"/>
      <c r="H778"/>
      <c r="I778"/>
      <c r="J778"/>
      <c r="K778"/>
      <c r="L778"/>
      <c r="M778"/>
      <c r="N778"/>
      <c r="O778"/>
    </row>
    <row r="779" spans="2:15">
      <c r="B779"/>
      <c r="C779"/>
      <c r="D779"/>
      <c r="E779"/>
      <c r="F779"/>
      <c r="G779"/>
      <c r="H779"/>
      <c r="I779"/>
      <c r="J779"/>
      <c r="K779"/>
      <c r="L779"/>
      <c r="M779"/>
      <c r="N779"/>
      <c r="O779"/>
    </row>
    <row r="780" spans="2:15">
      <c r="B780"/>
      <c r="C780"/>
      <c r="D780"/>
      <c r="E780"/>
      <c r="F780"/>
      <c r="G780"/>
      <c r="H780"/>
      <c r="I780"/>
      <c r="J780"/>
      <c r="K780"/>
      <c r="L780"/>
      <c r="M780"/>
      <c r="N780"/>
      <c r="O780"/>
    </row>
    <row r="781" spans="2:15">
      <c r="B781"/>
      <c r="C781"/>
      <c r="D781"/>
      <c r="E781"/>
      <c r="F781"/>
      <c r="G781"/>
      <c r="H781"/>
      <c r="I781"/>
      <c r="J781"/>
      <c r="K781"/>
      <c r="L781"/>
      <c r="M781"/>
      <c r="N781"/>
      <c r="O781"/>
    </row>
    <row r="782" spans="2:15">
      <c r="B782"/>
      <c r="C782"/>
      <c r="D782"/>
      <c r="E782"/>
      <c r="F782"/>
      <c r="G782"/>
      <c r="H782"/>
      <c r="I782"/>
      <c r="J782"/>
      <c r="K782"/>
      <c r="L782"/>
      <c r="M782"/>
      <c r="N782"/>
      <c r="O782"/>
    </row>
    <row r="783" spans="2:15">
      <c r="B783"/>
      <c r="C783"/>
      <c r="D783"/>
      <c r="E783"/>
      <c r="F783"/>
      <c r="G783"/>
      <c r="H783"/>
      <c r="I783"/>
      <c r="J783"/>
      <c r="K783"/>
      <c r="L783"/>
      <c r="M783"/>
      <c r="N783"/>
      <c r="O783"/>
    </row>
    <row r="784" spans="2:15">
      <c r="B784"/>
      <c r="C784"/>
      <c r="D784"/>
      <c r="E784"/>
      <c r="F784"/>
      <c r="G784"/>
      <c r="H784"/>
      <c r="I784"/>
      <c r="J784"/>
      <c r="K784"/>
      <c r="L784"/>
      <c r="M784"/>
      <c r="N784"/>
      <c r="O784"/>
    </row>
    <row r="785" spans="2:15">
      <c r="B785"/>
      <c r="C785"/>
      <c r="D785"/>
      <c r="E785"/>
      <c r="F785"/>
      <c r="G785"/>
      <c r="H785"/>
      <c r="I785"/>
      <c r="J785"/>
      <c r="K785"/>
      <c r="L785"/>
      <c r="M785"/>
      <c r="N785"/>
      <c r="O785"/>
    </row>
    <row r="786" spans="2:15">
      <c r="B786"/>
      <c r="C786"/>
      <c r="D786"/>
      <c r="E786"/>
      <c r="F786"/>
      <c r="G786"/>
      <c r="H786"/>
      <c r="I786"/>
      <c r="J786"/>
      <c r="K786"/>
      <c r="L786"/>
      <c r="M786"/>
      <c r="N786"/>
      <c r="O786"/>
    </row>
    <row r="787" spans="2:15">
      <c r="B787"/>
      <c r="C787"/>
      <c r="D787"/>
      <c r="E787"/>
      <c r="F787"/>
      <c r="G787"/>
      <c r="H787"/>
      <c r="I787"/>
      <c r="J787"/>
      <c r="K787"/>
      <c r="L787"/>
      <c r="M787"/>
      <c r="N787"/>
      <c r="O787"/>
    </row>
    <row r="788" spans="2:15">
      <c r="B788"/>
      <c r="C788"/>
      <c r="D788"/>
      <c r="E788"/>
      <c r="F788"/>
      <c r="G788"/>
      <c r="H788"/>
      <c r="I788"/>
      <c r="J788"/>
      <c r="K788"/>
      <c r="L788"/>
      <c r="M788"/>
      <c r="N788"/>
      <c r="O788"/>
    </row>
    <row r="789" spans="2:15">
      <c r="B789"/>
      <c r="C789"/>
      <c r="D789"/>
      <c r="E789"/>
      <c r="F789"/>
      <c r="G789"/>
      <c r="H789"/>
      <c r="I789"/>
      <c r="J789"/>
      <c r="K789"/>
      <c r="L789"/>
      <c r="M789"/>
      <c r="N789"/>
      <c r="O789"/>
    </row>
    <row r="790" spans="2:15">
      <c r="B790"/>
      <c r="C790"/>
      <c r="D790"/>
      <c r="E790"/>
      <c r="F790"/>
      <c r="G790"/>
      <c r="H790"/>
      <c r="I790"/>
      <c r="J790"/>
      <c r="K790"/>
      <c r="L790"/>
      <c r="M790"/>
      <c r="N790"/>
      <c r="O790"/>
    </row>
    <row r="791" spans="2:15">
      <c r="B791"/>
      <c r="C791"/>
      <c r="D791"/>
      <c r="E791"/>
      <c r="F791"/>
      <c r="G791"/>
      <c r="H791"/>
      <c r="I791"/>
      <c r="J791"/>
      <c r="K791"/>
      <c r="L791"/>
      <c r="M791"/>
      <c r="N791"/>
      <c r="O791"/>
    </row>
    <row r="792" spans="2:15">
      <c r="B792"/>
      <c r="C792"/>
      <c r="D792"/>
      <c r="E792"/>
      <c r="F792"/>
      <c r="G792"/>
      <c r="H792"/>
      <c r="I792"/>
      <c r="J792"/>
      <c r="K792"/>
      <c r="L792"/>
      <c r="M792"/>
      <c r="N792"/>
      <c r="O792"/>
    </row>
    <row r="793" spans="2:15">
      <c r="B793"/>
      <c r="C793"/>
      <c r="D793"/>
      <c r="E793"/>
      <c r="F793"/>
      <c r="G793"/>
      <c r="H793"/>
      <c r="I793"/>
      <c r="J793"/>
      <c r="K793"/>
      <c r="L793"/>
      <c r="M793"/>
      <c r="N793"/>
      <c r="O793"/>
    </row>
    <row r="794" spans="2:15">
      <c r="B794"/>
      <c r="C794"/>
      <c r="D794"/>
      <c r="E794"/>
      <c r="F794"/>
      <c r="G794"/>
      <c r="H794"/>
      <c r="I794"/>
      <c r="J794"/>
      <c r="K794"/>
      <c r="L794"/>
      <c r="M794"/>
      <c r="N794"/>
      <c r="O794"/>
    </row>
    <row r="795" spans="2:15">
      <c r="B795"/>
      <c r="C795"/>
      <c r="D795"/>
      <c r="E795"/>
      <c r="F795"/>
      <c r="G795"/>
      <c r="H795"/>
      <c r="I795"/>
      <c r="J795"/>
      <c r="K795"/>
      <c r="L795"/>
      <c r="M795"/>
      <c r="N795"/>
      <c r="O795"/>
    </row>
    <row r="796" spans="2:15">
      <c r="B796"/>
      <c r="C796"/>
      <c r="D796"/>
      <c r="E796"/>
      <c r="F796"/>
      <c r="G796"/>
      <c r="H796"/>
      <c r="I796"/>
      <c r="J796"/>
      <c r="K796"/>
      <c r="L796"/>
      <c r="M796"/>
      <c r="N796"/>
      <c r="O796"/>
    </row>
    <row r="797" spans="2:15">
      <c r="B797"/>
      <c r="C797"/>
      <c r="D797"/>
      <c r="E797"/>
      <c r="F797"/>
      <c r="G797"/>
      <c r="H797"/>
      <c r="I797"/>
      <c r="J797"/>
      <c r="K797"/>
      <c r="L797"/>
      <c r="M797"/>
      <c r="N797"/>
      <c r="O797"/>
    </row>
    <row r="798" spans="2:15">
      <c r="B798"/>
      <c r="C798"/>
      <c r="D798"/>
      <c r="E798"/>
      <c r="F798"/>
      <c r="G798"/>
      <c r="H798"/>
      <c r="I798"/>
      <c r="J798"/>
      <c r="K798"/>
      <c r="L798"/>
      <c r="M798"/>
      <c r="N798"/>
      <c r="O798"/>
    </row>
    <row r="799" spans="2:15">
      <c r="B799"/>
      <c r="C799"/>
      <c r="D799"/>
      <c r="E799"/>
      <c r="F799"/>
      <c r="G799"/>
      <c r="H799"/>
      <c r="I799"/>
      <c r="J799"/>
      <c r="K799"/>
      <c r="L799"/>
      <c r="M799"/>
      <c r="N799"/>
      <c r="O799"/>
    </row>
    <row r="800" spans="2:15">
      <c r="B800"/>
      <c r="C800"/>
      <c r="D800"/>
      <c r="E800"/>
      <c r="F800"/>
      <c r="G800"/>
      <c r="H800"/>
      <c r="I800"/>
      <c r="J800"/>
      <c r="K800"/>
      <c r="L800"/>
      <c r="M800"/>
      <c r="N800"/>
      <c r="O800"/>
    </row>
    <row r="801" spans="2:15">
      <c r="B801"/>
      <c r="C801"/>
      <c r="D801"/>
      <c r="E801"/>
      <c r="F801"/>
      <c r="G801"/>
      <c r="H801"/>
      <c r="I801"/>
      <c r="J801"/>
      <c r="K801"/>
      <c r="L801"/>
      <c r="M801"/>
      <c r="N801"/>
      <c r="O801"/>
    </row>
    <row r="802" spans="2:15">
      <c r="B802"/>
      <c r="C802"/>
      <c r="D802"/>
      <c r="E802"/>
      <c r="F802"/>
      <c r="G802"/>
      <c r="H802"/>
      <c r="I802"/>
      <c r="J802"/>
      <c r="K802"/>
      <c r="L802"/>
      <c r="M802"/>
      <c r="N802"/>
      <c r="O802"/>
    </row>
    <row r="803" spans="2:15">
      <c r="B803"/>
      <c r="C803"/>
      <c r="D803"/>
      <c r="E803"/>
      <c r="F803"/>
      <c r="G803"/>
      <c r="H803"/>
      <c r="I803"/>
      <c r="J803"/>
      <c r="K803"/>
      <c r="L803"/>
      <c r="M803"/>
      <c r="N803"/>
      <c r="O803"/>
    </row>
    <row r="804" spans="2:15">
      <c r="B804"/>
      <c r="C804"/>
      <c r="D804"/>
      <c r="E804"/>
      <c r="F804"/>
      <c r="G804"/>
      <c r="H804"/>
      <c r="I804"/>
      <c r="J804"/>
      <c r="K804"/>
      <c r="L804"/>
      <c r="M804"/>
      <c r="N804"/>
      <c r="O804"/>
    </row>
    <row r="805" spans="2:15">
      <c r="B805"/>
      <c r="C805"/>
      <c r="D805"/>
      <c r="E805"/>
      <c r="F805"/>
      <c r="G805"/>
      <c r="H805"/>
      <c r="I805"/>
      <c r="J805"/>
      <c r="K805"/>
      <c r="L805"/>
      <c r="M805"/>
      <c r="N805"/>
      <c r="O805"/>
    </row>
    <row r="806" spans="2:15">
      <c r="B806"/>
      <c r="C806"/>
      <c r="D806"/>
      <c r="E806"/>
      <c r="F806"/>
      <c r="G806"/>
      <c r="H806"/>
      <c r="I806"/>
      <c r="J806"/>
      <c r="K806"/>
      <c r="L806"/>
      <c r="M806"/>
      <c r="N806"/>
      <c r="O806"/>
    </row>
    <row r="807" spans="2:15">
      <c r="B807"/>
      <c r="C807"/>
      <c r="D807"/>
      <c r="E807"/>
      <c r="F807"/>
      <c r="G807"/>
      <c r="H807"/>
      <c r="I807"/>
      <c r="J807"/>
      <c r="K807"/>
      <c r="L807"/>
      <c r="M807"/>
      <c r="N807"/>
      <c r="O807"/>
    </row>
    <row r="808" spans="2:15">
      <c r="B808"/>
      <c r="C808"/>
      <c r="D808"/>
      <c r="E808"/>
      <c r="F808"/>
      <c r="G808"/>
      <c r="H808"/>
      <c r="I808"/>
      <c r="J808"/>
      <c r="K808"/>
      <c r="L808"/>
      <c r="M808"/>
      <c r="N808"/>
      <c r="O808"/>
    </row>
    <row r="809" spans="2:15">
      <c r="B809"/>
      <c r="C809"/>
      <c r="D809"/>
      <c r="E809"/>
      <c r="F809"/>
      <c r="G809"/>
      <c r="H809"/>
      <c r="I809"/>
      <c r="J809"/>
      <c r="K809"/>
      <c r="L809"/>
      <c r="M809"/>
      <c r="N809"/>
      <c r="O809"/>
    </row>
    <row r="810" spans="2:15">
      <c r="B810"/>
      <c r="C810"/>
      <c r="D810"/>
      <c r="E810"/>
      <c r="F810"/>
      <c r="G810"/>
      <c r="H810"/>
      <c r="I810"/>
      <c r="J810"/>
      <c r="K810"/>
      <c r="L810"/>
      <c r="M810"/>
      <c r="N810"/>
      <c r="O810"/>
    </row>
    <row r="811" spans="2:15">
      <c r="B811"/>
      <c r="C811"/>
      <c r="D811"/>
      <c r="E811"/>
      <c r="F811"/>
      <c r="G811"/>
      <c r="H811"/>
      <c r="I811"/>
      <c r="J811"/>
      <c r="K811"/>
      <c r="L811"/>
      <c r="M811"/>
      <c r="N811"/>
      <c r="O811"/>
    </row>
    <row r="812" spans="2:15">
      <c r="B812"/>
      <c r="C812"/>
      <c r="D812"/>
      <c r="E812"/>
      <c r="F812"/>
      <c r="G812"/>
      <c r="H812"/>
      <c r="I812"/>
      <c r="J812"/>
      <c r="K812"/>
      <c r="L812"/>
      <c r="M812"/>
      <c r="N812"/>
      <c r="O812"/>
    </row>
    <row r="813" spans="2:15">
      <c r="B813"/>
      <c r="C813"/>
      <c r="D813"/>
      <c r="E813"/>
      <c r="F813"/>
      <c r="G813"/>
      <c r="H813"/>
      <c r="I813"/>
      <c r="J813"/>
      <c r="K813"/>
      <c r="L813"/>
      <c r="M813"/>
      <c r="N813"/>
      <c r="O813"/>
    </row>
    <row r="814" spans="2:15">
      <c r="B814"/>
      <c r="C814"/>
      <c r="D814"/>
      <c r="E814"/>
      <c r="F814"/>
      <c r="G814"/>
      <c r="H814"/>
      <c r="I814"/>
      <c r="J814"/>
      <c r="K814"/>
      <c r="L814"/>
      <c r="M814"/>
      <c r="N814"/>
      <c r="O814"/>
    </row>
    <row r="815" spans="2:15">
      <c r="B815"/>
      <c r="C815"/>
      <c r="D815"/>
      <c r="E815"/>
      <c r="F815"/>
      <c r="G815"/>
      <c r="H815"/>
      <c r="I815"/>
      <c r="J815"/>
      <c r="K815"/>
      <c r="L815"/>
      <c r="M815"/>
      <c r="N815"/>
      <c r="O815"/>
    </row>
    <row r="816" spans="2:15">
      <c r="B816"/>
      <c r="C816"/>
      <c r="D816"/>
      <c r="E816"/>
      <c r="F816"/>
      <c r="G816"/>
      <c r="H816"/>
      <c r="I816"/>
      <c r="J816"/>
      <c r="K816"/>
      <c r="L816"/>
      <c r="M816"/>
      <c r="N816"/>
      <c r="O816"/>
    </row>
    <row r="817" spans="2:15">
      <c r="B817"/>
      <c r="C817"/>
      <c r="D817"/>
      <c r="E817"/>
      <c r="F817"/>
      <c r="G817"/>
      <c r="H817"/>
      <c r="I817"/>
      <c r="J817"/>
      <c r="K817"/>
      <c r="L817"/>
      <c r="M817"/>
      <c r="N817"/>
      <c r="O817"/>
    </row>
    <row r="818" spans="2:15">
      <c r="B818"/>
      <c r="C818"/>
      <c r="D818"/>
      <c r="E818"/>
      <c r="F818"/>
      <c r="G818"/>
      <c r="H818"/>
      <c r="I818"/>
      <c r="J818"/>
      <c r="K818"/>
      <c r="L818"/>
      <c r="M818"/>
      <c r="N818"/>
      <c r="O818"/>
    </row>
    <row r="819" spans="2:15">
      <c r="B819"/>
      <c r="C819"/>
      <c r="D819"/>
      <c r="E819"/>
      <c r="F819"/>
      <c r="G819"/>
      <c r="H819"/>
      <c r="I819"/>
      <c r="J819"/>
      <c r="K819"/>
      <c r="L819"/>
      <c r="M819"/>
      <c r="N819"/>
      <c r="O819"/>
    </row>
    <row r="820" spans="2:15">
      <c r="B820"/>
      <c r="C820"/>
      <c r="D820"/>
      <c r="E820"/>
      <c r="F820"/>
      <c r="G820"/>
      <c r="H820"/>
      <c r="I820"/>
      <c r="J820"/>
      <c r="K820"/>
      <c r="L820"/>
      <c r="M820"/>
      <c r="N820"/>
      <c r="O820"/>
    </row>
    <row r="821" spans="2:15">
      <c r="B821"/>
      <c r="C821"/>
      <c r="D821"/>
      <c r="E821"/>
      <c r="F821"/>
      <c r="G821"/>
      <c r="H821"/>
      <c r="I821"/>
      <c r="J821"/>
      <c r="K821"/>
      <c r="L821"/>
      <c r="M821"/>
      <c r="N821"/>
      <c r="O821"/>
    </row>
    <row r="822" spans="2:15">
      <c r="B822"/>
      <c r="C822"/>
      <c r="D822"/>
      <c r="E822"/>
      <c r="F822"/>
      <c r="G822"/>
      <c r="H822"/>
      <c r="I822"/>
      <c r="J822"/>
      <c r="K822"/>
      <c r="L822"/>
      <c r="M822"/>
      <c r="N822"/>
      <c r="O822"/>
    </row>
    <row r="823" spans="2:15">
      <c r="B823"/>
      <c r="C823"/>
      <c r="D823"/>
      <c r="E823"/>
      <c r="F823"/>
      <c r="G823"/>
      <c r="H823"/>
      <c r="I823"/>
      <c r="J823"/>
      <c r="K823"/>
      <c r="L823"/>
      <c r="M823"/>
      <c r="N823"/>
      <c r="O823"/>
    </row>
    <row r="824" spans="2:15">
      <c r="B824"/>
      <c r="C824"/>
      <c r="D824"/>
      <c r="E824"/>
      <c r="F824"/>
      <c r="G824"/>
      <c r="H824"/>
      <c r="I824"/>
      <c r="J824"/>
      <c r="K824"/>
      <c r="L824"/>
      <c r="M824"/>
      <c r="N824"/>
      <c r="O824"/>
    </row>
    <row r="825" spans="2:15">
      <c r="B825"/>
      <c r="C825"/>
      <c r="D825"/>
      <c r="E825"/>
      <c r="F825"/>
      <c r="G825"/>
      <c r="H825"/>
      <c r="I825"/>
      <c r="J825"/>
      <c r="K825"/>
      <c r="L825"/>
      <c r="M825"/>
      <c r="N825"/>
      <c r="O825"/>
    </row>
    <row r="826" spans="2:15">
      <c r="B826"/>
      <c r="C826"/>
      <c r="D826"/>
      <c r="E826"/>
      <c r="F826"/>
      <c r="G826"/>
      <c r="H826"/>
      <c r="I826"/>
      <c r="J826"/>
      <c r="K826"/>
      <c r="L826"/>
      <c r="M826"/>
      <c r="N826"/>
      <c r="O826"/>
    </row>
    <row r="827" spans="2:15">
      <c r="B827"/>
      <c r="C827"/>
      <c r="D827"/>
      <c r="E827"/>
      <c r="F827"/>
      <c r="G827"/>
      <c r="H827"/>
      <c r="I827"/>
      <c r="J827"/>
      <c r="K827"/>
      <c r="L827"/>
      <c r="M827"/>
      <c r="N827"/>
      <c r="O827"/>
    </row>
    <row r="828" spans="2:15">
      <c r="B828"/>
      <c r="C828"/>
      <c r="D828"/>
      <c r="E828"/>
      <c r="F828"/>
      <c r="G828"/>
      <c r="H828"/>
      <c r="I828"/>
      <c r="J828"/>
      <c r="K828"/>
      <c r="L828"/>
      <c r="M828"/>
      <c r="N828"/>
      <c r="O828"/>
    </row>
    <row r="829" spans="2:15">
      <c r="B829"/>
      <c r="C829"/>
      <c r="D829"/>
      <c r="E829"/>
      <c r="F829"/>
      <c r="G829"/>
      <c r="H829"/>
      <c r="I829"/>
      <c r="J829"/>
      <c r="K829"/>
      <c r="L829"/>
      <c r="M829"/>
      <c r="N829"/>
      <c r="O829"/>
    </row>
    <row r="830" spans="2:15">
      <c r="B830"/>
      <c r="C830"/>
      <c r="D830"/>
      <c r="E830"/>
      <c r="F830"/>
      <c r="G830"/>
      <c r="H830"/>
      <c r="I830"/>
      <c r="J830"/>
      <c r="K830"/>
      <c r="L830"/>
      <c r="M830"/>
      <c r="N830"/>
      <c r="O830"/>
    </row>
    <row r="831" spans="2:15">
      <c r="B831"/>
      <c r="C831"/>
      <c r="D831"/>
      <c r="E831"/>
      <c r="F831"/>
      <c r="G831"/>
      <c r="H831"/>
      <c r="I831"/>
      <c r="J831"/>
      <c r="K831"/>
      <c r="L831"/>
      <c r="M831"/>
      <c r="N831"/>
      <c r="O831"/>
    </row>
    <row r="832" spans="2:15">
      <c r="B832"/>
      <c r="C832"/>
      <c r="D832"/>
      <c r="E832"/>
      <c r="F832"/>
      <c r="G832"/>
      <c r="H832"/>
      <c r="I832"/>
      <c r="J832"/>
      <c r="K832"/>
      <c r="L832"/>
      <c r="M832"/>
      <c r="N832"/>
      <c r="O832"/>
    </row>
    <row r="833" spans="2:15">
      <c r="B833"/>
      <c r="C833"/>
      <c r="D833"/>
      <c r="E833"/>
      <c r="F833"/>
      <c r="G833"/>
      <c r="H833"/>
      <c r="I833"/>
      <c r="J833"/>
      <c r="K833"/>
      <c r="L833"/>
      <c r="M833"/>
      <c r="N833"/>
      <c r="O833"/>
    </row>
    <row r="834" spans="2:15">
      <c r="B834"/>
      <c r="C834"/>
      <c r="D834"/>
      <c r="E834"/>
      <c r="F834"/>
      <c r="G834"/>
      <c r="H834"/>
      <c r="I834"/>
      <c r="J834"/>
      <c r="K834"/>
      <c r="L834"/>
      <c r="M834"/>
      <c r="N834"/>
      <c r="O834"/>
    </row>
    <row r="835" spans="2:15">
      <c r="B835"/>
      <c r="C835"/>
      <c r="D835"/>
      <c r="E835"/>
      <c r="F835"/>
      <c r="G835"/>
      <c r="H835"/>
      <c r="I835"/>
      <c r="J835"/>
      <c r="K835"/>
      <c r="L835"/>
      <c r="M835"/>
      <c r="N835"/>
      <c r="O835"/>
    </row>
    <row r="836" spans="2:15">
      <c r="B836"/>
      <c r="C836"/>
      <c r="D836"/>
      <c r="E836"/>
      <c r="F836"/>
      <c r="G836"/>
      <c r="H836"/>
      <c r="I836"/>
      <c r="J836"/>
      <c r="K836"/>
      <c r="L836"/>
      <c r="M836"/>
      <c r="N836"/>
      <c r="O836"/>
    </row>
    <row r="837" spans="2:15">
      <c r="B837"/>
      <c r="C837"/>
      <c r="D837"/>
      <c r="E837"/>
      <c r="F837"/>
      <c r="G837"/>
      <c r="H837"/>
      <c r="I837"/>
      <c r="J837"/>
      <c r="K837"/>
      <c r="L837"/>
      <c r="M837"/>
      <c r="N837"/>
      <c r="O837"/>
    </row>
    <row r="838" spans="2:15">
      <c r="B838"/>
      <c r="C838"/>
      <c r="D838"/>
      <c r="E838"/>
      <c r="F838"/>
      <c r="G838"/>
      <c r="H838"/>
      <c r="I838"/>
      <c r="J838"/>
      <c r="K838"/>
      <c r="L838"/>
      <c r="M838"/>
      <c r="N838"/>
      <c r="O838"/>
    </row>
    <row r="839" spans="2:15">
      <c r="B839"/>
      <c r="C839"/>
      <c r="D839"/>
      <c r="E839"/>
      <c r="F839"/>
      <c r="G839"/>
      <c r="H839"/>
      <c r="I839"/>
      <c r="J839"/>
      <c r="K839"/>
      <c r="L839"/>
      <c r="M839"/>
      <c r="N839"/>
      <c r="O839"/>
    </row>
    <row r="840" spans="2:15">
      <c r="B840"/>
      <c r="C840"/>
      <c r="D840"/>
      <c r="E840"/>
      <c r="F840"/>
      <c r="G840"/>
      <c r="H840"/>
      <c r="I840"/>
      <c r="J840"/>
      <c r="K840"/>
      <c r="L840"/>
      <c r="M840"/>
      <c r="N840"/>
      <c r="O840"/>
    </row>
    <row r="841" spans="2:15">
      <c r="B841"/>
      <c r="C841"/>
      <c r="D841"/>
      <c r="E841"/>
      <c r="F841"/>
      <c r="G841"/>
      <c r="H841"/>
      <c r="I841"/>
      <c r="J841"/>
      <c r="K841"/>
      <c r="L841"/>
      <c r="M841"/>
      <c r="N841"/>
      <c r="O841"/>
    </row>
    <row r="842" spans="2:15">
      <c r="B842"/>
      <c r="C842"/>
      <c r="D842"/>
      <c r="E842"/>
      <c r="F842"/>
      <c r="G842"/>
      <c r="H842"/>
      <c r="I842"/>
      <c r="J842"/>
      <c r="K842"/>
      <c r="L842"/>
      <c r="M842"/>
      <c r="N842"/>
      <c r="O842"/>
    </row>
    <row r="843" spans="2:15">
      <c r="B843"/>
      <c r="C843"/>
      <c r="D843"/>
      <c r="E843"/>
      <c r="F843"/>
      <c r="G843"/>
      <c r="H843"/>
      <c r="I843"/>
      <c r="J843"/>
      <c r="K843"/>
      <c r="L843"/>
      <c r="M843"/>
      <c r="N843"/>
      <c r="O843"/>
    </row>
    <row r="844" spans="2:15">
      <c r="B844"/>
      <c r="C844"/>
      <c r="D844"/>
      <c r="E844"/>
      <c r="F844"/>
      <c r="G844"/>
      <c r="H844"/>
      <c r="I844"/>
      <c r="J844"/>
      <c r="K844"/>
      <c r="L844"/>
      <c r="M844"/>
      <c r="N844"/>
      <c r="O844"/>
    </row>
    <row r="845" spans="2:15">
      <c r="B845"/>
      <c r="C845"/>
      <c r="D845"/>
      <c r="E845"/>
      <c r="F845"/>
      <c r="G845"/>
      <c r="H845"/>
      <c r="I845"/>
      <c r="J845"/>
      <c r="K845"/>
      <c r="L845"/>
      <c r="M845"/>
      <c r="N845"/>
      <c r="O845"/>
    </row>
    <row r="846" spans="2:15">
      <c r="B846"/>
      <c r="C846"/>
      <c r="D846"/>
      <c r="E846"/>
      <c r="F846"/>
      <c r="G846"/>
      <c r="H846"/>
      <c r="I846"/>
      <c r="J846"/>
      <c r="K846"/>
      <c r="L846"/>
      <c r="M846"/>
      <c r="N846"/>
      <c r="O846"/>
    </row>
    <row r="847" spans="2:15">
      <c r="B847"/>
      <c r="C847"/>
      <c r="D847"/>
      <c r="E847"/>
      <c r="F847"/>
      <c r="G847"/>
      <c r="H847"/>
      <c r="I847"/>
      <c r="J847"/>
      <c r="K847"/>
      <c r="L847"/>
      <c r="M847"/>
      <c r="N847"/>
      <c r="O847"/>
    </row>
    <row r="848" spans="2:15">
      <c r="B848"/>
      <c r="C848"/>
      <c r="D848"/>
      <c r="E848"/>
      <c r="F848"/>
      <c r="G848"/>
      <c r="H848"/>
      <c r="I848"/>
      <c r="J848"/>
      <c r="K848"/>
      <c r="L848"/>
      <c r="M848"/>
      <c r="N848"/>
      <c r="O848"/>
    </row>
    <row r="849" spans="2:15">
      <c r="B849"/>
      <c r="C849"/>
      <c r="D849"/>
      <c r="E849"/>
      <c r="F849"/>
      <c r="G849"/>
      <c r="H849"/>
      <c r="I849"/>
      <c r="J849"/>
      <c r="K849"/>
      <c r="L849"/>
      <c r="M849"/>
      <c r="N849"/>
      <c r="O849"/>
    </row>
    <row r="850" spans="2:15">
      <c r="B850"/>
      <c r="C850"/>
      <c r="D850"/>
      <c r="E850"/>
      <c r="F850"/>
      <c r="G850"/>
      <c r="H850"/>
      <c r="I850"/>
      <c r="J850"/>
      <c r="K850"/>
      <c r="L850"/>
      <c r="M850"/>
      <c r="N850"/>
      <c r="O850"/>
    </row>
    <row r="851" spans="2:15">
      <c r="B851"/>
      <c r="C851"/>
      <c r="D851"/>
      <c r="E851"/>
      <c r="F851"/>
      <c r="G851"/>
      <c r="H851"/>
      <c r="I851"/>
      <c r="J851"/>
      <c r="K851"/>
      <c r="L851"/>
      <c r="M851"/>
      <c r="N851"/>
      <c r="O851"/>
    </row>
    <row r="852" spans="2:15">
      <c r="B852"/>
      <c r="C852"/>
      <c r="D852"/>
      <c r="E852"/>
      <c r="F852"/>
      <c r="G852"/>
      <c r="H852"/>
      <c r="I852"/>
      <c r="J852"/>
      <c r="K852"/>
      <c r="L852"/>
      <c r="M852"/>
      <c r="N852"/>
      <c r="O852"/>
    </row>
    <row r="853" spans="2:15">
      <c r="B853"/>
      <c r="C853"/>
      <c r="D853"/>
      <c r="E853"/>
      <c r="F853"/>
      <c r="G853"/>
      <c r="H853"/>
      <c r="I853"/>
      <c r="J853"/>
      <c r="K853"/>
      <c r="L853"/>
      <c r="M853"/>
      <c r="N853"/>
      <c r="O853"/>
    </row>
    <row r="854" spans="2:15">
      <c r="B854"/>
      <c r="C854"/>
      <c r="D854"/>
      <c r="E854"/>
      <c r="F854"/>
      <c r="G854"/>
      <c r="H854"/>
      <c r="I854"/>
      <c r="J854"/>
      <c r="K854"/>
      <c r="L854"/>
      <c r="M854"/>
      <c r="N854"/>
      <c r="O854"/>
    </row>
    <row r="855" spans="2:15">
      <c r="B855"/>
      <c r="C855"/>
      <c r="D855"/>
      <c r="E855"/>
      <c r="F855"/>
      <c r="G855"/>
      <c r="H855"/>
      <c r="I855"/>
      <c r="J855"/>
      <c r="K855"/>
      <c r="L855"/>
      <c r="M855"/>
      <c r="N855"/>
      <c r="O855"/>
    </row>
    <row r="856" spans="2:15">
      <c r="B856"/>
      <c r="C856"/>
      <c r="D856"/>
      <c r="E856"/>
      <c r="F856"/>
      <c r="G856"/>
      <c r="H856"/>
      <c r="I856"/>
      <c r="J856"/>
      <c r="K856"/>
      <c r="L856"/>
      <c r="M856"/>
      <c r="N856"/>
      <c r="O856"/>
    </row>
    <row r="857" spans="2:15">
      <c r="B857"/>
      <c r="C857"/>
      <c r="D857"/>
      <c r="E857"/>
      <c r="F857"/>
      <c r="G857"/>
      <c r="H857"/>
      <c r="I857"/>
      <c r="J857"/>
      <c r="K857"/>
      <c r="L857"/>
      <c r="M857"/>
      <c r="N857"/>
      <c r="O857"/>
    </row>
    <row r="858" spans="2:15">
      <c r="B858"/>
      <c r="C858"/>
      <c r="D858"/>
      <c r="E858"/>
      <c r="F858"/>
      <c r="G858"/>
      <c r="H858"/>
      <c r="I858"/>
      <c r="J858"/>
      <c r="K858"/>
      <c r="L858"/>
      <c r="M858"/>
      <c r="N858"/>
      <c r="O858"/>
    </row>
    <row r="859" spans="2:15">
      <c r="B859"/>
      <c r="C859"/>
      <c r="D859"/>
      <c r="E859"/>
      <c r="F859"/>
      <c r="G859"/>
      <c r="H859"/>
      <c r="I859"/>
      <c r="J859"/>
      <c r="K859"/>
      <c r="L859"/>
      <c r="M859"/>
      <c r="N859"/>
      <c r="O859"/>
    </row>
    <row r="860" spans="2:15">
      <c r="B860"/>
      <c r="C860"/>
      <c r="D860"/>
      <c r="E860"/>
      <c r="F860"/>
      <c r="G860"/>
      <c r="H860"/>
      <c r="I860"/>
      <c r="J860"/>
      <c r="K860"/>
      <c r="L860"/>
      <c r="M860"/>
      <c r="N860"/>
      <c r="O860"/>
    </row>
    <row r="861" spans="2:15">
      <c r="B861"/>
      <c r="C861"/>
      <c r="D861"/>
      <c r="E861"/>
      <c r="F861"/>
      <c r="G861"/>
      <c r="H861"/>
      <c r="I861"/>
      <c r="J861"/>
      <c r="K861"/>
      <c r="L861"/>
      <c r="M861"/>
      <c r="N861"/>
      <c r="O861"/>
    </row>
    <row r="862" spans="2:15">
      <c r="B862"/>
      <c r="C862"/>
      <c r="D862"/>
      <c r="E862"/>
      <c r="F862"/>
      <c r="G862"/>
      <c r="H862"/>
      <c r="I862"/>
      <c r="J862"/>
      <c r="K862"/>
      <c r="L862"/>
      <c r="M862"/>
      <c r="N862"/>
      <c r="O862"/>
    </row>
    <row r="863" spans="2:15">
      <c r="B863"/>
      <c r="C863"/>
      <c r="D863"/>
      <c r="E863"/>
      <c r="F863"/>
      <c r="G863"/>
      <c r="H863"/>
      <c r="I863"/>
      <c r="J863"/>
      <c r="K863"/>
      <c r="L863"/>
      <c r="M863"/>
      <c r="N863"/>
      <c r="O863"/>
    </row>
    <row r="864" spans="2:15">
      <c r="B864"/>
      <c r="C864"/>
      <c r="D864"/>
      <c r="E864"/>
      <c r="F864"/>
      <c r="G864"/>
      <c r="H864"/>
      <c r="I864"/>
      <c r="J864"/>
      <c r="K864"/>
      <c r="L864"/>
      <c r="M864"/>
      <c r="N864"/>
      <c r="O864"/>
    </row>
    <row r="865" spans="2:15">
      <c r="B865"/>
      <c r="C865"/>
      <c r="D865"/>
      <c r="E865"/>
      <c r="F865"/>
      <c r="G865"/>
      <c r="H865"/>
      <c r="I865"/>
      <c r="J865"/>
      <c r="K865"/>
      <c r="L865"/>
      <c r="M865"/>
      <c r="N865"/>
      <c r="O865"/>
    </row>
    <row r="866" spans="2:15">
      <c r="B866"/>
      <c r="C866"/>
      <c r="D866"/>
      <c r="E866"/>
      <c r="F866"/>
      <c r="G866"/>
      <c r="H866"/>
      <c r="I866"/>
      <c r="J866"/>
      <c r="K866"/>
      <c r="L866"/>
      <c r="M866"/>
      <c r="N866"/>
      <c r="O866"/>
    </row>
    <row r="867" spans="2:15">
      <c r="B867"/>
      <c r="C867"/>
      <c r="D867"/>
      <c r="E867"/>
      <c r="F867"/>
      <c r="G867"/>
      <c r="H867"/>
      <c r="I867"/>
      <c r="J867"/>
      <c r="K867"/>
      <c r="L867"/>
      <c r="M867"/>
      <c r="N867"/>
      <c r="O867"/>
    </row>
    <row r="868" spans="2:15">
      <c r="B868"/>
      <c r="C868"/>
      <c r="D868"/>
      <c r="E868"/>
      <c r="F868"/>
      <c r="G868"/>
      <c r="H868"/>
      <c r="I868"/>
      <c r="J868"/>
      <c r="K868"/>
      <c r="L868"/>
      <c r="M868"/>
      <c r="N868"/>
      <c r="O868"/>
    </row>
    <row r="869" spans="2:15">
      <c r="B869"/>
      <c r="C869"/>
      <c r="D869"/>
      <c r="E869"/>
      <c r="F869"/>
      <c r="G869"/>
      <c r="H869"/>
      <c r="I869"/>
      <c r="J869"/>
      <c r="K869"/>
      <c r="L869"/>
      <c r="M869"/>
      <c r="N869"/>
      <c r="O869"/>
    </row>
    <row r="870" spans="2:15">
      <c r="B870"/>
      <c r="C870"/>
      <c r="D870"/>
      <c r="E870"/>
      <c r="F870"/>
      <c r="G870"/>
      <c r="H870"/>
      <c r="I870"/>
      <c r="J870"/>
      <c r="K870"/>
      <c r="L870"/>
      <c r="M870"/>
      <c r="N870"/>
      <c r="O870"/>
    </row>
    <row r="871" spans="2:15">
      <c r="B871"/>
      <c r="C871"/>
      <c r="D871"/>
      <c r="E871"/>
      <c r="F871"/>
      <c r="G871"/>
      <c r="H871"/>
      <c r="I871"/>
      <c r="J871"/>
      <c r="K871"/>
      <c r="L871"/>
      <c r="M871"/>
      <c r="N871"/>
      <c r="O871"/>
    </row>
    <row r="872" spans="2:15">
      <c r="B872"/>
      <c r="C872"/>
      <c r="D872"/>
      <c r="E872"/>
      <c r="F872"/>
      <c r="G872"/>
      <c r="H872"/>
      <c r="I872"/>
      <c r="J872"/>
      <c r="K872"/>
      <c r="L872"/>
      <c r="M872"/>
      <c r="N872"/>
      <c r="O872"/>
    </row>
    <row r="873" spans="2:15">
      <c r="B873"/>
      <c r="C873"/>
      <c r="D873"/>
      <c r="E873"/>
      <c r="F873"/>
      <c r="G873"/>
      <c r="H873"/>
      <c r="I873"/>
      <c r="J873"/>
      <c r="K873"/>
      <c r="L873"/>
      <c r="M873"/>
      <c r="N873"/>
      <c r="O873"/>
    </row>
    <row r="874" spans="2:15">
      <c r="B874"/>
      <c r="C874"/>
      <c r="D874"/>
      <c r="E874"/>
      <c r="F874"/>
      <c r="G874"/>
      <c r="H874"/>
      <c r="I874"/>
      <c r="J874"/>
      <c r="K874"/>
      <c r="L874"/>
      <c r="M874"/>
      <c r="N874"/>
      <c r="O874"/>
    </row>
    <row r="875" spans="2:15">
      <c r="B875"/>
      <c r="C875"/>
      <c r="D875"/>
      <c r="E875"/>
      <c r="F875"/>
      <c r="G875"/>
      <c r="H875"/>
      <c r="I875"/>
      <c r="J875"/>
      <c r="K875"/>
      <c r="L875"/>
      <c r="M875"/>
      <c r="N875"/>
      <c r="O875"/>
    </row>
    <row r="876" spans="2:15">
      <c r="B876"/>
      <c r="C876"/>
      <c r="D876"/>
      <c r="E876"/>
      <c r="F876"/>
      <c r="G876"/>
      <c r="H876"/>
      <c r="I876"/>
      <c r="J876"/>
      <c r="K876"/>
      <c r="L876"/>
      <c r="M876"/>
      <c r="N876"/>
      <c r="O876"/>
    </row>
    <row r="877" spans="2:15">
      <c r="B877"/>
      <c r="C877"/>
      <c r="D877"/>
      <c r="E877"/>
      <c r="F877"/>
      <c r="G877"/>
      <c r="H877"/>
      <c r="I877"/>
      <c r="J877"/>
      <c r="K877"/>
      <c r="L877"/>
      <c r="M877"/>
      <c r="N877"/>
      <c r="O877"/>
    </row>
    <row r="878" spans="2:15">
      <c r="B878"/>
      <c r="C878"/>
      <c r="D878"/>
      <c r="E878"/>
      <c r="F878"/>
      <c r="G878"/>
      <c r="H878"/>
      <c r="I878"/>
      <c r="J878"/>
      <c r="K878"/>
      <c r="L878"/>
      <c r="M878"/>
      <c r="N878"/>
      <c r="O878"/>
    </row>
    <row r="879" spans="2:15">
      <c r="B879"/>
      <c r="C879"/>
      <c r="D879"/>
      <c r="E879"/>
      <c r="F879"/>
      <c r="G879"/>
      <c r="H879"/>
      <c r="I879"/>
      <c r="J879"/>
      <c r="K879"/>
      <c r="L879"/>
      <c r="M879"/>
      <c r="N879"/>
      <c r="O879"/>
    </row>
    <row r="880" spans="2:15">
      <c r="B880"/>
      <c r="C880"/>
      <c r="D880"/>
      <c r="E880"/>
      <c r="F880"/>
      <c r="G880"/>
      <c r="H880"/>
      <c r="I880"/>
      <c r="J880"/>
      <c r="K880"/>
      <c r="L880"/>
      <c r="M880"/>
      <c r="N880"/>
      <c r="O880"/>
    </row>
    <row r="881" spans="2:15">
      <c r="B881"/>
      <c r="C881"/>
      <c r="D881"/>
      <c r="E881"/>
      <c r="F881"/>
      <c r="G881"/>
      <c r="H881"/>
      <c r="I881"/>
      <c r="J881"/>
      <c r="K881"/>
      <c r="L881"/>
      <c r="M881"/>
      <c r="N881"/>
      <c r="O881"/>
    </row>
    <row r="882" spans="2:15">
      <c r="B882"/>
      <c r="C882"/>
      <c r="D882"/>
      <c r="E882"/>
      <c r="F882"/>
      <c r="G882"/>
      <c r="H882"/>
      <c r="I882"/>
      <c r="J882"/>
      <c r="K882"/>
      <c r="L882"/>
      <c r="M882"/>
      <c r="N882"/>
      <c r="O882"/>
    </row>
    <row r="883" spans="2:15">
      <c r="B883"/>
      <c r="C883"/>
      <c r="D883"/>
      <c r="E883"/>
      <c r="F883"/>
      <c r="G883"/>
      <c r="H883"/>
      <c r="I883"/>
      <c r="J883"/>
      <c r="K883"/>
      <c r="L883"/>
      <c r="M883"/>
      <c r="N883"/>
      <c r="O883"/>
    </row>
    <row r="884" spans="2:15">
      <c r="B884"/>
      <c r="C884"/>
      <c r="D884"/>
      <c r="E884"/>
      <c r="F884"/>
      <c r="G884"/>
      <c r="H884"/>
      <c r="I884"/>
      <c r="J884"/>
      <c r="K884"/>
      <c r="L884"/>
      <c r="M884"/>
      <c r="N884"/>
      <c r="O884"/>
    </row>
    <row r="885" spans="2:15">
      <c r="B885"/>
      <c r="C885"/>
      <c r="D885"/>
      <c r="E885"/>
      <c r="F885"/>
      <c r="G885"/>
      <c r="H885"/>
      <c r="I885"/>
      <c r="J885"/>
      <c r="K885"/>
      <c r="L885"/>
      <c r="M885"/>
      <c r="N885"/>
      <c r="O885"/>
    </row>
    <row r="886" spans="2:15">
      <c r="B886"/>
      <c r="C886"/>
      <c r="D886"/>
      <c r="E886"/>
      <c r="F886"/>
      <c r="G886"/>
      <c r="H886"/>
      <c r="I886"/>
      <c r="J886"/>
      <c r="K886"/>
      <c r="L886"/>
      <c r="M886"/>
      <c r="N886"/>
      <c r="O886"/>
    </row>
    <row r="887" spans="2:15">
      <c r="B887"/>
      <c r="C887"/>
      <c r="D887"/>
      <c r="E887"/>
      <c r="F887"/>
      <c r="G887"/>
      <c r="H887"/>
      <c r="I887"/>
      <c r="J887"/>
      <c r="K887"/>
      <c r="L887"/>
      <c r="M887"/>
      <c r="N887"/>
      <c r="O887"/>
    </row>
    <row r="888" spans="2:15">
      <c r="B888"/>
      <c r="C888"/>
      <c r="D888"/>
      <c r="E888"/>
      <c r="F888"/>
      <c r="G888"/>
      <c r="H888"/>
      <c r="I888"/>
      <c r="J888"/>
      <c r="K888"/>
      <c r="L888"/>
      <c r="M888"/>
      <c r="N888"/>
      <c r="O888"/>
    </row>
    <row r="889" spans="2:15">
      <c r="B889"/>
      <c r="C889"/>
      <c r="D889"/>
      <c r="E889"/>
      <c r="F889"/>
      <c r="G889"/>
      <c r="H889"/>
      <c r="I889"/>
      <c r="J889"/>
      <c r="K889"/>
      <c r="L889"/>
      <c r="M889"/>
      <c r="N889"/>
      <c r="O889"/>
    </row>
    <row r="890" spans="2:15">
      <c r="B890"/>
      <c r="C890"/>
      <c r="D890"/>
      <c r="E890"/>
      <c r="F890"/>
      <c r="G890"/>
      <c r="H890"/>
      <c r="I890"/>
      <c r="J890"/>
      <c r="K890"/>
      <c r="L890"/>
      <c r="M890"/>
      <c r="N890"/>
      <c r="O890"/>
    </row>
    <row r="891" spans="2:15">
      <c r="B891"/>
      <c r="C891"/>
      <c r="D891"/>
      <c r="E891"/>
      <c r="F891"/>
      <c r="G891"/>
      <c r="H891"/>
      <c r="I891"/>
      <c r="J891"/>
      <c r="K891"/>
      <c r="L891"/>
      <c r="M891"/>
      <c r="N891"/>
      <c r="O891"/>
    </row>
    <row r="892" spans="2:15">
      <c r="B892"/>
      <c r="C892"/>
      <c r="D892"/>
      <c r="E892"/>
      <c r="F892"/>
      <c r="G892"/>
      <c r="H892"/>
      <c r="I892"/>
      <c r="J892"/>
      <c r="K892"/>
      <c r="L892"/>
      <c r="M892"/>
      <c r="N892"/>
      <c r="O892"/>
    </row>
    <row r="893" spans="2:15">
      <c r="B893"/>
      <c r="C893"/>
      <c r="D893"/>
      <c r="E893"/>
      <c r="F893"/>
      <c r="G893"/>
      <c r="H893"/>
      <c r="I893"/>
      <c r="J893"/>
      <c r="K893"/>
      <c r="L893"/>
      <c r="M893"/>
      <c r="N893"/>
      <c r="O893"/>
    </row>
    <row r="894" spans="2:15">
      <c r="B894"/>
      <c r="C894"/>
      <c r="D894"/>
      <c r="E894"/>
      <c r="F894"/>
      <c r="G894"/>
      <c r="H894"/>
      <c r="I894"/>
      <c r="J894"/>
      <c r="K894"/>
      <c r="L894"/>
      <c r="M894"/>
      <c r="N894"/>
      <c r="O894"/>
    </row>
    <row r="895" spans="2:15">
      <c r="B895"/>
      <c r="C895"/>
      <c r="D895"/>
      <c r="E895"/>
      <c r="F895"/>
      <c r="G895"/>
      <c r="H895"/>
      <c r="I895"/>
      <c r="J895"/>
      <c r="K895"/>
      <c r="L895"/>
      <c r="M895"/>
      <c r="N895"/>
      <c r="O895"/>
    </row>
    <row r="896" spans="2:15">
      <c r="B896"/>
      <c r="C896"/>
      <c r="D896"/>
      <c r="E896"/>
      <c r="F896"/>
      <c r="G896"/>
      <c r="H896"/>
      <c r="I896"/>
      <c r="J896"/>
      <c r="K896"/>
      <c r="L896"/>
      <c r="M896"/>
      <c r="N896"/>
      <c r="O896"/>
    </row>
    <row r="897" spans="2:15">
      <c r="B897"/>
      <c r="C897"/>
      <c r="D897"/>
      <c r="E897"/>
      <c r="F897"/>
      <c r="G897"/>
      <c r="H897"/>
      <c r="I897"/>
      <c r="J897"/>
      <c r="K897"/>
      <c r="L897"/>
      <c r="M897"/>
      <c r="N897"/>
      <c r="O897"/>
    </row>
    <row r="898" spans="2:15">
      <c r="B898"/>
      <c r="C898"/>
      <c r="D898"/>
      <c r="E898"/>
      <c r="F898"/>
      <c r="G898"/>
      <c r="H898"/>
      <c r="I898"/>
      <c r="J898"/>
      <c r="K898"/>
      <c r="L898"/>
      <c r="M898"/>
      <c r="N898"/>
      <c r="O898"/>
    </row>
    <row r="899" spans="2:15">
      <c r="B899"/>
      <c r="C899"/>
      <c r="D899"/>
      <c r="E899"/>
      <c r="F899"/>
      <c r="G899"/>
      <c r="H899"/>
      <c r="I899"/>
      <c r="J899"/>
      <c r="K899"/>
      <c r="L899"/>
      <c r="M899"/>
      <c r="N899"/>
      <c r="O899"/>
    </row>
    <row r="900" spans="2:15">
      <c r="B900"/>
      <c r="C900"/>
      <c r="D900"/>
      <c r="E900"/>
      <c r="F900"/>
      <c r="G900"/>
      <c r="H900"/>
      <c r="I900"/>
      <c r="J900"/>
      <c r="K900"/>
      <c r="L900"/>
      <c r="M900"/>
      <c r="N900"/>
      <c r="O900"/>
    </row>
    <row r="901" spans="2:15">
      <c r="B901"/>
      <c r="C901"/>
      <c r="D901"/>
      <c r="E901"/>
      <c r="F901"/>
      <c r="G901"/>
      <c r="H901"/>
      <c r="I901"/>
      <c r="J901"/>
      <c r="K901"/>
      <c r="L901"/>
      <c r="M901"/>
      <c r="N901"/>
      <c r="O901"/>
    </row>
    <row r="902" spans="2:15">
      <c r="B902"/>
      <c r="C902"/>
      <c r="D902"/>
      <c r="E902"/>
      <c r="F902"/>
      <c r="G902"/>
      <c r="H902"/>
      <c r="I902"/>
      <c r="J902"/>
      <c r="K902"/>
      <c r="L902"/>
      <c r="M902"/>
      <c r="N902"/>
      <c r="O902"/>
    </row>
    <row r="903" spans="2:15">
      <c r="B903"/>
      <c r="C903"/>
      <c r="D903"/>
      <c r="E903"/>
      <c r="F903"/>
      <c r="G903"/>
      <c r="H903"/>
      <c r="I903"/>
      <c r="J903"/>
      <c r="K903"/>
      <c r="L903"/>
      <c r="M903"/>
      <c r="N903"/>
      <c r="O903"/>
    </row>
    <row r="904" spans="2:15">
      <c r="B904"/>
      <c r="C904"/>
      <c r="D904"/>
      <c r="E904"/>
      <c r="F904"/>
      <c r="G904"/>
      <c r="H904"/>
      <c r="I904"/>
      <c r="J904"/>
      <c r="K904"/>
      <c r="L904"/>
      <c r="M904"/>
      <c r="N904"/>
      <c r="O904"/>
    </row>
    <row r="905" spans="2:15">
      <c r="B905"/>
      <c r="C905"/>
      <c r="D905"/>
      <c r="E905"/>
      <c r="F905"/>
      <c r="G905"/>
      <c r="H905"/>
      <c r="I905"/>
      <c r="J905"/>
      <c r="K905"/>
      <c r="L905"/>
      <c r="M905"/>
      <c r="N905"/>
      <c r="O905"/>
    </row>
    <row r="906" spans="2:15">
      <c r="B906"/>
      <c r="C906"/>
      <c r="D906"/>
      <c r="E906"/>
      <c r="F906"/>
      <c r="G906"/>
      <c r="H906"/>
      <c r="I906"/>
      <c r="J906"/>
      <c r="K906"/>
      <c r="L906"/>
      <c r="M906"/>
      <c r="N906"/>
      <c r="O906"/>
    </row>
    <row r="907" spans="2:15">
      <c r="B907"/>
      <c r="C907"/>
      <c r="D907"/>
      <c r="E907"/>
      <c r="F907"/>
      <c r="G907"/>
      <c r="H907"/>
      <c r="I907"/>
      <c r="J907"/>
      <c r="K907"/>
      <c r="L907"/>
      <c r="M907"/>
      <c r="N907"/>
      <c r="O907"/>
    </row>
    <row r="908" spans="2:15">
      <c r="B908"/>
      <c r="C908"/>
      <c r="D908"/>
      <c r="E908"/>
      <c r="F908"/>
      <c r="G908"/>
      <c r="H908"/>
      <c r="I908"/>
      <c r="J908"/>
      <c r="K908"/>
      <c r="L908"/>
      <c r="M908"/>
      <c r="N908"/>
      <c r="O908"/>
    </row>
    <row r="909" spans="2:15">
      <c r="B909"/>
      <c r="C909"/>
      <c r="D909"/>
      <c r="E909"/>
      <c r="F909"/>
      <c r="G909"/>
      <c r="H909"/>
      <c r="I909"/>
      <c r="J909"/>
      <c r="K909"/>
      <c r="L909"/>
      <c r="M909"/>
      <c r="N909"/>
      <c r="O909"/>
    </row>
    <row r="910" spans="2:15">
      <c r="B910"/>
      <c r="C910"/>
      <c r="D910"/>
      <c r="E910"/>
      <c r="F910"/>
      <c r="G910"/>
      <c r="H910"/>
      <c r="I910"/>
      <c r="J910"/>
      <c r="K910"/>
      <c r="L910"/>
      <c r="M910"/>
      <c r="N910"/>
      <c r="O910"/>
    </row>
    <row r="911" spans="2:15">
      <c r="B911"/>
      <c r="C911"/>
      <c r="D911"/>
      <c r="E911"/>
      <c r="F911"/>
      <c r="G911"/>
      <c r="H911"/>
      <c r="I911"/>
      <c r="J911"/>
      <c r="K911"/>
      <c r="L911"/>
      <c r="M911"/>
      <c r="N911"/>
      <c r="O911"/>
    </row>
  </sheetData>
  <mergeCells count="10">
    <mergeCell ref="B34:E34"/>
    <mergeCell ref="B35:E35"/>
    <mergeCell ref="B60:N60"/>
    <mergeCell ref="B61:N61"/>
    <mergeCell ref="B2:K2"/>
    <mergeCell ref="B3:K3"/>
    <mergeCell ref="B7:D7"/>
    <mergeCell ref="H7:J7"/>
    <mergeCell ref="B8:D8"/>
    <mergeCell ref="H8:J8"/>
  </mergeCells>
  <conditionalFormatting sqref="R4:R16">
    <cfRule type="top10" dxfId="72" priority="41" bottom="1" rank="1"/>
    <cfRule type="top10" dxfId="71" priority="42" rank="1"/>
  </conditionalFormatting>
  <conditionalFormatting sqref="S4:S16">
    <cfRule type="top10" dxfId="70" priority="39" percent="1" bottom="1" rank="1"/>
    <cfRule type="top10" dxfId="69" priority="40" percent="1" rank="1"/>
  </conditionalFormatting>
  <conditionalFormatting sqref="I10:I21">
    <cfRule type="top10" dxfId="68" priority="21" bottom="1" rank="1"/>
    <cfRule type="top10" dxfId="67" priority="22" rank="1"/>
  </conditionalFormatting>
  <conditionalFormatting sqref="J10:J21">
    <cfRule type="top10" dxfId="66" priority="19" bottom="1" rank="1"/>
    <cfRule type="top10" dxfId="65" priority="20" rank="1"/>
  </conditionalFormatting>
  <conditionalFormatting sqref="K10:K21">
    <cfRule type="top10" dxfId="64" priority="17" bottom="1" rank="1"/>
    <cfRule type="top10" dxfId="63" priority="18" rank="1"/>
  </conditionalFormatting>
  <conditionalFormatting sqref="L10:L21">
    <cfRule type="top10" dxfId="62" priority="15" percent="1" rank="1"/>
    <cfRule type="top10" dxfId="61" priority="16" bottom="1" rank="1"/>
  </conditionalFormatting>
  <conditionalFormatting sqref="E38:E53">
    <cfRule type="top10" dxfId="60" priority="13" bottom="1" rank="1"/>
    <cfRule type="top10" dxfId="59" priority="14" rank="1"/>
  </conditionalFormatting>
  <conditionalFormatting sqref="F38:F53">
    <cfRule type="top10" dxfId="58" priority="11" rank="1"/>
    <cfRule type="top10" dxfId="57" priority="12" bottom="1" rank="1"/>
  </conditionalFormatting>
  <conditionalFormatting sqref="B38:B53">
    <cfRule type="top10" dxfId="56" priority="9" bottom="1" rank="1"/>
    <cfRule type="top10" dxfId="55" priority="10" rank="1"/>
  </conditionalFormatting>
  <conditionalFormatting pivot="1" sqref="D10:D16">
    <cfRule type="top10" dxfId="54" priority="8" rank="1"/>
  </conditionalFormatting>
  <conditionalFormatting pivot="1" sqref="D10:D16">
    <cfRule type="top10" dxfId="53" priority="7" bottom="1" rank="1"/>
  </conditionalFormatting>
  <conditionalFormatting pivot="1" sqref="C63:C74">
    <cfRule type="top10" dxfId="52" priority="4" rank="1"/>
  </conditionalFormatting>
  <conditionalFormatting pivot="1" sqref="C63:C74">
    <cfRule type="top10" dxfId="51" priority="3" bottom="1" rank="1"/>
  </conditionalFormatting>
  <conditionalFormatting pivot="1" sqref="D63:D74">
    <cfRule type="top10" dxfId="50" priority="2" rank="1"/>
  </conditionalFormatting>
  <conditionalFormatting pivot="1" sqref="D63:D74">
    <cfRule type="top10" dxfId="49" priority="1" bottom="1" rank="1"/>
  </conditionalFormatting>
  <pageMargins left="0.75" right="0.75" top="1" bottom="1" header="0.511811023622047" footer="0.511811023622047"/>
  <pageSetup paperSize="9" orientation="portrait" horizontalDpi="300" verticalDpi="300" r:id="rId4"/>
  <headerFooter>
    <oddHeader>&amp;R&amp;"Aptos"&amp;10&amp;K000000 Business Use&amp;1#_x000D_</oddHeader>
  </headerFooter>
  <drawing r:id="rId5"/>
  <tableParts count="1">
    <tablePart r:id="rId6"/>
  </tableParts>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Views>
    <sheetView showGridLines="0" topLeftCell="A22" zoomScaleNormal="100" workbookViewId="0">
      <selection activeCell="B44" sqref="B44:H44"/>
    </sheetView>
  </sheetViews>
  <sheetFormatPr defaultColWidth="7.59765625" defaultRowHeight="14.4"/>
  <cols>
    <col min="1" max="1" width="1.69921875" style="22" customWidth="1"/>
    <col min="2" max="2" width="19.19921875" style="22" customWidth="1"/>
    <col min="3" max="8" width="17.5" style="22" customWidth="1"/>
    <col min="9" max="9" width="1.69921875" style="22" customWidth="1"/>
    <col min="10" max="16384" width="7.59765625" style="22"/>
  </cols>
  <sheetData>
    <row r="1" spans="1:8" ht="15" customHeight="1">
      <c r="A1" s="118" t="s">
        <v>108</v>
      </c>
      <c r="B1" s="118"/>
      <c r="C1" s="118"/>
      <c r="D1" s="118"/>
      <c r="E1" s="118"/>
      <c r="F1" s="118"/>
      <c r="G1" s="118"/>
      <c r="H1" s="118"/>
    </row>
    <row r="2" spans="1:8" ht="15" customHeight="1">
      <c r="A2" s="118"/>
      <c r="B2" s="118"/>
      <c r="C2" s="118"/>
      <c r="D2" s="118"/>
      <c r="E2" s="118"/>
      <c r="F2" s="118"/>
      <c r="G2" s="118"/>
      <c r="H2" s="118"/>
    </row>
    <row r="3" spans="1:8" ht="19.5" customHeight="1">
      <c r="B3" s="131" t="s">
        <v>109</v>
      </c>
      <c r="C3" s="131"/>
      <c r="D3" s="74"/>
      <c r="E3" s="131"/>
      <c r="F3" s="131"/>
      <c r="G3" s="131"/>
      <c r="H3" s="131"/>
    </row>
    <row r="4" spans="1:8" ht="7.5" customHeight="1"/>
    <row r="5" spans="1:8" ht="24" customHeight="1">
      <c r="B5" s="128" t="s">
        <v>102</v>
      </c>
      <c r="C5" s="128"/>
      <c r="D5" s="128"/>
      <c r="E5" s="128"/>
      <c r="F5" s="128"/>
      <c r="G5" s="128"/>
      <c r="H5" s="128"/>
    </row>
    <row r="6" spans="1:8" ht="19.5" customHeight="1">
      <c r="B6" s="130" t="s">
        <v>110</v>
      </c>
      <c r="C6" s="130"/>
      <c r="D6" s="130"/>
      <c r="E6" s="130"/>
      <c r="F6" s="130"/>
      <c r="G6" s="130"/>
      <c r="H6" s="130"/>
    </row>
    <row r="7" spans="1:8" ht="19.5" customHeight="1">
      <c r="B7" s="130" t="s">
        <v>113</v>
      </c>
      <c r="C7" s="130"/>
      <c r="D7" s="130"/>
      <c r="E7" s="130"/>
      <c r="F7" s="130"/>
      <c r="G7" s="130"/>
      <c r="H7" s="130"/>
    </row>
    <row r="8" spans="1:8" ht="19.5" customHeight="1">
      <c r="B8" s="130" t="s">
        <v>111</v>
      </c>
      <c r="C8" s="130"/>
      <c r="D8" s="130"/>
      <c r="E8" s="130"/>
      <c r="F8" s="130"/>
      <c r="G8" s="130"/>
      <c r="H8" s="130"/>
    </row>
    <row r="9" spans="1:8" ht="19.5" customHeight="1">
      <c r="B9" s="130" t="s">
        <v>114</v>
      </c>
      <c r="C9" s="130"/>
      <c r="D9" s="130"/>
      <c r="E9" s="130"/>
      <c r="F9" s="130"/>
      <c r="G9" s="130"/>
      <c r="H9" s="130"/>
    </row>
    <row r="10" spans="1:8" ht="19.5" customHeight="1">
      <c r="B10" s="130" t="s">
        <v>112</v>
      </c>
      <c r="C10" s="130"/>
      <c r="D10" s="130"/>
      <c r="E10" s="130"/>
      <c r="F10" s="130"/>
      <c r="G10" s="130"/>
      <c r="H10" s="130"/>
    </row>
    <row r="11" spans="1:8" ht="9.75" customHeight="1"/>
    <row r="12" spans="1:8" ht="24" customHeight="1">
      <c r="B12" s="128" t="s">
        <v>101</v>
      </c>
      <c r="C12" s="128"/>
      <c r="D12" s="128"/>
      <c r="E12" s="128"/>
      <c r="F12" s="128"/>
      <c r="G12" s="128"/>
      <c r="H12" s="128"/>
    </row>
    <row r="13" spans="1:8" ht="19.5" customHeight="1">
      <c r="B13" s="129" t="s">
        <v>115</v>
      </c>
      <c r="C13" s="129"/>
      <c r="D13" s="129"/>
      <c r="E13" s="129"/>
      <c r="F13" s="129"/>
      <c r="G13" s="129"/>
      <c r="H13" s="129"/>
    </row>
    <row r="14" spans="1:8" ht="19.5" customHeight="1">
      <c r="B14" s="129" t="s">
        <v>116</v>
      </c>
      <c r="C14" s="129"/>
      <c r="D14" s="129"/>
      <c r="E14" s="129"/>
      <c r="F14" s="129"/>
      <c r="G14" s="129"/>
      <c r="H14" s="129"/>
    </row>
    <row r="15" spans="1:8" ht="19.5" customHeight="1">
      <c r="B15" s="129" t="s">
        <v>117</v>
      </c>
      <c r="C15" s="129"/>
      <c r="D15" s="129"/>
      <c r="E15" s="129"/>
      <c r="F15" s="129"/>
      <c r="G15" s="129"/>
      <c r="H15" s="129"/>
    </row>
    <row r="16" spans="1:8" ht="19.5" customHeight="1">
      <c r="B16" s="129" t="s">
        <v>118</v>
      </c>
      <c r="C16" s="129"/>
      <c r="D16" s="129"/>
      <c r="E16" s="129"/>
      <c r="F16" s="129"/>
      <c r="G16" s="129"/>
      <c r="H16" s="129"/>
    </row>
    <row r="17" spans="2:8" ht="19.5" customHeight="1">
      <c r="B17" s="129" t="s">
        <v>119</v>
      </c>
      <c r="C17" s="129"/>
      <c r="D17" s="129"/>
      <c r="E17" s="129"/>
      <c r="F17" s="129"/>
      <c r="G17" s="129"/>
      <c r="H17" s="129"/>
    </row>
    <row r="18" spans="2:8" ht="9.75" customHeight="1"/>
    <row r="19" spans="2:8" ht="24" customHeight="1">
      <c r="B19" s="128" t="s">
        <v>100</v>
      </c>
      <c r="C19" s="128"/>
      <c r="D19" s="128"/>
      <c r="E19" s="128"/>
      <c r="F19" s="128"/>
      <c r="G19" s="128"/>
      <c r="H19" s="128"/>
    </row>
    <row r="20" spans="2:8" ht="19.5" customHeight="1">
      <c r="B20" s="126" t="s">
        <v>128</v>
      </c>
      <c r="C20" s="126"/>
      <c r="D20" s="126"/>
      <c r="E20" s="127" t="s">
        <v>79</v>
      </c>
      <c r="F20" s="127"/>
      <c r="G20" s="127"/>
      <c r="H20" s="127"/>
    </row>
    <row r="21" spans="2:8" ht="19.5" customHeight="1">
      <c r="B21" s="126" t="s">
        <v>129</v>
      </c>
      <c r="C21" s="126"/>
      <c r="D21" s="126"/>
      <c r="E21" s="127" t="s">
        <v>137</v>
      </c>
      <c r="F21" s="127"/>
      <c r="G21" s="127"/>
      <c r="H21" s="127"/>
    </row>
    <row r="22" spans="2:8" ht="19.5" customHeight="1">
      <c r="B22" s="126" t="s">
        <v>120</v>
      </c>
      <c r="C22" s="126"/>
      <c r="D22" s="126"/>
      <c r="E22" s="127" t="s">
        <v>84</v>
      </c>
      <c r="F22" s="127"/>
      <c r="G22" s="127"/>
      <c r="H22" s="127"/>
    </row>
    <row r="23" spans="2:8" ht="19.5" customHeight="1">
      <c r="B23" s="126" t="s">
        <v>121</v>
      </c>
      <c r="C23" s="126"/>
      <c r="D23" s="126"/>
      <c r="E23" s="127" t="s">
        <v>79</v>
      </c>
      <c r="F23" s="127"/>
      <c r="G23" s="127"/>
      <c r="H23" s="127"/>
    </row>
    <row r="24" spans="2:8" ht="9.75" customHeight="1"/>
    <row r="25" spans="2:8" ht="24" customHeight="1">
      <c r="B25" s="123" t="s">
        <v>138</v>
      </c>
      <c r="C25" s="123"/>
      <c r="D25" s="123"/>
      <c r="E25" s="123"/>
      <c r="F25" s="123"/>
      <c r="G25" s="123"/>
      <c r="H25" s="123"/>
    </row>
    <row r="26" spans="2:8" ht="21.75" customHeight="1">
      <c r="B26" s="124" t="s">
        <v>122</v>
      </c>
      <c r="C26" s="125"/>
      <c r="D26" s="125"/>
      <c r="E26" s="125"/>
      <c r="F26" s="125"/>
      <c r="G26" s="125"/>
      <c r="H26" s="125"/>
    </row>
    <row r="27" spans="2:8" ht="13.5" customHeight="1">
      <c r="B27" s="124" t="s">
        <v>123</v>
      </c>
      <c r="C27" s="125"/>
      <c r="D27" s="125"/>
      <c r="E27" s="125"/>
      <c r="F27" s="125"/>
      <c r="G27" s="125"/>
      <c r="H27" s="125"/>
    </row>
    <row r="28" spans="2:8" ht="13.5" customHeight="1">
      <c r="B28" s="124" t="s">
        <v>124</v>
      </c>
      <c r="C28" s="125"/>
      <c r="D28" s="125"/>
      <c r="E28" s="125"/>
      <c r="F28" s="125"/>
      <c r="G28" s="125"/>
      <c r="H28" s="125"/>
    </row>
    <row r="29" spans="2:8" ht="13.5" customHeight="1">
      <c r="B29" s="124" t="s">
        <v>125</v>
      </c>
      <c r="C29" s="125"/>
      <c r="D29" s="125"/>
      <c r="E29" s="125"/>
      <c r="F29" s="125"/>
      <c r="G29" s="125"/>
      <c r="H29" s="125"/>
    </row>
    <row r="30" spans="2:8" ht="13.5" customHeight="1">
      <c r="B30" s="124" t="s">
        <v>126</v>
      </c>
      <c r="C30" s="125"/>
      <c r="D30" s="125"/>
      <c r="E30" s="125"/>
      <c r="F30" s="125"/>
      <c r="G30" s="125"/>
      <c r="H30" s="125"/>
    </row>
    <row r="31" spans="2:8" ht="13.5" customHeight="1"/>
    <row r="32" spans="2:8" ht="13.5" customHeight="1"/>
    <row r="33" spans="2:8" ht="13.5" customHeight="1"/>
    <row r="34" spans="2:8" ht="13.5" customHeight="1">
      <c r="B34" s="123" t="s">
        <v>139</v>
      </c>
      <c r="C34" s="123"/>
      <c r="D34" s="123"/>
      <c r="E34" s="123"/>
      <c r="F34" s="123"/>
      <c r="G34" s="123"/>
      <c r="H34" s="123"/>
    </row>
    <row r="35" spans="2:8" ht="13.5" customHeight="1">
      <c r="B35" s="120" t="s">
        <v>130</v>
      </c>
      <c r="C35" s="121"/>
      <c r="D35" s="121"/>
      <c r="E35" s="121"/>
      <c r="F35" s="121"/>
      <c r="G35" s="121"/>
      <c r="H35" s="121"/>
    </row>
    <row r="36" spans="2:8" ht="13.5" customHeight="1">
      <c r="B36" s="120" t="s">
        <v>131</v>
      </c>
      <c r="C36" s="121"/>
      <c r="D36" s="121"/>
      <c r="E36" s="121"/>
      <c r="F36" s="121"/>
      <c r="G36" s="121"/>
      <c r="H36" s="121"/>
    </row>
    <row r="37" spans="2:8" ht="13.5" customHeight="1">
      <c r="B37" s="120" t="s">
        <v>132</v>
      </c>
      <c r="C37" s="121"/>
      <c r="D37" s="121"/>
      <c r="E37" s="121"/>
      <c r="F37" s="121"/>
      <c r="G37" s="121"/>
      <c r="H37" s="121"/>
    </row>
    <row r="38" spans="2:8" ht="13.5" customHeight="1">
      <c r="B38" s="119" t="s">
        <v>133</v>
      </c>
      <c r="C38" s="119"/>
      <c r="D38" s="119"/>
      <c r="E38" s="119"/>
      <c r="F38" s="119"/>
      <c r="G38" s="119"/>
      <c r="H38" s="119"/>
    </row>
    <row r="39" spans="2:8" ht="13.5" customHeight="1"/>
    <row r="40" spans="2:8" ht="13.5" customHeight="1"/>
    <row r="41" spans="2:8" ht="13.5" customHeight="1"/>
    <row r="42" spans="2:8" ht="13.5" customHeight="1"/>
    <row r="43" spans="2:8" ht="13.5" customHeight="1"/>
    <row r="44" spans="2:8" ht="24" customHeight="1">
      <c r="B44" s="122" t="s">
        <v>141</v>
      </c>
      <c r="C44" s="122"/>
      <c r="D44" s="122"/>
      <c r="E44" s="122"/>
      <c r="F44" s="122"/>
      <c r="G44" s="122"/>
      <c r="H44" s="122"/>
    </row>
    <row r="45" spans="2:8" ht="9.75" customHeight="1"/>
    <row r="46" spans="2:8" ht="24" customHeight="1"/>
    <row r="47" spans="2:8" ht="18" customHeight="1"/>
    <row r="48" spans="2:8" ht="21.7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24" customHeight="1"/>
    <row r="62" ht="9.75" customHeight="1"/>
    <row r="63" ht="24" customHeight="1"/>
    <row r="64" ht="18" customHeight="1"/>
    <row r="65" ht="21.7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24" customHeight="1"/>
    <row r="79" ht="9.75" customHeight="1"/>
    <row r="80" ht="24" customHeight="1"/>
    <row r="81" ht="18" customHeight="1"/>
    <row r="82" ht="21.75" customHeight="1"/>
    <row r="83" ht="21.75" customHeight="1"/>
    <row r="84" ht="21.75" customHeight="1"/>
    <row r="85" ht="21.75" customHeight="1"/>
    <row r="86" ht="21.75" customHeight="1"/>
    <row r="87" ht="9.75" customHeight="1"/>
    <row r="88" ht="24" customHeight="1"/>
    <row r="89" ht="18" customHeight="1"/>
    <row r="90" ht="18" customHeight="1"/>
    <row r="91" ht="18" customHeight="1"/>
    <row r="92" ht="18" customHeight="1"/>
    <row r="93" ht="18" customHeight="1"/>
    <row r="94" ht="18" customHeight="1"/>
    <row r="95" ht="9.75" customHeight="1"/>
    <row r="96" ht="24" customHeight="1"/>
    <row r="97" ht="19.5" customHeight="1"/>
    <row r="98" ht="19.5" customHeight="1"/>
    <row r="99" ht="19.5" customHeight="1"/>
    <row r="100" ht="19.5" customHeight="1"/>
    <row r="101" ht="9.75" customHeight="1"/>
    <row r="102" ht="24" customHeight="1"/>
    <row r="103" ht="19.5" customHeight="1"/>
    <row r="104" ht="19.5" customHeight="1"/>
    <row r="105" ht="19.5" customHeight="1"/>
    <row r="106" ht="9.75" customHeight="1"/>
    <row r="107" ht="24" customHeight="1"/>
    <row r="108" ht="19.5" customHeight="1"/>
    <row r="109" ht="19.5" customHeight="1"/>
    <row r="110" ht="19.5" customHeight="1"/>
    <row r="111" ht="9.75" customHeight="1"/>
    <row r="112" ht="18" customHeight="1"/>
  </sheetData>
  <mergeCells count="37">
    <mergeCell ref="B12:H12"/>
    <mergeCell ref="B3:C3"/>
    <mergeCell ref="E3:F3"/>
    <mergeCell ref="G3:H3"/>
    <mergeCell ref="B5:H5"/>
    <mergeCell ref="B6:H6"/>
    <mergeCell ref="B7:H7"/>
    <mergeCell ref="B8:H8"/>
    <mergeCell ref="B9:H9"/>
    <mergeCell ref="B10:H10"/>
    <mergeCell ref="B13:H13"/>
    <mergeCell ref="B14:H14"/>
    <mergeCell ref="B15:H15"/>
    <mergeCell ref="B16:H16"/>
    <mergeCell ref="B17:H17"/>
    <mergeCell ref="E23:H23"/>
    <mergeCell ref="B19:H19"/>
    <mergeCell ref="B20:D20"/>
    <mergeCell ref="E20:H20"/>
    <mergeCell ref="B21:D21"/>
    <mergeCell ref="E21:H21"/>
    <mergeCell ref="A1:H2"/>
    <mergeCell ref="B38:H38"/>
    <mergeCell ref="B36:H36"/>
    <mergeCell ref="B37:H37"/>
    <mergeCell ref="B44:H44"/>
    <mergeCell ref="B34:H34"/>
    <mergeCell ref="B35:H35"/>
    <mergeCell ref="B29:H29"/>
    <mergeCell ref="B26:H26"/>
    <mergeCell ref="B27:H27"/>
    <mergeCell ref="B28:H28"/>
    <mergeCell ref="B30:H30"/>
    <mergeCell ref="B25:H25"/>
    <mergeCell ref="B22:D22"/>
    <mergeCell ref="E22:H22"/>
    <mergeCell ref="B23:D23"/>
  </mergeCells>
  <pageMargins left="0.75" right="0.75" top="1" bottom="1" header="0.511811023622047" footer="0.511811023622047"/>
  <pageSetup paperSize="9" orientation="portrait" horizontalDpi="300" verticalDpi="300"/>
  <headerFooter>
    <oddHeader>&amp;R&amp;"Aptos"&amp;10&amp;K000000 Business Use&amp;1#_x000D_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9C1DC37A-1950-4EFD-8DF7-6D9DF2108966}">
  <ds:schemaRefs/>
</ds:datastoreItem>
</file>

<file path=customXml/itemProps2.xml><?xml version="1.0" encoding="utf-8"?>
<ds:datastoreItem xmlns:ds="http://schemas.openxmlformats.org/officeDocument/2006/customXml" ds:itemID="{AED68A26-7962-4E7A-AF6B-FADF201538B4}">
  <ds:schemaRefs/>
</ds:datastoreItem>
</file>

<file path=customXml/itemProps3.xml><?xml version="1.0" encoding="utf-8"?>
<ds:datastoreItem xmlns:ds="http://schemas.openxmlformats.org/officeDocument/2006/customXml" ds:itemID="{7C3C7E2F-B37C-48A0-B3A5-40BFED730549}">
  <ds:schemaRefs/>
</ds:datastoreItem>
</file>

<file path=customXml/itemProps4.xml><?xml version="1.0" encoding="utf-8"?>
<ds:datastoreItem xmlns:ds="http://schemas.openxmlformats.org/officeDocument/2006/customXml" ds:itemID="{16A04863-8C08-489B-8078-8AC5B2DB7634}">
  <ds:schemaRefs/>
</ds:datastoreItem>
</file>

<file path=customXml/itemProps5.xml><?xml version="1.0" encoding="utf-8"?>
<ds:datastoreItem xmlns:ds="http://schemas.openxmlformats.org/officeDocument/2006/customXml" ds:itemID="{39AD2078-0380-408C-9403-F6F75741FB74}">
  <ds:schemaRefs>
    <ds:schemaRef ds:uri="http://schemas.microsoft.com/DataMashup"/>
  </ds:schemaRefs>
</ds:datastoreItem>
</file>

<file path=customXml/itemProps6.xml><?xml version="1.0" encoding="utf-8"?>
<ds:datastoreItem xmlns:ds="http://schemas.openxmlformats.org/officeDocument/2006/customXml" ds:itemID="{7DBF6319-BB1E-4825-A5DB-093F00C253A0}">
  <ds:schemaRefs/>
</ds:datastoreItem>
</file>

<file path=customXml/itemProps7.xml><?xml version="1.0" encoding="utf-8"?>
<ds:datastoreItem xmlns:ds="http://schemas.openxmlformats.org/officeDocument/2006/customXml" ds:itemID="{E5CB4EC5-FA9A-4F40-B3E1-A266B406CACF}">
  <ds:schemaRefs/>
</ds:datastoreItem>
</file>

<file path=customXml/itemProps8.xml><?xml version="1.0" encoding="utf-8"?>
<ds:datastoreItem xmlns:ds="http://schemas.openxmlformats.org/officeDocument/2006/customXml" ds:itemID="{8A0C1D57-FCE0-4E70-9463-E4439B18A833}">
  <ds:schemaRefs/>
</ds:datastoreItem>
</file>

<file path=customXml/itemProps9.xml><?xml version="1.0" encoding="utf-8"?>
<ds:datastoreItem xmlns:ds="http://schemas.openxmlformats.org/officeDocument/2006/customXml" ds:itemID="{C1419FDC-D9CF-41B9-ADDB-68F40375D0B6}">
  <ds:schemaRefs/>
</ds:datastoreItem>
</file>

<file path=customXml/itemProps10.xml><?xml version="1.0" encoding="utf-8"?>
<ds:datastoreItem xmlns:ds="http://schemas.openxmlformats.org/officeDocument/2006/customXml" ds:itemID="{7536EF71-DDF8-4363-81F7-5751CFA6C80E}">
  <ds:schemaRefs/>
</ds:datastoreItem>
</file>

<file path=customXml/itemProps11.xml><?xml version="1.0" encoding="utf-8"?>
<ds:datastoreItem xmlns:ds="http://schemas.openxmlformats.org/officeDocument/2006/customXml" ds:itemID="{B219AE43-9106-4E02-82B2-0625115B3153}">
  <ds:schemaRefs/>
</ds:datastoreItem>
</file>

<file path=customXml/itemProps12.xml><?xml version="1.0" encoding="utf-8"?>
<ds:datastoreItem xmlns:ds="http://schemas.openxmlformats.org/officeDocument/2006/customXml" ds:itemID="{7828E4DA-2A2C-4D67-B446-131A31E57110}">
  <ds:schemaRefs/>
</ds:datastoreItem>
</file>

<file path=customXml/itemProps13.xml><?xml version="1.0" encoding="utf-8"?>
<ds:datastoreItem xmlns:ds="http://schemas.openxmlformats.org/officeDocument/2006/customXml" ds:itemID="{1ACD4EDF-149D-4C93-ABAD-58FE42386E99}">
  <ds:schemaRefs/>
</ds:datastoreItem>
</file>

<file path=customXml/itemProps14.xml><?xml version="1.0" encoding="utf-8"?>
<ds:datastoreItem xmlns:ds="http://schemas.openxmlformats.org/officeDocument/2006/customXml" ds:itemID="{7D663CC8-DA16-417F-ABB0-7C3B64F0C41A}">
  <ds:schemaRefs/>
</ds:datastoreItem>
</file>

<file path=customXml/itemProps15.xml><?xml version="1.0" encoding="utf-8"?>
<ds:datastoreItem xmlns:ds="http://schemas.openxmlformats.org/officeDocument/2006/customXml" ds:itemID="{D1F05667-941C-4CC5-A817-9813C108DC01}">
  <ds:schemaRefs/>
</ds:datastoreItem>
</file>

<file path=customXml/itemProps16.xml><?xml version="1.0" encoding="utf-8"?>
<ds:datastoreItem xmlns:ds="http://schemas.openxmlformats.org/officeDocument/2006/customXml" ds:itemID="{5C501CC6-4738-4B66-BCA3-3E1A52563B18}">
  <ds:schemaRefs/>
</ds:datastoreItem>
</file>

<file path=customXml/itemProps17.xml><?xml version="1.0" encoding="utf-8"?>
<ds:datastoreItem xmlns:ds="http://schemas.openxmlformats.org/officeDocument/2006/customXml" ds:itemID="{A5FBD855-B4F6-4B10-8EA9-F945D4FD78CE}">
  <ds:schemaRefs/>
</ds:datastoreItem>
</file>

<file path=customXml/itemProps18.xml><?xml version="1.0" encoding="utf-8"?>
<ds:datastoreItem xmlns:ds="http://schemas.openxmlformats.org/officeDocument/2006/customXml" ds:itemID="{4EB83814-C5FB-43B3-9E1A-384067F5931D}">
  <ds:schemaRefs/>
</ds:datastoreItem>
</file>

<file path=customXml/itemProps19.xml><?xml version="1.0" encoding="utf-8"?>
<ds:datastoreItem xmlns:ds="http://schemas.openxmlformats.org/officeDocument/2006/customXml" ds:itemID="{4F7AB3F8-EA5F-4BB1-AFA4-C171E9F3A35B}">
  <ds:schemaRefs/>
</ds:datastoreItem>
</file>

<file path=customXml/itemProps20.xml><?xml version="1.0" encoding="utf-8"?>
<ds:datastoreItem xmlns:ds="http://schemas.openxmlformats.org/officeDocument/2006/customXml" ds:itemID="{39A54820-B7D7-40BA-9425-DC837BC465DB}">
  <ds:schemaRefs/>
</ds:datastoreItem>
</file>

<file path=customXml/itemProps21.xml><?xml version="1.0" encoding="utf-8"?>
<ds:datastoreItem xmlns:ds="http://schemas.openxmlformats.org/officeDocument/2006/customXml" ds:itemID="{A0AEF96F-3278-406F-9638-BC5916F3D9FB}">
  <ds:schemaRefs/>
</ds:datastoreItem>
</file>

<file path=customXml/itemProps22.xml><?xml version="1.0" encoding="utf-8"?>
<ds:datastoreItem xmlns:ds="http://schemas.openxmlformats.org/officeDocument/2006/customXml" ds:itemID="{0E3E0357-2BE9-4E0F-9492-2A3DFE9A4F95}">
  <ds:schemaRefs/>
</ds:datastoreItem>
</file>

<file path=customXml/itemProps23.xml><?xml version="1.0" encoding="utf-8"?>
<ds:datastoreItem xmlns:ds="http://schemas.openxmlformats.org/officeDocument/2006/customXml" ds:itemID="{C42B7140-FB9B-4222-AA67-7C977B98EF99}">
  <ds:schemaRefs/>
</ds:datastoreItem>
</file>

<file path=customXml/itemProps24.xml><?xml version="1.0" encoding="utf-8"?>
<ds:datastoreItem xmlns:ds="http://schemas.openxmlformats.org/officeDocument/2006/customXml" ds:itemID="{22776AB2-F583-477D-83E6-85917FDBFEED}">
  <ds:schemaRefs/>
</ds:datastoreItem>
</file>

<file path=customXml/itemProps25.xml><?xml version="1.0" encoding="utf-8"?>
<ds:datastoreItem xmlns:ds="http://schemas.openxmlformats.org/officeDocument/2006/customXml" ds:itemID="{6EE6D606-F025-4FEA-938C-7C31603A5995}">
  <ds:schemaRefs/>
</ds:datastoreItem>
</file>

<file path=customXml/itemProps26.xml><?xml version="1.0" encoding="utf-8"?>
<ds:datastoreItem xmlns:ds="http://schemas.openxmlformats.org/officeDocument/2006/customXml" ds:itemID="{8E100E7B-AC2B-4330-8E3B-6FB77401E63C}">
  <ds:schemaRefs/>
</ds:datastoreItem>
</file>

<file path=customXml/itemProps27.xml><?xml version="1.0" encoding="utf-8"?>
<ds:datastoreItem xmlns:ds="http://schemas.openxmlformats.org/officeDocument/2006/customXml" ds:itemID="{58EF558E-3120-4843-A979-93881E53E334}">
  <ds:schemaRefs/>
</ds:datastoreItem>
</file>

<file path=customXml/itemProps28.xml><?xml version="1.0" encoding="utf-8"?>
<ds:datastoreItem xmlns:ds="http://schemas.openxmlformats.org/officeDocument/2006/customXml" ds:itemID="{FDD20AFE-C6A4-4928-9E3D-AD0BDBD1D64C}">
  <ds:schemaRefs/>
</ds:datastoreItem>
</file>

<file path=customXml/itemProps29.xml><?xml version="1.0" encoding="utf-8"?>
<ds:datastoreItem xmlns:ds="http://schemas.openxmlformats.org/officeDocument/2006/customXml" ds:itemID="{4CC03A32-7EC0-4E81-9DAF-038975969D49}">
  <ds:schemaRefs/>
</ds:datastoreItem>
</file>

<file path=customXml/itemProps30.xml><?xml version="1.0" encoding="utf-8"?>
<ds:datastoreItem xmlns:ds="http://schemas.openxmlformats.org/officeDocument/2006/customXml" ds:itemID="{CEAE1045-C6C0-4CA3-9EB2-69AE09317411}">
  <ds:schemaRefs/>
</ds:datastoreItem>
</file>

<file path=customXml/itemProps31.xml><?xml version="1.0" encoding="utf-8"?>
<ds:datastoreItem xmlns:ds="http://schemas.openxmlformats.org/officeDocument/2006/customXml" ds:itemID="{AAB482C2-F5DA-4D25-A33A-BC55F4CCE52F}">
  <ds:schemaRefs/>
</ds:datastoreItem>
</file>

<file path=customXml/itemProps32.xml><?xml version="1.0" encoding="utf-8"?>
<ds:datastoreItem xmlns:ds="http://schemas.openxmlformats.org/officeDocument/2006/customXml" ds:itemID="{86037903-7FD9-4307-9CC3-DD3C11A22A92}">
  <ds:schemaRefs/>
</ds:datastoreItem>
</file>

<file path=customXml/itemProps33.xml><?xml version="1.0" encoding="utf-8"?>
<ds:datastoreItem xmlns:ds="http://schemas.openxmlformats.org/officeDocument/2006/customXml" ds:itemID="{817B04DB-C251-461C-B270-815BB781F03D}">
  <ds:schemaRefs/>
</ds:datastoreItem>
</file>

<file path=customXml/itemProps34.xml><?xml version="1.0" encoding="utf-8"?>
<ds:datastoreItem xmlns:ds="http://schemas.openxmlformats.org/officeDocument/2006/customXml" ds:itemID="{7CBA836E-F182-4341-9C64-70990D8EC893}">
  <ds:schemaRefs/>
</ds:datastoreItem>
</file>

<file path=customXml/itemProps35.xml><?xml version="1.0" encoding="utf-8"?>
<ds:datastoreItem xmlns:ds="http://schemas.openxmlformats.org/officeDocument/2006/customXml" ds:itemID="{4BB180E5-2065-4D55-980F-07C8D022B8D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Actual</vt:lpstr>
      <vt:lpstr>Budget</vt:lpstr>
      <vt:lpstr>Calculation</vt:lpstr>
      <vt:lpstr>Dashboard</vt:lpstr>
      <vt:lpstr>📊 Pivot_Tables</vt:lpstr>
      <vt:lpstr>📄 Analysis_Report</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Bernard Obeng Boateng</dc:creator>
  <cp:keywords/>
  <dc:description/>
  <cp:lastModifiedBy>ahmedhamed.2023@gmail.com</cp:lastModifiedBy>
  <cp:revision/>
  <dcterms:created xsi:type="dcterms:W3CDTF">2024-05-28T09:34:08Z</dcterms:created>
  <dcterms:modified xsi:type="dcterms:W3CDTF">2026-09-24T20:34:26Z</dcterms:modified>
  <cp:category/>
  <cp:contentStatus/>
</cp:coreProperties>
</file>